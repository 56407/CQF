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9585" yWindow="45" windowWidth="9600" windowHeight="11760" activeTab="3"/>
  </bookViews>
  <sheets>
    <sheet name="Asian" sheetId="1" r:id="rId1"/>
    <sheet name="Arith_Cont_Sampling" sheetId="5" r:id="rId2"/>
    <sheet name="S_plus (2)" sheetId="6" r:id="rId3"/>
    <sheet name="S_plus" sheetId="3" r:id="rId4"/>
    <sheet name="S_minus" sheetId="4" r:id="rId5"/>
    <sheet name="RAND" sheetId="2" r:id="rId6"/>
    <sheet name="Sheet2" sheetId="7" r:id="rId7"/>
  </sheets>
  <definedNames>
    <definedName name="discfac" localSheetId="1">Arith_Cont_Sampling!$B$8</definedName>
    <definedName name="discfac" localSheetId="0">Asian!$B$8</definedName>
    <definedName name="dt" localSheetId="0">Asian!$B$6</definedName>
    <definedName name="expiry" localSheetId="0">Asian!$B$3</definedName>
    <definedName name="intrate" localSheetId="0">Asian!$B$5</definedName>
    <definedName name="S_0" localSheetId="0">Asian!$B$1</definedName>
    <definedName name="sigma" localSheetId="0">Asian!$B$4</definedName>
    <definedName name="strike" localSheetId="1">Arith_Cont_Sampling!$B$2</definedName>
    <definedName name="strike" localSheetId="0">Asian!$B$2</definedName>
  </definedNames>
  <calcPr calcId="145621" calcMode="manual" calcCompleted="0" calcOnSave="0"/>
  <fileRecoveryPr repairLoad="1"/>
</workbook>
</file>

<file path=xl/calcChain.xml><?xml version="1.0" encoding="utf-8"?>
<calcChain xmlns="http://schemas.openxmlformats.org/spreadsheetml/2006/main">
  <c r="G7" i="1" l="1"/>
  <c r="F7" i="1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2" i="3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2" i="3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2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2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2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2" i="3"/>
  <c r="L2" i="7" l="1"/>
  <c r="K2" i="7"/>
  <c r="L3" i="7"/>
  <c r="K3" i="7"/>
  <c r="J2" i="7"/>
  <c r="J3" i="7" s="1"/>
  <c r="J4" i="7" s="1"/>
  <c r="J5" i="7" s="1"/>
  <c r="J6" i="7" s="1"/>
  <c r="C9" i="7"/>
  <c r="D9" i="7"/>
  <c r="E9" i="7"/>
  <c r="F9" i="7"/>
  <c r="G9" i="7"/>
  <c r="H9" i="7"/>
  <c r="C10" i="7"/>
  <c r="D10" i="7"/>
  <c r="E10" i="7"/>
  <c r="F10" i="7"/>
  <c r="G10" i="7"/>
  <c r="H10" i="7"/>
  <c r="C11" i="7"/>
  <c r="D11" i="7"/>
  <c r="E11" i="7"/>
  <c r="F11" i="7"/>
  <c r="G11" i="7"/>
  <c r="H11" i="7"/>
  <c r="C12" i="7"/>
  <c r="D12" i="7"/>
  <c r="E12" i="7"/>
  <c r="F12" i="7"/>
  <c r="G12" i="7"/>
  <c r="H12" i="7"/>
  <c r="D8" i="7"/>
  <c r="E8" i="7"/>
  <c r="F8" i="7"/>
  <c r="G8" i="7"/>
  <c r="H8" i="7"/>
  <c r="C8" i="7"/>
  <c r="DA102" i="6"/>
  <c r="CZ102" i="6"/>
  <c r="CY102" i="6"/>
  <c r="CX102" i="6"/>
  <c r="CW102" i="6"/>
  <c r="CV102" i="6"/>
  <c r="CU102" i="6"/>
  <c r="CT102" i="6"/>
  <c r="CS102" i="6"/>
  <c r="CR102" i="6"/>
  <c r="CQ102" i="6"/>
  <c r="CP102" i="6"/>
  <c r="CO102" i="6"/>
  <c r="CN102" i="6"/>
  <c r="CM102" i="6"/>
  <c r="CL102" i="6"/>
  <c r="CK102" i="6"/>
  <c r="CJ102" i="6"/>
  <c r="CI102" i="6"/>
  <c r="CH102" i="6"/>
  <c r="CG102" i="6"/>
  <c r="CF102" i="6"/>
  <c r="CE102" i="6"/>
  <c r="CD102" i="6"/>
  <c r="CC102" i="6"/>
  <c r="CB102" i="6"/>
  <c r="CA102" i="6"/>
  <c r="BZ102" i="6"/>
  <c r="BY102" i="6"/>
  <c r="BX102" i="6"/>
  <c r="BW102" i="6"/>
  <c r="BV102" i="6"/>
  <c r="BU102" i="6"/>
  <c r="BT102" i="6"/>
  <c r="BS102" i="6"/>
  <c r="BR102" i="6"/>
  <c r="BQ102" i="6"/>
  <c r="BP102" i="6"/>
  <c r="BO102" i="6"/>
  <c r="BN102" i="6"/>
  <c r="BM102" i="6"/>
  <c r="BL102" i="6"/>
  <c r="BK102" i="6"/>
  <c r="BJ102" i="6"/>
  <c r="BI102" i="6"/>
  <c r="BH102" i="6"/>
  <c r="BG102" i="6"/>
  <c r="BF102" i="6"/>
  <c r="BE102" i="6"/>
  <c r="BD102" i="6"/>
  <c r="BC102" i="6"/>
  <c r="BB102" i="6"/>
  <c r="BA102" i="6"/>
  <c r="AZ102" i="6"/>
  <c r="AY102" i="6"/>
  <c r="AX102" i="6"/>
  <c r="AW102" i="6"/>
  <c r="AV102" i="6"/>
  <c r="AU102" i="6"/>
  <c r="AT102" i="6"/>
  <c r="AS102" i="6"/>
  <c r="AR102" i="6"/>
  <c r="AQ102" i="6"/>
  <c r="AP102" i="6"/>
  <c r="AO102" i="6"/>
  <c r="AN102" i="6"/>
  <c r="AM102" i="6"/>
  <c r="AL102" i="6"/>
  <c r="AK102" i="6"/>
  <c r="AJ102" i="6"/>
  <c r="AI102" i="6"/>
  <c r="AH102" i="6"/>
  <c r="AG102" i="6"/>
  <c r="AF102" i="6"/>
  <c r="AE102" i="6"/>
  <c r="AD102" i="6"/>
  <c r="AC102" i="6"/>
  <c r="AB102" i="6"/>
  <c r="AA102" i="6"/>
  <c r="Z102" i="6"/>
  <c r="Y102" i="6"/>
  <c r="X102" i="6"/>
  <c r="W102" i="6"/>
  <c r="V102" i="6"/>
  <c r="U102" i="6"/>
  <c r="T102" i="6"/>
  <c r="S102" i="6"/>
  <c r="R102" i="6"/>
  <c r="Q102" i="6"/>
  <c r="P102" i="6"/>
  <c r="O102" i="6"/>
  <c r="N102" i="6"/>
  <c r="M102" i="6"/>
  <c r="L102" i="6"/>
  <c r="K102" i="6"/>
  <c r="J102" i="6"/>
  <c r="I102" i="6"/>
  <c r="H102" i="6"/>
  <c r="G102" i="6"/>
  <c r="F102" i="6"/>
  <c r="DA101" i="6"/>
  <c r="CZ101" i="6"/>
  <c r="CY101" i="6"/>
  <c r="CX101" i="6"/>
  <c r="CW101" i="6"/>
  <c r="CV101" i="6"/>
  <c r="CU101" i="6"/>
  <c r="CT101" i="6"/>
  <c r="CS101" i="6"/>
  <c r="CR101" i="6"/>
  <c r="CQ101" i="6"/>
  <c r="CP101" i="6"/>
  <c r="CO101" i="6"/>
  <c r="CN101" i="6"/>
  <c r="CM101" i="6"/>
  <c r="CL101" i="6"/>
  <c r="CK101" i="6"/>
  <c r="CJ101" i="6"/>
  <c r="CI101" i="6"/>
  <c r="CH101" i="6"/>
  <c r="CG101" i="6"/>
  <c r="CF101" i="6"/>
  <c r="CE101" i="6"/>
  <c r="CD101" i="6"/>
  <c r="CC101" i="6"/>
  <c r="CB101" i="6"/>
  <c r="CA101" i="6"/>
  <c r="BZ101" i="6"/>
  <c r="BY101" i="6"/>
  <c r="BX101" i="6"/>
  <c r="BW101" i="6"/>
  <c r="BV101" i="6"/>
  <c r="BU101" i="6"/>
  <c r="BT101" i="6"/>
  <c r="BS101" i="6"/>
  <c r="BR101" i="6"/>
  <c r="BQ101" i="6"/>
  <c r="BP101" i="6"/>
  <c r="BO101" i="6"/>
  <c r="BN101" i="6"/>
  <c r="BM101" i="6"/>
  <c r="BL101" i="6"/>
  <c r="BK101" i="6"/>
  <c r="BJ101" i="6"/>
  <c r="BI101" i="6"/>
  <c r="BH101" i="6"/>
  <c r="BG101" i="6"/>
  <c r="BF101" i="6"/>
  <c r="BE101" i="6"/>
  <c r="BD101" i="6"/>
  <c r="BC101" i="6"/>
  <c r="BB101" i="6"/>
  <c r="BA101" i="6"/>
  <c r="AZ101" i="6"/>
  <c r="AY101" i="6"/>
  <c r="AX101" i="6"/>
  <c r="AW101" i="6"/>
  <c r="AV101" i="6"/>
  <c r="AU101" i="6"/>
  <c r="AT101" i="6"/>
  <c r="AS101" i="6"/>
  <c r="AR101" i="6"/>
  <c r="AQ101" i="6"/>
  <c r="AP101" i="6"/>
  <c r="AO101" i="6"/>
  <c r="AN101" i="6"/>
  <c r="AM101" i="6"/>
  <c r="AL101" i="6"/>
  <c r="AK101" i="6"/>
  <c r="AJ101" i="6"/>
  <c r="AI101" i="6"/>
  <c r="AH101" i="6"/>
  <c r="AG101" i="6"/>
  <c r="AF101" i="6"/>
  <c r="AE101" i="6"/>
  <c r="AD101" i="6"/>
  <c r="AC101" i="6"/>
  <c r="AB101" i="6"/>
  <c r="AA101" i="6"/>
  <c r="Z101" i="6"/>
  <c r="Y101" i="6"/>
  <c r="X101" i="6"/>
  <c r="W101" i="6"/>
  <c r="V101" i="6"/>
  <c r="U101" i="6"/>
  <c r="T101" i="6"/>
  <c r="S101" i="6"/>
  <c r="R101" i="6"/>
  <c r="Q101" i="6"/>
  <c r="P101" i="6"/>
  <c r="O101" i="6"/>
  <c r="N101" i="6"/>
  <c r="M101" i="6"/>
  <c r="L101" i="6"/>
  <c r="K101" i="6"/>
  <c r="J101" i="6"/>
  <c r="I101" i="6"/>
  <c r="H101" i="6"/>
  <c r="G101" i="6"/>
  <c r="F101" i="6"/>
  <c r="DA100" i="6"/>
  <c r="CZ100" i="6"/>
  <c r="CY100" i="6"/>
  <c r="CX100" i="6"/>
  <c r="CW100" i="6"/>
  <c r="CV100" i="6"/>
  <c r="CU100" i="6"/>
  <c r="CT100" i="6"/>
  <c r="CS100" i="6"/>
  <c r="CR100" i="6"/>
  <c r="CQ100" i="6"/>
  <c r="CP100" i="6"/>
  <c r="CO100" i="6"/>
  <c r="CN100" i="6"/>
  <c r="CM100" i="6"/>
  <c r="CL100" i="6"/>
  <c r="CK100" i="6"/>
  <c r="CJ100" i="6"/>
  <c r="CI100" i="6"/>
  <c r="CH100" i="6"/>
  <c r="CG100" i="6"/>
  <c r="CF100" i="6"/>
  <c r="CE100" i="6"/>
  <c r="CD100" i="6"/>
  <c r="CC100" i="6"/>
  <c r="CB100" i="6"/>
  <c r="CA100" i="6"/>
  <c r="BZ100" i="6"/>
  <c r="BY100" i="6"/>
  <c r="BX100" i="6"/>
  <c r="BW100" i="6"/>
  <c r="BV100" i="6"/>
  <c r="BU100" i="6"/>
  <c r="BT100" i="6"/>
  <c r="BS100" i="6"/>
  <c r="BR100" i="6"/>
  <c r="BQ100" i="6"/>
  <c r="BP100" i="6"/>
  <c r="BO100" i="6"/>
  <c r="BN100" i="6"/>
  <c r="BM100" i="6"/>
  <c r="BL100" i="6"/>
  <c r="BK100" i="6"/>
  <c r="BJ100" i="6"/>
  <c r="BI100" i="6"/>
  <c r="BH100" i="6"/>
  <c r="BG100" i="6"/>
  <c r="BF100" i="6"/>
  <c r="BE100" i="6"/>
  <c r="BD100" i="6"/>
  <c r="BC100" i="6"/>
  <c r="BB100" i="6"/>
  <c r="BA100" i="6"/>
  <c r="AZ100" i="6"/>
  <c r="AY100" i="6"/>
  <c r="AX100" i="6"/>
  <c r="AW100" i="6"/>
  <c r="AV100" i="6"/>
  <c r="AU100" i="6"/>
  <c r="AT100" i="6"/>
  <c r="AS100" i="6"/>
  <c r="AR100" i="6"/>
  <c r="AQ100" i="6"/>
  <c r="AP100" i="6"/>
  <c r="AO100" i="6"/>
  <c r="AN100" i="6"/>
  <c r="AM100" i="6"/>
  <c r="AL100" i="6"/>
  <c r="AK100" i="6"/>
  <c r="AJ100" i="6"/>
  <c r="AI100" i="6"/>
  <c r="AH100" i="6"/>
  <c r="AG100" i="6"/>
  <c r="AF100" i="6"/>
  <c r="AE100" i="6"/>
  <c r="AD100" i="6"/>
  <c r="AC100" i="6"/>
  <c r="AB100" i="6"/>
  <c r="AA100" i="6"/>
  <c r="Z100" i="6"/>
  <c r="Y100" i="6"/>
  <c r="X100" i="6"/>
  <c r="W100" i="6"/>
  <c r="V100" i="6"/>
  <c r="U100" i="6"/>
  <c r="T100" i="6"/>
  <c r="S100" i="6"/>
  <c r="R100" i="6"/>
  <c r="Q100" i="6"/>
  <c r="P100" i="6"/>
  <c r="O100" i="6"/>
  <c r="N100" i="6"/>
  <c r="M100" i="6"/>
  <c r="L100" i="6"/>
  <c r="K100" i="6"/>
  <c r="J100" i="6"/>
  <c r="I100" i="6"/>
  <c r="H100" i="6"/>
  <c r="G100" i="6"/>
  <c r="F100" i="6"/>
  <c r="DA99" i="6"/>
  <c r="CZ99" i="6"/>
  <c r="CY99" i="6"/>
  <c r="CX99" i="6"/>
  <c r="CW99" i="6"/>
  <c r="CV99" i="6"/>
  <c r="CU99" i="6"/>
  <c r="CT99" i="6"/>
  <c r="CS99" i="6"/>
  <c r="CR99" i="6"/>
  <c r="CQ99" i="6"/>
  <c r="CP99" i="6"/>
  <c r="CO99" i="6"/>
  <c r="CN99" i="6"/>
  <c r="CM99" i="6"/>
  <c r="CL99" i="6"/>
  <c r="CK99" i="6"/>
  <c r="CJ99" i="6"/>
  <c r="CI99" i="6"/>
  <c r="CH99" i="6"/>
  <c r="CG99" i="6"/>
  <c r="CF99" i="6"/>
  <c r="CE99" i="6"/>
  <c r="CD99" i="6"/>
  <c r="CC99" i="6"/>
  <c r="CB99" i="6"/>
  <c r="CA99" i="6"/>
  <c r="BZ99" i="6"/>
  <c r="BY99" i="6"/>
  <c r="BX99" i="6"/>
  <c r="BW99" i="6"/>
  <c r="BV99" i="6"/>
  <c r="BU99" i="6"/>
  <c r="BT99" i="6"/>
  <c r="BS99" i="6"/>
  <c r="BR99" i="6"/>
  <c r="BQ99" i="6"/>
  <c r="BP99" i="6"/>
  <c r="BO99" i="6"/>
  <c r="BN99" i="6"/>
  <c r="BM99" i="6"/>
  <c r="BL99" i="6"/>
  <c r="BK99" i="6"/>
  <c r="BJ99" i="6"/>
  <c r="BI99" i="6"/>
  <c r="BH99" i="6"/>
  <c r="BG99" i="6"/>
  <c r="BF99" i="6"/>
  <c r="BE99" i="6"/>
  <c r="BD99" i="6"/>
  <c r="BC99" i="6"/>
  <c r="BB99" i="6"/>
  <c r="BA99" i="6"/>
  <c r="AZ99" i="6"/>
  <c r="AY99" i="6"/>
  <c r="AX99" i="6"/>
  <c r="AW99" i="6"/>
  <c r="AV99" i="6"/>
  <c r="AU99" i="6"/>
  <c r="AT99" i="6"/>
  <c r="AS99" i="6"/>
  <c r="AR99" i="6"/>
  <c r="AQ99" i="6"/>
  <c r="AP99" i="6"/>
  <c r="AO99" i="6"/>
  <c r="AN99" i="6"/>
  <c r="AM99" i="6"/>
  <c r="AL99" i="6"/>
  <c r="AK99" i="6"/>
  <c r="AJ99" i="6"/>
  <c r="AI99" i="6"/>
  <c r="AH99" i="6"/>
  <c r="AG99" i="6"/>
  <c r="AF99" i="6"/>
  <c r="AE99" i="6"/>
  <c r="AD99" i="6"/>
  <c r="AC99" i="6"/>
  <c r="AB99" i="6"/>
  <c r="AA99" i="6"/>
  <c r="Z99" i="6"/>
  <c r="Y99" i="6"/>
  <c r="X99" i="6"/>
  <c r="W99" i="6"/>
  <c r="V99" i="6"/>
  <c r="U99" i="6"/>
  <c r="T99" i="6"/>
  <c r="S99" i="6"/>
  <c r="R99" i="6"/>
  <c r="Q99" i="6"/>
  <c r="P99" i="6"/>
  <c r="O99" i="6"/>
  <c r="N99" i="6"/>
  <c r="M99" i="6"/>
  <c r="L99" i="6"/>
  <c r="K99" i="6"/>
  <c r="J99" i="6"/>
  <c r="I99" i="6"/>
  <c r="H99" i="6"/>
  <c r="G99" i="6"/>
  <c r="F99" i="6"/>
  <c r="DA98" i="6"/>
  <c r="CZ98" i="6"/>
  <c r="CY98" i="6"/>
  <c r="CX98" i="6"/>
  <c r="CW98" i="6"/>
  <c r="CV98" i="6"/>
  <c r="CU98" i="6"/>
  <c r="CT98" i="6"/>
  <c r="CS98" i="6"/>
  <c r="CR98" i="6"/>
  <c r="CQ98" i="6"/>
  <c r="CP98" i="6"/>
  <c r="CO98" i="6"/>
  <c r="CN98" i="6"/>
  <c r="CM98" i="6"/>
  <c r="CL98" i="6"/>
  <c r="CK98" i="6"/>
  <c r="CJ98" i="6"/>
  <c r="CI98" i="6"/>
  <c r="CH98" i="6"/>
  <c r="CG98" i="6"/>
  <c r="CF98" i="6"/>
  <c r="CE98" i="6"/>
  <c r="CD98" i="6"/>
  <c r="CC98" i="6"/>
  <c r="CB98" i="6"/>
  <c r="CA98" i="6"/>
  <c r="BZ98" i="6"/>
  <c r="BY98" i="6"/>
  <c r="BX98" i="6"/>
  <c r="BW98" i="6"/>
  <c r="BV98" i="6"/>
  <c r="BU98" i="6"/>
  <c r="BT98" i="6"/>
  <c r="BS98" i="6"/>
  <c r="BR98" i="6"/>
  <c r="BQ98" i="6"/>
  <c r="BP98" i="6"/>
  <c r="BO98" i="6"/>
  <c r="BN98" i="6"/>
  <c r="BM98" i="6"/>
  <c r="BL98" i="6"/>
  <c r="BK98" i="6"/>
  <c r="BJ98" i="6"/>
  <c r="BI98" i="6"/>
  <c r="BH98" i="6"/>
  <c r="BG98" i="6"/>
  <c r="BF98" i="6"/>
  <c r="BE98" i="6"/>
  <c r="BD98" i="6"/>
  <c r="BC98" i="6"/>
  <c r="BB98" i="6"/>
  <c r="BA98" i="6"/>
  <c r="AZ98" i="6"/>
  <c r="AY98" i="6"/>
  <c r="AX98" i="6"/>
  <c r="AW98" i="6"/>
  <c r="AV98" i="6"/>
  <c r="AU98" i="6"/>
  <c r="AT98" i="6"/>
  <c r="AS98" i="6"/>
  <c r="AR98" i="6"/>
  <c r="AQ98" i="6"/>
  <c r="AP98" i="6"/>
  <c r="AO98" i="6"/>
  <c r="AN98" i="6"/>
  <c r="AM98" i="6"/>
  <c r="AL98" i="6"/>
  <c r="AK98" i="6"/>
  <c r="AJ98" i="6"/>
  <c r="AI98" i="6"/>
  <c r="AH98" i="6"/>
  <c r="AG98" i="6"/>
  <c r="AF98" i="6"/>
  <c r="AE98" i="6"/>
  <c r="AD98" i="6"/>
  <c r="AC98" i="6"/>
  <c r="AB98" i="6"/>
  <c r="AA98" i="6"/>
  <c r="Z98" i="6"/>
  <c r="Y98" i="6"/>
  <c r="X98" i="6"/>
  <c r="W98" i="6"/>
  <c r="V98" i="6"/>
  <c r="U98" i="6"/>
  <c r="T98" i="6"/>
  <c r="S98" i="6"/>
  <c r="R98" i="6"/>
  <c r="Q98" i="6"/>
  <c r="P98" i="6"/>
  <c r="O98" i="6"/>
  <c r="N98" i="6"/>
  <c r="M98" i="6"/>
  <c r="L98" i="6"/>
  <c r="K98" i="6"/>
  <c r="J98" i="6"/>
  <c r="I98" i="6"/>
  <c r="H98" i="6"/>
  <c r="G98" i="6"/>
  <c r="F98" i="6"/>
  <c r="DA97" i="6"/>
  <c r="CZ97" i="6"/>
  <c r="CY97" i="6"/>
  <c r="CX97" i="6"/>
  <c r="CW97" i="6"/>
  <c r="CV97" i="6"/>
  <c r="CU97" i="6"/>
  <c r="CT97" i="6"/>
  <c r="CS97" i="6"/>
  <c r="CR97" i="6"/>
  <c r="CQ97" i="6"/>
  <c r="CP97" i="6"/>
  <c r="CO97" i="6"/>
  <c r="CN97" i="6"/>
  <c r="CM97" i="6"/>
  <c r="CL97" i="6"/>
  <c r="CK97" i="6"/>
  <c r="CJ97" i="6"/>
  <c r="CI97" i="6"/>
  <c r="CH97" i="6"/>
  <c r="CG97" i="6"/>
  <c r="CF97" i="6"/>
  <c r="CE97" i="6"/>
  <c r="CD97" i="6"/>
  <c r="CC97" i="6"/>
  <c r="CB97" i="6"/>
  <c r="CA97" i="6"/>
  <c r="BZ97" i="6"/>
  <c r="BY97" i="6"/>
  <c r="BX97" i="6"/>
  <c r="BW97" i="6"/>
  <c r="BV97" i="6"/>
  <c r="BU97" i="6"/>
  <c r="BT97" i="6"/>
  <c r="BS97" i="6"/>
  <c r="BR97" i="6"/>
  <c r="BQ97" i="6"/>
  <c r="BP97" i="6"/>
  <c r="BO97" i="6"/>
  <c r="BN97" i="6"/>
  <c r="BM97" i="6"/>
  <c r="BL97" i="6"/>
  <c r="BK97" i="6"/>
  <c r="BJ97" i="6"/>
  <c r="BI97" i="6"/>
  <c r="BH97" i="6"/>
  <c r="BG97" i="6"/>
  <c r="BF97" i="6"/>
  <c r="BE97" i="6"/>
  <c r="BD97" i="6"/>
  <c r="BC97" i="6"/>
  <c r="BB97" i="6"/>
  <c r="BA97" i="6"/>
  <c r="AZ97" i="6"/>
  <c r="AY97" i="6"/>
  <c r="AX97" i="6"/>
  <c r="AW97" i="6"/>
  <c r="AV97" i="6"/>
  <c r="AU97" i="6"/>
  <c r="AT97" i="6"/>
  <c r="AS97" i="6"/>
  <c r="AR97" i="6"/>
  <c r="AQ97" i="6"/>
  <c r="AP97" i="6"/>
  <c r="AO97" i="6"/>
  <c r="AN97" i="6"/>
  <c r="AM97" i="6"/>
  <c r="AL97" i="6"/>
  <c r="AK97" i="6"/>
  <c r="AJ97" i="6"/>
  <c r="AI97" i="6"/>
  <c r="AH97" i="6"/>
  <c r="AG97" i="6"/>
  <c r="AF97" i="6"/>
  <c r="AE97" i="6"/>
  <c r="AD97" i="6"/>
  <c r="AC97" i="6"/>
  <c r="AB97" i="6"/>
  <c r="AA97" i="6"/>
  <c r="Z97" i="6"/>
  <c r="Y97" i="6"/>
  <c r="X97" i="6"/>
  <c r="W97" i="6"/>
  <c r="V97" i="6"/>
  <c r="U97" i="6"/>
  <c r="T97" i="6"/>
  <c r="S97" i="6"/>
  <c r="R97" i="6"/>
  <c r="Q97" i="6"/>
  <c r="P97" i="6"/>
  <c r="O97" i="6"/>
  <c r="N97" i="6"/>
  <c r="M97" i="6"/>
  <c r="L97" i="6"/>
  <c r="K97" i="6"/>
  <c r="J97" i="6"/>
  <c r="I97" i="6"/>
  <c r="H97" i="6"/>
  <c r="G97" i="6"/>
  <c r="F97" i="6"/>
  <c r="DA96" i="6"/>
  <c r="CZ96" i="6"/>
  <c r="CY96" i="6"/>
  <c r="CX96" i="6"/>
  <c r="CW96" i="6"/>
  <c r="CV96" i="6"/>
  <c r="CU96" i="6"/>
  <c r="CT96" i="6"/>
  <c r="CS96" i="6"/>
  <c r="CR96" i="6"/>
  <c r="CQ96" i="6"/>
  <c r="CP96" i="6"/>
  <c r="CO96" i="6"/>
  <c r="CN96" i="6"/>
  <c r="CM96" i="6"/>
  <c r="CL96" i="6"/>
  <c r="CK96" i="6"/>
  <c r="CJ96" i="6"/>
  <c r="CI96" i="6"/>
  <c r="CH96" i="6"/>
  <c r="CG96" i="6"/>
  <c r="CF96" i="6"/>
  <c r="CE96" i="6"/>
  <c r="CD96" i="6"/>
  <c r="CC96" i="6"/>
  <c r="CB96" i="6"/>
  <c r="CA96" i="6"/>
  <c r="BZ96" i="6"/>
  <c r="BY96" i="6"/>
  <c r="BX96" i="6"/>
  <c r="BW96" i="6"/>
  <c r="BV96" i="6"/>
  <c r="BU96" i="6"/>
  <c r="BT96" i="6"/>
  <c r="BS96" i="6"/>
  <c r="BR96" i="6"/>
  <c r="BQ96" i="6"/>
  <c r="BP96" i="6"/>
  <c r="BO96" i="6"/>
  <c r="BN96" i="6"/>
  <c r="BM96" i="6"/>
  <c r="BL96" i="6"/>
  <c r="BK96" i="6"/>
  <c r="BJ96" i="6"/>
  <c r="BI96" i="6"/>
  <c r="BH96" i="6"/>
  <c r="BG96" i="6"/>
  <c r="BF96" i="6"/>
  <c r="BE96" i="6"/>
  <c r="BD96" i="6"/>
  <c r="BC96" i="6"/>
  <c r="BB96" i="6"/>
  <c r="BA96" i="6"/>
  <c r="AZ96" i="6"/>
  <c r="AY96" i="6"/>
  <c r="AX96" i="6"/>
  <c r="AW96" i="6"/>
  <c r="AV96" i="6"/>
  <c r="AU96" i="6"/>
  <c r="AT96" i="6"/>
  <c r="AS96" i="6"/>
  <c r="AR96" i="6"/>
  <c r="AQ96" i="6"/>
  <c r="AP96" i="6"/>
  <c r="AO96" i="6"/>
  <c r="AN96" i="6"/>
  <c r="AM96" i="6"/>
  <c r="AL96" i="6"/>
  <c r="AK96" i="6"/>
  <c r="AJ96" i="6"/>
  <c r="AI96" i="6"/>
  <c r="AH96" i="6"/>
  <c r="AG96" i="6"/>
  <c r="AF96" i="6"/>
  <c r="AE96" i="6"/>
  <c r="AD96" i="6"/>
  <c r="AC96" i="6"/>
  <c r="AB96" i="6"/>
  <c r="AA96" i="6"/>
  <c r="Z96" i="6"/>
  <c r="Y96" i="6"/>
  <c r="X96" i="6"/>
  <c r="W96" i="6"/>
  <c r="V96" i="6"/>
  <c r="U96" i="6"/>
  <c r="T96" i="6"/>
  <c r="S96" i="6"/>
  <c r="R96" i="6"/>
  <c r="Q96" i="6"/>
  <c r="P96" i="6"/>
  <c r="O96" i="6"/>
  <c r="N96" i="6"/>
  <c r="M96" i="6"/>
  <c r="L96" i="6"/>
  <c r="K96" i="6"/>
  <c r="J96" i="6"/>
  <c r="I96" i="6"/>
  <c r="H96" i="6"/>
  <c r="G96" i="6"/>
  <c r="F96" i="6"/>
  <c r="DA95" i="6"/>
  <c r="CZ95" i="6"/>
  <c r="CY95" i="6"/>
  <c r="CX95" i="6"/>
  <c r="CW95" i="6"/>
  <c r="CV95" i="6"/>
  <c r="CU95" i="6"/>
  <c r="CT95" i="6"/>
  <c r="CS95" i="6"/>
  <c r="CR95" i="6"/>
  <c r="CQ95" i="6"/>
  <c r="CP95" i="6"/>
  <c r="CO95" i="6"/>
  <c r="CN95" i="6"/>
  <c r="CM95" i="6"/>
  <c r="CL95" i="6"/>
  <c r="CK95" i="6"/>
  <c r="CJ95" i="6"/>
  <c r="CI95" i="6"/>
  <c r="CH95" i="6"/>
  <c r="CG95" i="6"/>
  <c r="CF95" i="6"/>
  <c r="CE95" i="6"/>
  <c r="CD95" i="6"/>
  <c r="CC95" i="6"/>
  <c r="CB95" i="6"/>
  <c r="CA95" i="6"/>
  <c r="BZ95" i="6"/>
  <c r="BY95" i="6"/>
  <c r="BX95" i="6"/>
  <c r="BW95" i="6"/>
  <c r="BV95" i="6"/>
  <c r="BU95" i="6"/>
  <c r="BT95" i="6"/>
  <c r="BS95" i="6"/>
  <c r="BR95" i="6"/>
  <c r="BQ95" i="6"/>
  <c r="BP95" i="6"/>
  <c r="BO95" i="6"/>
  <c r="BN95" i="6"/>
  <c r="BM95" i="6"/>
  <c r="BL95" i="6"/>
  <c r="BK95" i="6"/>
  <c r="BJ95" i="6"/>
  <c r="BI95" i="6"/>
  <c r="BH95" i="6"/>
  <c r="BG95" i="6"/>
  <c r="BF95" i="6"/>
  <c r="BE95" i="6"/>
  <c r="BD95" i="6"/>
  <c r="BC95" i="6"/>
  <c r="BB95" i="6"/>
  <c r="BA95" i="6"/>
  <c r="AZ95" i="6"/>
  <c r="AY95" i="6"/>
  <c r="AX95" i="6"/>
  <c r="AW95" i="6"/>
  <c r="AV95" i="6"/>
  <c r="AU95" i="6"/>
  <c r="AT95" i="6"/>
  <c r="AS95" i="6"/>
  <c r="AR95" i="6"/>
  <c r="AQ95" i="6"/>
  <c r="AP95" i="6"/>
  <c r="AO95" i="6"/>
  <c r="AN95" i="6"/>
  <c r="AM95" i="6"/>
  <c r="AL95" i="6"/>
  <c r="AK95" i="6"/>
  <c r="AJ95" i="6"/>
  <c r="AI95" i="6"/>
  <c r="AH95" i="6"/>
  <c r="AG95" i="6"/>
  <c r="AF95" i="6"/>
  <c r="AE95" i="6"/>
  <c r="AD95" i="6"/>
  <c r="AC95" i="6"/>
  <c r="AB95" i="6"/>
  <c r="AA95" i="6"/>
  <c r="Z95" i="6"/>
  <c r="Y95" i="6"/>
  <c r="X95" i="6"/>
  <c r="W95" i="6"/>
  <c r="V95" i="6"/>
  <c r="U95" i="6"/>
  <c r="T95" i="6"/>
  <c r="S95" i="6"/>
  <c r="R95" i="6"/>
  <c r="Q95" i="6"/>
  <c r="P95" i="6"/>
  <c r="O95" i="6"/>
  <c r="N95" i="6"/>
  <c r="M95" i="6"/>
  <c r="L95" i="6"/>
  <c r="K95" i="6"/>
  <c r="J95" i="6"/>
  <c r="I95" i="6"/>
  <c r="H95" i="6"/>
  <c r="G95" i="6"/>
  <c r="F95" i="6"/>
  <c r="DA94" i="6"/>
  <c r="CZ94" i="6"/>
  <c r="CY94" i="6"/>
  <c r="CX94" i="6"/>
  <c r="CW94" i="6"/>
  <c r="CV94" i="6"/>
  <c r="CU94" i="6"/>
  <c r="CT94" i="6"/>
  <c r="CS94" i="6"/>
  <c r="CR94" i="6"/>
  <c r="CQ94" i="6"/>
  <c r="CP94" i="6"/>
  <c r="CO94" i="6"/>
  <c r="CN94" i="6"/>
  <c r="CM94" i="6"/>
  <c r="CL94" i="6"/>
  <c r="CK94" i="6"/>
  <c r="CJ94" i="6"/>
  <c r="CI94" i="6"/>
  <c r="CH94" i="6"/>
  <c r="CG94" i="6"/>
  <c r="CF94" i="6"/>
  <c r="CE94" i="6"/>
  <c r="CD94" i="6"/>
  <c r="CC94" i="6"/>
  <c r="CB94" i="6"/>
  <c r="CA94" i="6"/>
  <c r="BZ94" i="6"/>
  <c r="BY94" i="6"/>
  <c r="BX94" i="6"/>
  <c r="BW94" i="6"/>
  <c r="BV94" i="6"/>
  <c r="BU94" i="6"/>
  <c r="BT94" i="6"/>
  <c r="BS94" i="6"/>
  <c r="BR94" i="6"/>
  <c r="BQ94" i="6"/>
  <c r="BP94" i="6"/>
  <c r="BO94" i="6"/>
  <c r="BN94" i="6"/>
  <c r="BM94" i="6"/>
  <c r="BL94" i="6"/>
  <c r="BK94" i="6"/>
  <c r="BJ94" i="6"/>
  <c r="BI94" i="6"/>
  <c r="BH94" i="6"/>
  <c r="BG94" i="6"/>
  <c r="BF94" i="6"/>
  <c r="BE94" i="6"/>
  <c r="BD94" i="6"/>
  <c r="BC94" i="6"/>
  <c r="BB94" i="6"/>
  <c r="BA94" i="6"/>
  <c r="AZ94" i="6"/>
  <c r="AY94" i="6"/>
  <c r="AX94" i="6"/>
  <c r="AW94" i="6"/>
  <c r="AV94" i="6"/>
  <c r="AU94" i="6"/>
  <c r="AT94" i="6"/>
  <c r="AS94" i="6"/>
  <c r="AR94" i="6"/>
  <c r="AQ94" i="6"/>
  <c r="AP94" i="6"/>
  <c r="AO94" i="6"/>
  <c r="AN94" i="6"/>
  <c r="AM94" i="6"/>
  <c r="AL94" i="6"/>
  <c r="AK94" i="6"/>
  <c r="AJ94" i="6"/>
  <c r="AI94" i="6"/>
  <c r="AH94" i="6"/>
  <c r="AG94" i="6"/>
  <c r="AF94" i="6"/>
  <c r="AE94" i="6"/>
  <c r="AD94" i="6"/>
  <c r="AC94" i="6"/>
  <c r="AB94" i="6"/>
  <c r="AA94" i="6"/>
  <c r="Z94" i="6"/>
  <c r="Y94" i="6"/>
  <c r="X94" i="6"/>
  <c r="W94" i="6"/>
  <c r="V94" i="6"/>
  <c r="U94" i="6"/>
  <c r="T94" i="6"/>
  <c r="S94" i="6"/>
  <c r="R94" i="6"/>
  <c r="Q94" i="6"/>
  <c r="P94" i="6"/>
  <c r="O94" i="6"/>
  <c r="N94" i="6"/>
  <c r="M94" i="6"/>
  <c r="L94" i="6"/>
  <c r="K94" i="6"/>
  <c r="J94" i="6"/>
  <c r="I94" i="6"/>
  <c r="H94" i="6"/>
  <c r="G94" i="6"/>
  <c r="F94" i="6"/>
  <c r="DA93" i="6"/>
  <c r="CZ93" i="6"/>
  <c r="CY93" i="6"/>
  <c r="CX93" i="6"/>
  <c r="CW93" i="6"/>
  <c r="CV93" i="6"/>
  <c r="CU93" i="6"/>
  <c r="CT93" i="6"/>
  <c r="CS93" i="6"/>
  <c r="CR93" i="6"/>
  <c r="CQ93" i="6"/>
  <c r="CP93" i="6"/>
  <c r="CO93" i="6"/>
  <c r="CN93" i="6"/>
  <c r="CM93" i="6"/>
  <c r="CL93" i="6"/>
  <c r="CK93" i="6"/>
  <c r="CJ93" i="6"/>
  <c r="CI93" i="6"/>
  <c r="CH93" i="6"/>
  <c r="CG93" i="6"/>
  <c r="CF93" i="6"/>
  <c r="CE93" i="6"/>
  <c r="CD93" i="6"/>
  <c r="CC93" i="6"/>
  <c r="CB93" i="6"/>
  <c r="CA93" i="6"/>
  <c r="BZ93" i="6"/>
  <c r="BY93" i="6"/>
  <c r="BX93" i="6"/>
  <c r="BW93" i="6"/>
  <c r="BV93" i="6"/>
  <c r="BU93" i="6"/>
  <c r="BT93" i="6"/>
  <c r="BS93" i="6"/>
  <c r="BR93" i="6"/>
  <c r="BQ93" i="6"/>
  <c r="BP93" i="6"/>
  <c r="BO93" i="6"/>
  <c r="BN93" i="6"/>
  <c r="BM93" i="6"/>
  <c r="BL93" i="6"/>
  <c r="BK93" i="6"/>
  <c r="BJ93" i="6"/>
  <c r="BI93" i="6"/>
  <c r="BH93" i="6"/>
  <c r="BG93" i="6"/>
  <c r="BF93" i="6"/>
  <c r="BE93" i="6"/>
  <c r="BD93" i="6"/>
  <c r="BC93" i="6"/>
  <c r="BB93" i="6"/>
  <c r="BA93" i="6"/>
  <c r="AZ93" i="6"/>
  <c r="AY93" i="6"/>
  <c r="AX93" i="6"/>
  <c r="AW93" i="6"/>
  <c r="AV93" i="6"/>
  <c r="AU93" i="6"/>
  <c r="AT93" i="6"/>
  <c r="AS93" i="6"/>
  <c r="AR93" i="6"/>
  <c r="AQ93" i="6"/>
  <c r="AP93" i="6"/>
  <c r="AO93" i="6"/>
  <c r="AN93" i="6"/>
  <c r="AM93" i="6"/>
  <c r="AL93" i="6"/>
  <c r="AK93" i="6"/>
  <c r="AJ93" i="6"/>
  <c r="AI93" i="6"/>
  <c r="AH93" i="6"/>
  <c r="AG93" i="6"/>
  <c r="AF93" i="6"/>
  <c r="AE93" i="6"/>
  <c r="AD93" i="6"/>
  <c r="AC93" i="6"/>
  <c r="AB93" i="6"/>
  <c r="AA93" i="6"/>
  <c r="Z93" i="6"/>
  <c r="Y93" i="6"/>
  <c r="X93" i="6"/>
  <c r="W93" i="6"/>
  <c r="V93" i="6"/>
  <c r="U93" i="6"/>
  <c r="T93" i="6"/>
  <c r="S93" i="6"/>
  <c r="R93" i="6"/>
  <c r="Q93" i="6"/>
  <c r="P93" i="6"/>
  <c r="O93" i="6"/>
  <c r="N93" i="6"/>
  <c r="M93" i="6"/>
  <c r="L93" i="6"/>
  <c r="K93" i="6"/>
  <c r="J93" i="6"/>
  <c r="I93" i="6"/>
  <c r="H93" i="6"/>
  <c r="G93" i="6"/>
  <c r="F93" i="6"/>
  <c r="DA92" i="6"/>
  <c r="CZ92" i="6"/>
  <c r="CY92" i="6"/>
  <c r="CX92" i="6"/>
  <c r="CW92" i="6"/>
  <c r="CV92" i="6"/>
  <c r="CU92" i="6"/>
  <c r="CT92" i="6"/>
  <c r="CS92" i="6"/>
  <c r="CR92" i="6"/>
  <c r="CQ92" i="6"/>
  <c r="CP92" i="6"/>
  <c r="CO92" i="6"/>
  <c r="CN92" i="6"/>
  <c r="CM92" i="6"/>
  <c r="CL92" i="6"/>
  <c r="CK92" i="6"/>
  <c r="CJ92" i="6"/>
  <c r="CI92" i="6"/>
  <c r="CH92" i="6"/>
  <c r="CG92" i="6"/>
  <c r="CF92" i="6"/>
  <c r="CE92" i="6"/>
  <c r="CD92" i="6"/>
  <c r="CC92" i="6"/>
  <c r="CB92" i="6"/>
  <c r="CA92" i="6"/>
  <c r="BZ92" i="6"/>
  <c r="BY92" i="6"/>
  <c r="BX92" i="6"/>
  <c r="BW92" i="6"/>
  <c r="BV92" i="6"/>
  <c r="BU92" i="6"/>
  <c r="BT92" i="6"/>
  <c r="BS92" i="6"/>
  <c r="BR92" i="6"/>
  <c r="BQ92" i="6"/>
  <c r="BP92" i="6"/>
  <c r="BO92" i="6"/>
  <c r="BN92" i="6"/>
  <c r="BM92" i="6"/>
  <c r="BL92" i="6"/>
  <c r="BK92" i="6"/>
  <c r="BJ92" i="6"/>
  <c r="BI92" i="6"/>
  <c r="BH92" i="6"/>
  <c r="BG92" i="6"/>
  <c r="BF92" i="6"/>
  <c r="BE92" i="6"/>
  <c r="BD92" i="6"/>
  <c r="BC92" i="6"/>
  <c r="BB92" i="6"/>
  <c r="BA92" i="6"/>
  <c r="AZ92" i="6"/>
  <c r="AY92" i="6"/>
  <c r="AX92" i="6"/>
  <c r="AW92" i="6"/>
  <c r="AV92" i="6"/>
  <c r="AU92" i="6"/>
  <c r="AT92" i="6"/>
  <c r="AS92" i="6"/>
  <c r="AR92" i="6"/>
  <c r="AQ92" i="6"/>
  <c r="AP92" i="6"/>
  <c r="AO92" i="6"/>
  <c r="AN92" i="6"/>
  <c r="AM92" i="6"/>
  <c r="AL92" i="6"/>
  <c r="AK92" i="6"/>
  <c r="AJ92" i="6"/>
  <c r="AI92" i="6"/>
  <c r="AH92" i="6"/>
  <c r="AG92" i="6"/>
  <c r="AF92" i="6"/>
  <c r="AE92" i="6"/>
  <c r="AD92" i="6"/>
  <c r="AC92" i="6"/>
  <c r="AB92" i="6"/>
  <c r="AA92" i="6"/>
  <c r="Z92" i="6"/>
  <c r="Y92" i="6"/>
  <c r="X92" i="6"/>
  <c r="W92" i="6"/>
  <c r="V92" i="6"/>
  <c r="U92" i="6"/>
  <c r="T92" i="6"/>
  <c r="S92" i="6"/>
  <c r="R92" i="6"/>
  <c r="Q92" i="6"/>
  <c r="P92" i="6"/>
  <c r="O92" i="6"/>
  <c r="N92" i="6"/>
  <c r="M92" i="6"/>
  <c r="L92" i="6"/>
  <c r="K92" i="6"/>
  <c r="J92" i="6"/>
  <c r="I92" i="6"/>
  <c r="H92" i="6"/>
  <c r="G92" i="6"/>
  <c r="F92" i="6"/>
  <c r="DA91" i="6"/>
  <c r="CZ91" i="6"/>
  <c r="CY91" i="6"/>
  <c r="CX91" i="6"/>
  <c r="CW91" i="6"/>
  <c r="CV91" i="6"/>
  <c r="CU91" i="6"/>
  <c r="CT91" i="6"/>
  <c r="CS91" i="6"/>
  <c r="CR91" i="6"/>
  <c r="CQ91" i="6"/>
  <c r="CP91" i="6"/>
  <c r="CO91" i="6"/>
  <c r="CN91" i="6"/>
  <c r="CM91" i="6"/>
  <c r="CL91" i="6"/>
  <c r="CK91" i="6"/>
  <c r="CJ91" i="6"/>
  <c r="CI91" i="6"/>
  <c r="CH91" i="6"/>
  <c r="CG91" i="6"/>
  <c r="CF91" i="6"/>
  <c r="CE91" i="6"/>
  <c r="CD91" i="6"/>
  <c r="CC91" i="6"/>
  <c r="CB91" i="6"/>
  <c r="CA91" i="6"/>
  <c r="BZ91" i="6"/>
  <c r="BY91" i="6"/>
  <c r="BX91" i="6"/>
  <c r="BW91" i="6"/>
  <c r="BV91" i="6"/>
  <c r="BU91" i="6"/>
  <c r="BT91" i="6"/>
  <c r="BS91" i="6"/>
  <c r="BR91" i="6"/>
  <c r="BQ91" i="6"/>
  <c r="BP91" i="6"/>
  <c r="BO91" i="6"/>
  <c r="BN91" i="6"/>
  <c r="BM91" i="6"/>
  <c r="BL91" i="6"/>
  <c r="BK91" i="6"/>
  <c r="BJ91" i="6"/>
  <c r="BI91" i="6"/>
  <c r="BH91" i="6"/>
  <c r="BG91" i="6"/>
  <c r="BF91" i="6"/>
  <c r="BE91" i="6"/>
  <c r="BD91" i="6"/>
  <c r="BC91" i="6"/>
  <c r="BB91" i="6"/>
  <c r="BA91" i="6"/>
  <c r="AZ91" i="6"/>
  <c r="AY91" i="6"/>
  <c r="AX91" i="6"/>
  <c r="AW91" i="6"/>
  <c r="AV91" i="6"/>
  <c r="AU91" i="6"/>
  <c r="AT91" i="6"/>
  <c r="AS91" i="6"/>
  <c r="AR91" i="6"/>
  <c r="AQ91" i="6"/>
  <c r="AP91" i="6"/>
  <c r="AO91" i="6"/>
  <c r="AN91" i="6"/>
  <c r="AM91" i="6"/>
  <c r="AL91" i="6"/>
  <c r="AK91" i="6"/>
  <c r="AJ91" i="6"/>
  <c r="AI91" i="6"/>
  <c r="AH91" i="6"/>
  <c r="AG91" i="6"/>
  <c r="AF91" i="6"/>
  <c r="AE91" i="6"/>
  <c r="AD91" i="6"/>
  <c r="AC91" i="6"/>
  <c r="AB91" i="6"/>
  <c r="AA91" i="6"/>
  <c r="Z91" i="6"/>
  <c r="Y91" i="6"/>
  <c r="X91" i="6"/>
  <c r="W91" i="6"/>
  <c r="V91" i="6"/>
  <c r="U91" i="6"/>
  <c r="T91" i="6"/>
  <c r="S91" i="6"/>
  <c r="R91" i="6"/>
  <c r="Q91" i="6"/>
  <c r="P91" i="6"/>
  <c r="O91" i="6"/>
  <c r="N91" i="6"/>
  <c r="M91" i="6"/>
  <c r="L91" i="6"/>
  <c r="K91" i="6"/>
  <c r="J91" i="6"/>
  <c r="I91" i="6"/>
  <c r="H91" i="6"/>
  <c r="G91" i="6"/>
  <c r="F91" i="6"/>
  <c r="DA90" i="6"/>
  <c r="CZ90" i="6"/>
  <c r="CY90" i="6"/>
  <c r="CX90" i="6"/>
  <c r="CW90" i="6"/>
  <c r="CV90" i="6"/>
  <c r="CU90" i="6"/>
  <c r="CT90" i="6"/>
  <c r="CS90" i="6"/>
  <c r="CR90" i="6"/>
  <c r="CQ90" i="6"/>
  <c r="CP90" i="6"/>
  <c r="CO90" i="6"/>
  <c r="CN90" i="6"/>
  <c r="CM90" i="6"/>
  <c r="CL90" i="6"/>
  <c r="CK90" i="6"/>
  <c r="CJ90" i="6"/>
  <c r="CI90" i="6"/>
  <c r="CH90" i="6"/>
  <c r="CG90" i="6"/>
  <c r="CF90" i="6"/>
  <c r="CE90" i="6"/>
  <c r="CD90" i="6"/>
  <c r="CC90" i="6"/>
  <c r="CB90" i="6"/>
  <c r="CA90" i="6"/>
  <c r="BZ90" i="6"/>
  <c r="BY90" i="6"/>
  <c r="BX90" i="6"/>
  <c r="BW90" i="6"/>
  <c r="BV90" i="6"/>
  <c r="BU90" i="6"/>
  <c r="BT90" i="6"/>
  <c r="BS90" i="6"/>
  <c r="BR90" i="6"/>
  <c r="BQ90" i="6"/>
  <c r="BP90" i="6"/>
  <c r="BO90" i="6"/>
  <c r="BN90" i="6"/>
  <c r="BM90" i="6"/>
  <c r="BL90" i="6"/>
  <c r="BK90" i="6"/>
  <c r="BJ90" i="6"/>
  <c r="BI90" i="6"/>
  <c r="BH90" i="6"/>
  <c r="BG90" i="6"/>
  <c r="BF90" i="6"/>
  <c r="BE90" i="6"/>
  <c r="BD90" i="6"/>
  <c r="BC90" i="6"/>
  <c r="BB90" i="6"/>
  <c r="BA90" i="6"/>
  <c r="AZ90" i="6"/>
  <c r="AY90" i="6"/>
  <c r="AX90" i="6"/>
  <c r="AW90" i="6"/>
  <c r="AV90" i="6"/>
  <c r="AU90" i="6"/>
  <c r="AT90" i="6"/>
  <c r="AS90" i="6"/>
  <c r="AR90" i="6"/>
  <c r="AQ90" i="6"/>
  <c r="AP90" i="6"/>
  <c r="AO90" i="6"/>
  <c r="AN90" i="6"/>
  <c r="AM90" i="6"/>
  <c r="AL90" i="6"/>
  <c r="AK90" i="6"/>
  <c r="AJ90" i="6"/>
  <c r="AI90" i="6"/>
  <c r="AH90" i="6"/>
  <c r="AG90" i="6"/>
  <c r="AF90" i="6"/>
  <c r="AE90" i="6"/>
  <c r="AD90" i="6"/>
  <c r="AC90" i="6"/>
  <c r="AB90" i="6"/>
  <c r="AA90" i="6"/>
  <c r="Z90" i="6"/>
  <c r="Y90" i="6"/>
  <c r="X90" i="6"/>
  <c r="W90" i="6"/>
  <c r="V90" i="6"/>
  <c r="U90" i="6"/>
  <c r="T90" i="6"/>
  <c r="S90" i="6"/>
  <c r="R90" i="6"/>
  <c r="Q90" i="6"/>
  <c r="P90" i="6"/>
  <c r="O90" i="6"/>
  <c r="N90" i="6"/>
  <c r="M90" i="6"/>
  <c r="L90" i="6"/>
  <c r="K90" i="6"/>
  <c r="J90" i="6"/>
  <c r="I90" i="6"/>
  <c r="H90" i="6"/>
  <c r="G90" i="6"/>
  <c r="F90" i="6"/>
  <c r="DA89" i="6"/>
  <c r="CZ89" i="6"/>
  <c r="CY89" i="6"/>
  <c r="CX89" i="6"/>
  <c r="CW89" i="6"/>
  <c r="CV89" i="6"/>
  <c r="CU89" i="6"/>
  <c r="CT89" i="6"/>
  <c r="CS89" i="6"/>
  <c r="CR89" i="6"/>
  <c r="CQ89" i="6"/>
  <c r="CP89" i="6"/>
  <c r="CO89" i="6"/>
  <c r="CN89" i="6"/>
  <c r="CM89" i="6"/>
  <c r="CL89" i="6"/>
  <c r="CK89" i="6"/>
  <c r="CJ89" i="6"/>
  <c r="CI89" i="6"/>
  <c r="CH89" i="6"/>
  <c r="CG89" i="6"/>
  <c r="CF89" i="6"/>
  <c r="CE89" i="6"/>
  <c r="CD89" i="6"/>
  <c r="CC89" i="6"/>
  <c r="CB89" i="6"/>
  <c r="CA89" i="6"/>
  <c r="BZ89" i="6"/>
  <c r="BY89" i="6"/>
  <c r="BX89" i="6"/>
  <c r="BW89" i="6"/>
  <c r="BV89" i="6"/>
  <c r="BU89" i="6"/>
  <c r="BT89" i="6"/>
  <c r="BS89" i="6"/>
  <c r="BR89" i="6"/>
  <c r="BQ89" i="6"/>
  <c r="BP89" i="6"/>
  <c r="BO89" i="6"/>
  <c r="BN89" i="6"/>
  <c r="BM89" i="6"/>
  <c r="BL89" i="6"/>
  <c r="BK89" i="6"/>
  <c r="BJ89" i="6"/>
  <c r="BI89" i="6"/>
  <c r="BH89" i="6"/>
  <c r="BG89" i="6"/>
  <c r="BF89" i="6"/>
  <c r="BE89" i="6"/>
  <c r="BD89" i="6"/>
  <c r="BC89" i="6"/>
  <c r="BB89" i="6"/>
  <c r="BA89" i="6"/>
  <c r="AZ89" i="6"/>
  <c r="AY89" i="6"/>
  <c r="AX89" i="6"/>
  <c r="AW89" i="6"/>
  <c r="AV89" i="6"/>
  <c r="AU89" i="6"/>
  <c r="AT89" i="6"/>
  <c r="AS89" i="6"/>
  <c r="AR89" i="6"/>
  <c r="AQ89" i="6"/>
  <c r="AP89" i="6"/>
  <c r="AO89" i="6"/>
  <c r="AN89" i="6"/>
  <c r="AM89" i="6"/>
  <c r="AL89" i="6"/>
  <c r="AK89" i="6"/>
  <c r="AJ89" i="6"/>
  <c r="AI89" i="6"/>
  <c r="AH89" i="6"/>
  <c r="AG89" i="6"/>
  <c r="AF89" i="6"/>
  <c r="AE89" i="6"/>
  <c r="AD89" i="6"/>
  <c r="AC89" i="6"/>
  <c r="AB89" i="6"/>
  <c r="AA89" i="6"/>
  <c r="Z89" i="6"/>
  <c r="Y89" i="6"/>
  <c r="X89" i="6"/>
  <c r="W89" i="6"/>
  <c r="V89" i="6"/>
  <c r="U89" i="6"/>
  <c r="T89" i="6"/>
  <c r="S89" i="6"/>
  <c r="R89" i="6"/>
  <c r="Q89" i="6"/>
  <c r="P89" i="6"/>
  <c r="O89" i="6"/>
  <c r="N89" i="6"/>
  <c r="M89" i="6"/>
  <c r="L89" i="6"/>
  <c r="K89" i="6"/>
  <c r="J89" i="6"/>
  <c r="I89" i="6"/>
  <c r="H89" i="6"/>
  <c r="G89" i="6"/>
  <c r="F89" i="6"/>
  <c r="DA88" i="6"/>
  <c r="CZ88" i="6"/>
  <c r="CY88" i="6"/>
  <c r="CX88" i="6"/>
  <c r="CW88" i="6"/>
  <c r="CV88" i="6"/>
  <c r="CU88" i="6"/>
  <c r="CT88" i="6"/>
  <c r="CS88" i="6"/>
  <c r="CR88" i="6"/>
  <c r="CQ88" i="6"/>
  <c r="CP88" i="6"/>
  <c r="CO88" i="6"/>
  <c r="CN88" i="6"/>
  <c r="CM88" i="6"/>
  <c r="CL88" i="6"/>
  <c r="CK88" i="6"/>
  <c r="CJ88" i="6"/>
  <c r="CI88" i="6"/>
  <c r="CH88" i="6"/>
  <c r="CG88" i="6"/>
  <c r="CF88" i="6"/>
  <c r="CE88" i="6"/>
  <c r="CD88" i="6"/>
  <c r="CC88" i="6"/>
  <c r="CB88" i="6"/>
  <c r="CA88" i="6"/>
  <c r="BZ88" i="6"/>
  <c r="BY88" i="6"/>
  <c r="BX88" i="6"/>
  <c r="BW88" i="6"/>
  <c r="BV88" i="6"/>
  <c r="BU88" i="6"/>
  <c r="BT88" i="6"/>
  <c r="BS88" i="6"/>
  <c r="BR88" i="6"/>
  <c r="BQ88" i="6"/>
  <c r="BP88" i="6"/>
  <c r="BO88" i="6"/>
  <c r="BN88" i="6"/>
  <c r="BM88" i="6"/>
  <c r="BL88" i="6"/>
  <c r="BK88" i="6"/>
  <c r="BJ88" i="6"/>
  <c r="BI88" i="6"/>
  <c r="BH88" i="6"/>
  <c r="BG88" i="6"/>
  <c r="BF88" i="6"/>
  <c r="BE88" i="6"/>
  <c r="BD88" i="6"/>
  <c r="BC88" i="6"/>
  <c r="BB88" i="6"/>
  <c r="BA88" i="6"/>
  <c r="AZ88" i="6"/>
  <c r="AY88" i="6"/>
  <c r="AX88" i="6"/>
  <c r="AW88" i="6"/>
  <c r="AV88" i="6"/>
  <c r="AU88" i="6"/>
  <c r="AT88" i="6"/>
  <c r="AS88" i="6"/>
  <c r="AR88" i="6"/>
  <c r="AQ88" i="6"/>
  <c r="AP88" i="6"/>
  <c r="AO88" i="6"/>
  <c r="AN88" i="6"/>
  <c r="AM88" i="6"/>
  <c r="AL88" i="6"/>
  <c r="AK88" i="6"/>
  <c r="AJ88" i="6"/>
  <c r="AI88" i="6"/>
  <c r="AH88" i="6"/>
  <c r="AG88" i="6"/>
  <c r="AF88" i="6"/>
  <c r="AE88" i="6"/>
  <c r="AD88" i="6"/>
  <c r="AC88" i="6"/>
  <c r="AB88" i="6"/>
  <c r="AA88" i="6"/>
  <c r="Z88" i="6"/>
  <c r="Y88" i="6"/>
  <c r="X88" i="6"/>
  <c r="W88" i="6"/>
  <c r="V88" i="6"/>
  <c r="U88" i="6"/>
  <c r="T88" i="6"/>
  <c r="S88" i="6"/>
  <c r="R88" i="6"/>
  <c r="Q88" i="6"/>
  <c r="P88" i="6"/>
  <c r="O88" i="6"/>
  <c r="N88" i="6"/>
  <c r="M88" i="6"/>
  <c r="L88" i="6"/>
  <c r="K88" i="6"/>
  <c r="J88" i="6"/>
  <c r="I88" i="6"/>
  <c r="H88" i="6"/>
  <c r="G88" i="6"/>
  <c r="F88" i="6"/>
  <c r="DA87" i="6"/>
  <c r="CZ87" i="6"/>
  <c r="CY87" i="6"/>
  <c r="CX87" i="6"/>
  <c r="CW87" i="6"/>
  <c r="CV87" i="6"/>
  <c r="CU87" i="6"/>
  <c r="CT87" i="6"/>
  <c r="CS87" i="6"/>
  <c r="CR87" i="6"/>
  <c r="CQ87" i="6"/>
  <c r="CP87" i="6"/>
  <c r="CO87" i="6"/>
  <c r="CN87" i="6"/>
  <c r="CM87" i="6"/>
  <c r="CL87" i="6"/>
  <c r="CK87" i="6"/>
  <c r="CJ87" i="6"/>
  <c r="CI87" i="6"/>
  <c r="CH87" i="6"/>
  <c r="CG87" i="6"/>
  <c r="CF87" i="6"/>
  <c r="CE87" i="6"/>
  <c r="CD87" i="6"/>
  <c r="CC87" i="6"/>
  <c r="CB87" i="6"/>
  <c r="CA87" i="6"/>
  <c r="BZ87" i="6"/>
  <c r="BY87" i="6"/>
  <c r="BX87" i="6"/>
  <c r="BW87" i="6"/>
  <c r="BV87" i="6"/>
  <c r="BU87" i="6"/>
  <c r="BT87" i="6"/>
  <c r="BS87" i="6"/>
  <c r="BR87" i="6"/>
  <c r="BQ87" i="6"/>
  <c r="BP87" i="6"/>
  <c r="BO87" i="6"/>
  <c r="BN87" i="6"/>
  <c r="BM87" i="6"/>
  <c r="BL87" i="6"/>
  <c r="BK87" i="6"/>
  <c r="BJ87" i="6"/>
  <c r="BI87" i="6"/>
  <c r="BH87" i="6"/>
  <c r="BG87" i="6"/>
  <c r="BF87" i="6"/>
  <c r="BE87" i="6"/>
  <c r="BD87" i="6"/>
  <c r="BC87" i="6"/>
  <c r="BB87" i="6"/>
  <c r="BA87" i="6"/>
  <c r="AZ87" i="6"/>
  <c r="AY87" i="6"/>
  <c r="AX87" i="6"/>
  <c r="AW87" i="6"/>
  <c r="AV87" i="6"/>
  <c r="AU87" i="6"/>
  <c r="AT87" i="6"/>
  <c r="AS87" i="6"/>
  <c r="AR87" i="6"/>
  <c r="AQ87" i="6"/>
  <c r="AP87" i="6"/>
  <c r="AO87" i="6"/>
  <c r="AN87" i="6"/>
  <c r="AM87" i="6"/>
  <c r="AL87" i="6"/>
  <c r="AK87" i="6"/>
  <c r="AJ87" i="6"/>
  <c r="AI87" i="6"/>
  <c r="AH87" i="6"/>
  <c r="AG87" i="6"/>
  <c r="AF87" i="6"/>
  <c r="AE87" i="6"/>
  <c r="AD87" i="6"/>
  <c r="AC87" i="6"/>
  <c r="AB87" i="6"/>
  <c r="AA87" i="6"/>
  <c r="Z87" i="6"/>
  <c r="Y87" i="6"/>
  <c r="X87" i="6"/>
  <c r="W87" i="6"/>
  <c r="V87" i="6"/>
  <c r="U87" i="6"/>
  <c r="T87" i="6"/>
  <c r="S87" i="6"/>
  <c r="R87" i="6"/>
  <c r="Q87" i="6"/>
  <c r="P87" i="6"/>
  <c r="O87" i="6"/>
  <c r="N87" i="6"/>
  <c r="M87" i="6"/>
  <c r="L87" i="6"/>
  <c r="K87" i="6"/>
  <c r="J87" i="6"/>
  <c r="I87" i="6"/>
  <c r="H87" i="6"/>
  <c r="G87" i="6"/>
  <c r="F87" i="6"/>
  <c r="DA86" i="6"/>
  <c r="CZ86" i="6"/>
  <c r="CY86" i="6"/>
  <c r="CX86" i="6"/>
  <c r="CW86" i="6"/>
  <c r="CV86" i="6"/>
  <c r="CU86" i="6"/>
  <c r="CT86" i="6"/>
  <c r="CS86" i="6"/>
  <c r="CR86" i="6"/>
  <c r="CQ86" i="6"/>
  <c r="CP86" i="6"/>
  <c r="CO86" i="6"/>
  <c r="CN86" i="6"/>
  <c r="CM86" i="6"/>
  <c r="CL86" i="6"/>
  <c r="CK86" i="6"/>
  <c r="CJ86" i="6"/>
  <c r="CI86" i="6"/>
  <c r="CH86" i="6"/>
  <c r="CG86" i="6"/>
  <c r="CF86" i="6"/>
  <c r="CE86" i="6"/>
  <c r="CD86" i="6"/>
  <c r="CC86" i="6"/>
  <c r="CB86" i="6"/>
  <c r="CA86" i="6"/>
  <c r="BZ86" i="6"/>
  <c r="BY86" i="6"/>
  <c r="BX86" i="6"/>
  <c r="BW86" i="6"/>
  <c r="BV86" i="6"/>
  <c r="BU86" i="6"/>
  <c r="BT86" i="6"/>
  <c r="BS86" i="6"/>
  <c r="BR86" i="6"/>
  <c r="BQ86" i="6"/>
  <c r="BP86" i="6"/>
  <c r="BO86" i="6"/>
  <c r="BN86" i="6"/>
  <c r="BM86" i="6"/>
  <c r="BL86" i="6"/>
  <c r="BK86" i="6"/>
  <c r="BJ86" i="6"/>
  <c r="BI86" i="6"/>
  <c r="BH86" i="6"/>
  <c r="BG86" i="6"/>
  <c r="BF86" i="6"/>
  <c r="BE86" i="6"/>
  <c r="BD86" i="6"/>
  <c r="BC86" i="6"/>
  <c r="BB86" i="6"/>
  <c r="BA86" i="6"/>
  <c r="AZ86" i="6"/>
  <c r="AY86" i="6"/>
  <c r="AX86" i="6"/>
  <c r="AW86" i="6"/>
  <c r="AV86" i="6"/>
  <c r="AU86" i="6"/>
  <c r="AT86" i="6"/>
  <c r="AS86" i="6"/>
  <c r="AR86" i="6"/>
  <c r="AQ86" i="6"/>
  <c r="AP86" i="6"/>
  <c r="AO86" i="6"/>
  <c r="AN86" i="6"/>
  <c r="AM86" i="6"/>
  <c r="AL86" i="6"/>
  <c r="AK86" i="6"/>
  <c r="AJ86" i="6"/>
  <c r="AI86" i="6"/>
  <c r="AH86" i="6"/>
  <c r="AG86" i="6"/>
  <c r="AF86" i="6"/>
  <c r="AE86" i="6"/>
  <c r="AD86" i="6"/>
  <c r="AC86" i="6"/>
  <c r="AB86" i="6"/>
  <c r="AA86" i="6"/>
  <c r="Z86" i="6"/>
  <c r="Y86" i="6"/>
  <c r="X86" i="6"/>
  <c r="W86" i="6"/>
  <c r="V86" i="6"/>
  <c r="U86" i="6"/>
  <c r="T86" i="6"/>
  <c r="S86" i="6"/>
  <c r="R86" i="6"/>
  <c r="Q86" i="6"/>
  <c r="P86" i="6"/>
  <c r="O86" i="6"/>
  <c r="N86" i="6"/>
  <c r="M86" i="6"/>
  <c r="L86" i="6"/>
  <c r="K86" i="6"/>
  <c r="J86" i="6"/>
  <c r="I86" i="6"/>
  <c r="H86" i="6"/>
  <c r="G86" i="6"/>
  <c r="F86" i="6"/>
  <c r="DA85" i="6"/>
  <c r="CZ85" i="6"/>
  <c r="CY85" i="6"/>
  <c r="CX85" i="6"/>
  <c r="CW85" i="6"/>
  <c r="CV85" i="6"/>
  <c r="CU85" i="6"/>
  <c r="CT85" i="6"/>
  <c r="CS85" i="6"/>
  <c r="CR85" i="6"/>
  <c r="CQ85" i="6"/>
  <c r="CP85" i="6"/>
  <c r="CO85" i="6"/>
  <c r="CN85" i="6"/>
  <c r="CM85" i="6"/>
  <c r="CL85" i="6"/>
  <c r="CK85" i="6"/>
  <c r="CJ85" i="6"/>
  <c r="CI85" i="6"/>
  <c r="CH85" i="6"/>
  <c r="CG85" i="6"/>
  <c r="CF85" i="6"/>
  <c r="CE85" i="6"/>
  <c r="CD85" i="6"/>
  <c r="CC85" i="6"/>
  <c r="CB85" i="6"/>
  <c r="CA85" i="6"/>
  <c r="BZ85" i="6"/>
  <c r="BY85" i="6"/>
  <c r="BX85" i="6"/>
  <c r="BW85" i="6"/>
  <c r="BV85" i="6"/>
  <c r="BU85" i="6"/>
  <c r="BT85" i="6"/>
  <c r="BS85" i="6"/>
  <c r="BR85" i="6"/>
  <c r="BQ85" i="6"/>
  <c r="BP85" i="6"/>
  <c r="BO85" i="6"/>
  <c r="BN85" i="6"/>
  <c r="BM85" i="6"/>
  <c r="BL85" i="6"/>
  <c r="BK85" i="6"/>
  <c r="BJ85" i="6"/>
  <c r="BI85" i="6"/>
  <c r="BH85" i="6"/>
  <c r="BG85" i="6"/>
  <c r="BF85" i="6"/>
  <c r="BE85" i="6"/>
  <c r="BD85" i="6"/>
  <c r="BC85" i="6"/>
  <c r="BB85" i="6"/>
  <c r="BA85" i="6"/>
  <c r="AZ85" i="6"/>
  <c r="AY85" i="6"/>
  <c r="AX85" i="6"/>
  <c r="AW85" i="6"/>
  <c r="AV85" i="6"/>
  <c r="AU85" i="6"/>
  <c r="AT85" i="6"/>
  <c r="AS85" i="6"/>
  <c r="AR85" i="6"/>
  <c r="AQ85" i="6"/>
  <c r="AP85" i="6"/>
  <c r="AO85" i="6"/>
  <c r="AN85" i="6"/>
  <c r="AM85" i="6"/>
  <c r="AL85" i="6"/>
  <c r="AK85" i="6"/>
  <c r="AJ85" i="6"/>
  <c r="AI85" i="6"/>
  <c r="AH85" i="6"/>
  <c r="AG85" i="6"/>
  <c r="AF85" i="6"/>
  <c r="AE85" i="6"/>
  <c r="AD85" i="6"/>
  <c r="AC85" i="6"/>
  <c r="AB85" i="6"/>
  <c r="AA85" i="6"/>
  <c r="Z85" i="6"/>
  <c r="Y85" i="6"/>
  <c r="X85" i="6"/>
  <c r="W85" i="6"/>
  <c r="V85" i="6"/>
  <c r="U85" i="6"/>
  <c r="T85" i="6"/>
  <c r="S85" i="6"/>
  <c r="R85" i="6"/>
  <c r="Q85" i="6"/>
  <c r="P85" i="6"/>
  <c r="O85" i="6"/>
  <c r="N85" i="6"/>
  <c r="M85" i="6"/>
  <c r="L85" i="6"/>
  <c r="K85" i="6"/>
  <c r="J85" i="6"/>
  <c r="I85" i="6"/>
  <c r="H85" i="6"/>
  <c r="G85" i="6"/>
  <c r="F85" i="6"/>
  <c r="DA84" i="6"/>
  <c r="CZ84" i="6"/>
  <c r="CY84" i="6"/>
  <c r="CX84" i="6"/>
  <c r="CW84" i="6"/>
  <c r="CV84" i="6"/>
  <c r="CU84" i="6"/>
  <c r="CT84" i="6"/>
  <c r="CS84" i="6"/>
  <c r="CR84" i="6"/>
  <c r="CQ84" i="6"/>
  <c r="CP84" i="6"/>
  <c r="CO84" i="6"/>
  <c r="CN84" i="6"/>
  <c r="CM84" i="6"/>
  <c r="CL84" i="6"/>
  <c r="CK84" i="6"/>
  <c r="CJ84" i="6"/>
  <c r="CI84" i="6"/>
  <c r="CH84" i="6"/>
  <c r="CG84" i="6"/>
  <c r="CF84" i="6"/>
  <c r="CE84" i="6"/>
  <c r="CD84" i="6"/>
  <c r="CC84" i="6"/>
  <c r="CB84" i="6"/>
  <c r="CA84" i="6"/>
  <c r="BZ84" i="6"/>
  <c r="BY84" i="6"/>
  <c r="BX84" i="6"/>
  <c r="BW84" i="6"/>
  <c r="BV84" i="6"/>
  <c r="BU84" i="6"/>
  <c r="BT84" i="6"/>
  <c r="BS84" i="6"/>
  <c r="BR84" i="6"/>
  <c r="BQ84" i="6"/>
  <c r="BP84" i="6"/>
  <c r="BO84" i="6"/>
  <c r="BN84" i="6"/>
  <c r="BM84" i="6"/>
  <c r="BL84" i="6"/>
  <c r="BK84" i="6"/>
  <c r="BJ84" i="6"/>
  <c r="BI84" i="6"/>
  <c r="BH84" i="6"/>
  <c r="BG84" i="6"/>
  <c r="BF84" i="6"/>
  <c r="BE84" i="6"/>
  <c r="BD84" i="6"/>
  <c r="BC84" i="6"/>
  <c r="BB84" i="6"/>
  <c r="BA84" i="6"/>
  <c r="AZ84" i="6"/>
  <c r="AY84" i="6"/>
  <c r="AX84" i="6"/>
  <c r="AW84" i="6"/>
  <c r="AV84" i="6"/>
  <c r="AU84" i="6"/>
  <c r="AT84" i="6"/>
  <c r="AS84" i="6"/>
  <c r="AR84" i="6"/>
  <c r="AQ84" i="6"/>
  <c r="AP84" i="6"/>
  <c r="AO84" i="6"/>
  <c r="AN84" i="6"/>
  <c r="AM84" i="6"/>
  <c r="AL84" i="6"/>
  <c r="AK84" i="6"/>
  <c r="AJ84" i="6"/>
  <c r="AI84" i="6"/>
  <c r="AH84" i="6"/>
  <c r="AG84" i="6"/>
  <c r="AF84" i="6"/>
  <c r="AE84" i="6"/>
  <c r="AD84" i="6"/>
  <c r="AC84" i="6"/>
  <c r="AB84" i="6"/>
  <c r="AA84" i="6"/>
  <c r="Z84" i="6"/>
  <c r="Y84" i="6"/>
  <c r="X84" i="6"/>
  <c r="W84" i="6"/>
  <c r="V84" i="6"/>
  <c r="U84" i="6"/>
  <c r="T84" i="6"/>
  <c r="S84" i="6"/>
  <c r="R84" i="6"/>
  <c r="Q84" i="6"/>
  <c r="P84" i="6"/>
  <c r="O84" i="6"/>
  <c r="N84" i="6"/>
  <c r="M84" i="6"/>
  <c r="L84" i="6"/>
  <c r="K84" i="6"/>
  <c r="J84" i="6"/>
  <c r="I84" i="6"/>
  <c r="H84" i="6"/>
  <c r="G84" i="6"/>
  <c r="F84" i="6"/>
  <c r="DA83" i="6"/>
  <c r="CZ83" i="6"/>
  <c r="CY83" i="6"/>
  <c r="CX83" i="6"/>
  <c r="CW83" i="6"/>
  <c r="CV83" i="6"/>
  <c r="CU83" i="6"/>
  <c r="CT83" i="6"/>
  <c r="CS83" i="6"/>
  <c r="CR83" i="6"/>
  <c r="CQ83" i="6"/>
  <c r="CP83" i="6"/>
  <c r="CO83" i="6"/>
  <c r="CN83" i="6"/>
  <c r="CM83" i="6"/>
  <c r="CL83" i="6"/>
  <c r="CK83" i="6"/>
  <c r="CJ83" i="6"/>
  <c r="CI83" i="6"/>
  <c r="CH83" i="6"/>
  <c r="CG83" i="6"/>
  <c r="CF83" i="6"/>
  <c r="CE83" i="6"/>
  <c r="CD83" i="6"/>
  <c r="CC83" i="6"/>
  <c r="CB83" i="6"/>
  <c r="CA83" i="6"/>
  <c r="BZ83" i="6"/>
  <c r="BY83" i="6"/>
  <c r="BX83" i="6"/>
  <c r="BW83" i="6"/>
  <c r="BV83" i="6"/>
  <c r="BU83" i="6"/>
  <c r="BT83" i="6"/>
  <c r="BS83" i="6"/>
  <c r="BR83" i="6"/>
  <c r="BQ83" i="6"/>
  <c r="BP83" i="6"/>
  <c r="BO83" i="6"/>
  <c r="BN83" i="6"/>
  <c r="BM83" i="6"/>
  <c r="BL83" i="6"/>
  <c r="BK83" i="6"/>
  <c r="BJ83" i="6"/>
  <c r="BI83" i="6"/>
  <c r="BH83" i="6"/>
  <c r="BG83" i="6"/>
  <c r="BF83" i="6"/>
  <c r="BE83" i="6"/>
  <c r="BD83" i="6"/>
  <c r="BC83" i="6"/>
  <c r="BB83" i="6"/>
  <c r="BA83" i="6"/>
  <c r="AZ83" i="6"/>
  <c r="AY83" i="6"/>
  <c r="AX83" i="6"/>
  <c r="AW83" i="6"/>
  <c r="AV83" i="6"/>
  <c r="AU83" i="6"/>
  <c r="AT83" i="6"/>
  <c r="AS83" i="6"/>
  <c r="AR83" i="6"/>
  <c r="AQ83" i="6"/>
  <c r="AP83" i="6"/>
  <c r="AO83" i="6"/>
  <c r="AN83" i="6"/>
  <c r="AM83" i="6"/>
  <c r="AL83" i="6"/>
  <c r="AK83" i="6"/>
  <c r="AJ83" i="6"/>
  <c r="AI83" i="6"/>
  <c r="AH83" i="6"/>
  <c r="AG83" i="6"/>
  <c r="AF83" i="6"/>
  <c r="AE83" i="6"/>
  <c r="AD83" i="6"/>
  <c r="AC83" i="6"/>
  <c r="AB83" i="6"/>
  <c r="AA83" i="6"/>
  <c r="Z83" i="6"/>
  <c r="Y83" i="6"/>
  <c r="X83" i="6"/>
  <c r="W83" i="6"/>
  <c r="V83" i="6"/>
  <c r="U83" i="6"/>
  <c r="T83" i="6"/>
  <c r="S83" i="6"/>
  <c r="R83" i="6"/>
  <c r="Q83" i="6"/>
  <c r="P83" i="6"/>
  <c r="O83" i="6"/>
  <c r="N83" i="6"/>
  <c r="M83" i="6"/>
  <c r="L83" i="6"/>
  <c r="K83" i="6"/>
  <c r="J83" i="6"/>
  <c r="I83" i="6"/>
  <c r="H83" i="6"/>
  <c r="G83" i="6"/>
  <c r="F83" i="6"/>
  <c r="DA82" i="6"/>
  <c r="CZ82" i="6"/>
  <c r="CY82" i="6"/>
  <c r="CX82" i="6"/>
  <c r="CW82" i="6"/>
  <c r="CV82" i="6"/>
  <c r="CU82" i="6"/>
  <c r="CT82" i="6"/>
  <c r="CS82" i="6"/>
  <c r="CR82" i="6"/>
  <c r="CQ82" i="6"/>
  <c r="CP82" i="6"/>
  <c r="CO82" i="6"/>
  <c r="CN82" i="6"/>
  <c r="CM82" i="6"/>
  <c r="CL82" i="6"/>
  <c r="CK82" i="6"/>
  <c r="CJ82" i="6"/>
  <c r="CI82" i="6"/>
  <c r="CH82" i="6"/>
  <c r="CG82" i="6"/>
  <c r="CF82" i="6"/>
  <c r="CE82" i="6"/>
  <c r="CD82" i="6"/>
  <c r="CC82" i="6"/>
  <c r="CB82" i="6"/>
  <c r="CA82" i="6"/>
  <c r="BZ82" i="6"/>
  <c r="BY82" i="6"/>
  <c r="BX82" i="6"/>
  <c r="BW82" i="6"/>
  <c r="BV82" i="6"/>
  <c r="BU82" i="6"/>
  <c r="BT82" i="6"/>
  <c r="BS82" i="6"/>
  <c r="BR82" i="6"/>
  <c r="BQ82" i="6"/>
  <c r="BP82" i="6"/>
  <c r="BO82" i="6"/>
  <c r="BN82" i="6"/>
  <c r="BM82" i="6"/>
  <c r="BL82" i="6"/>
  <c r="BK82" i="6"/>
  <c r="BJ82" i="6"/>
  <c r="BI82" i="6"/>
  <c r="BH82" i="6"/>
  <c r="BG82" i="6"/>
  <c r="BF82" i="6"/>
  <c r="BE82" i="6"/>
  <c r="BD82" i="6"/>
  <c r="BC82" i="6"/>
  <c r="BB82" i="6"/>
  <c r="BA82" i="6"/>
  <c r="AZ82" i="6"/>
  <c r="AY82" i="6"/>
  <c r="AX82" i="6"/>
  <c r="AW82" i="6"/>
  <c r="AV82" i="6"/>
  <c r="AU82" i="6"/>
  <c r="AT82" i="6"/>
  <c r="AS82" i="6"/>
  <c r="AR82" i="6"/>
  <c r="AQ82" i="6"/>
  <c r="AP82" i="6"/>
  <c r="AO82" i="6"/>
  <c r="AN82" i="6"/>
  <c r="AM82" i="6"/>
  <c r="AL82" i="6"/>
  <c r="AK82" i="6"/>
  <c r="AJ82" i="6"/>
  <c r="AI82" i="6"/>
  <c r="AH82" i="6"/>
  <c r="AG82" i="6"/>
  <c r="AF82" i="6"/>
  <c r="AE82" i="6"/>
  <c r="AD82" i="6"/>
  <c r="AC82" i="6"/>
  <c r="AB82" i="6"/>
  <c r="AA82" i="6"/>
  <c r="Z82" i="6"/>
  <c r="Y82" i="6"/>
  <c r="X82" i="6"/>
  <c r="W82" i="6"/>
  <c r="V82" i="6"/>
  <c r="U82" i="6"/>
  <c r="T82" i="6"/>
  <c r="S82" i="6"/>
  <c r="R82" i="6"/>
  <c r="Q82" i="6"/>
  <c r="P82" i="6"/>
  <c r="O82" i="6"/>
  <c r="N82" i="6"/>
  <c r="M82" i="6"/>
  <c r="L82" i="6"/>
  <c r="K82" i="6"/>
  <c r="J82" i="6"/>
  <c r="I82" i="6"/>
  <c r="H82" i="6"/>
  <c r="G82" i="6"/>
  <c r="F82" i="6"/>
  <c r="DA81" i="6"/>
  <c r="CZ81" i="6"/>
  <c r="CY81" i="6"/>
  <c r="CX81" i="6"/>
  <c r="CW81" i="6"/>
  <c r="CV81" i="6"/>
  <c r="CU81" i="6"/>
  <c r="CT81" i="6"/>
  <c r="CS81" i="6"/>
  <c r="CR81" i="6"/>
  <c r="CQ81" i="6"/>
  <c r="CP81" i="6"/>
  <c r="CO81" i="6"/>
  <c r="CN81" i="6"/>
  <c r="CM81" i="6"/>
  <c r="CL81" i="6"/>
  <c r="CK81" i="6"/>
  <c r="CJ81" i="6"/>
  <c r="CI81" i="6"/>
  <c r="CH81" i="6"/>
  <c r="CG81" i="6"/>
  <c r="CF81" i="6"/>
  <c r="CE81" i="6"/>
  <c r="CD81" i="6"/>
  <c r="CC81" i="6"/>
  <c r="CB81" i="6"/>
  <c r="CA81" i="6"/>
  <c r="BZ81" i="6"/>
  <c r="BY81" i="6"/>
  <c r="BX81" i="6"/>
  <c r="BW81" i="6"/>
  <c r="BV81" i="6"/>
  <c r="BU81" i="6"/>
  <c r="BT81" i="6"/>
  <c r="BS81" i="6"/>
  <c r="BR81" i="6"/>
  <c r="BQ81" i="6"/>
  <c r="BP81" i="6"/>
  <c r="BO81" i="6"/>
  <c r="BN81" i="6"/>
  <c r="BM81" i="6"/>
  <c r="BL81" i="6"/>
  <c r="BK81" i="6"/>
  <c r="BJ81" i="6"/>
  <c r="BI81" i="6"/>
  <c r="BH81" i="6"/>
  <c r="BG81" i="6"/>
  <c r="BF81" i="6"/>
  <c r="BE81" i="6"/>
  <c r="BD81" i="6"/>
  <c r="BC81" i="6"/>
  <c r="BB81" i="6"/>
  <c r="BA81" i="6"/>
  <c r="AZ81" i="6"/>
  <c r="AY81" i="6"/>
  <c r="AX81" i="6"/>
  <c r="AW81" i="6"/>
  <c r="AV81" i="6"/>
  <c r="AU81" i="6"/>
  <c r="AT81" i="6"/>
  <c r="AS81" i="6"/>
  <c r="AR81" i="6"/>
  <c r="AQ81" i="6"/>
  <c r="AP81" i="6"/>
  <c r="AO81" i="6"/>
  <c r="AN81" i="6"/>
  <c r="AM81" i="6"/>
  <c r="AL81" i="6"/>
  <c r="AK81" i="6"/>
  <c r="AJ81" i="6"/>
  <c r="AI81" i="6"/>
  <c r="AH81" i="6"/>
  <c r="AG81" i="6"/>
  <c r="AF81" i="6"/>
  <c r="AE81" i="6"/>
  <c r="AD81" i="6"/>
  <c r="AC81" i="6"/>
  <c r="AB81" i="6"/>
  <c r="AA81" i="6"/>
  <c r="Z81" i="6"/>
  <c r="Y81" i="6"/>
  <c r="X81" i="6"/>
  <c r="W81" i="6"/>
  <c r="V81" i="6"/>
  <c r="U81" i="6"/>
  <c r="T81" i="6"/>
  <c r="S81" i="6"/>
  <c r="R81" i="6"/>
  <c r="Q81" i="6"/>
  <c r="P81" i="6"/>
  <c r="O81" i="6"/>
  <c r="N81" i="6"/>
  <c r="M81" i="6"/>
  <c r="L81" i="6"/>
  <c r="K81" i="6"/>
  <c r="J81" i="6"/>
  <c r="I81" i="6"/>
  <c r="H81" i="6"/>
  <c r="G81" i="6"/>
  <c r="F81" i="6"/>
  <c r="DA80" i="6"/>
  <c r="CZ80" i="6"/>
  <c r="CY80" i="6"/>
  <c r="CX80" i="6"/>
  <c r="CW80" i="6"/>
  <c r="CV80" i="6"/>
  <c r="CU80" i="6"/>
  <c r="CT80" i="6"/>
  <c r="CS80" i="6"/>
  <c r="CR80" i="6"/>
  <c r="CQ80" i="6"/>
  <c r="CP80" i="6"/>
  <c r="CO80" i="6"/>
  <c r="CN80" i="6"/>
  <c r="CM80" i="6"/>
  <c r="CL80" i="6"/>
  <c r="CK80" i="6"/>
  <c r="CJ80" i="6"/>
  <c r="CI80" i="6"/>
  <c r="CH80" i="6"/>
  <c r="CG80" i="6"/>
  <c r="CF80" i="6"/>
  <c r="CE80" i="6"/>
  <c r="CD80" i="6"/>
  <c r="CC80" i="6"/>
  <c r="CB80" i="6"/>
  <c r="CA80" i="6"/>
  <c r="BZ80" i="6"/>
  <c r="BY80" i="6"/>
  <c r="BX80" i="6"/>
  <c r="BW80" i="6"/>
  <c r="BV80" i="6"/>
  <c r="BU80" i="6"/>
  <c r="BT80" i="6"/>
  <c r="BS80" i="6"/>
  <c r="BR80" i="6"/>
  <c r="BQ80" i="6"/>
  <c r="BP80" i="6"/>
  <c r="BO80" i="6"/>
  <c r="BN80" i="6"/>
  <c r="BM80" i="6"/>
  <c r="BL80" i="6"/>
  <c r="BK80" i="6"/>
  <c r="BJ80" i="6"/>
  <c r="BI80" i="6"/>
  <c r="BH80" i="6"/>
  <c r="BG80" i="6"/>
  <c r="BF80" i="6"/>
  <c r="BE80" i="6"/>
  <c r="BD80" i="6"/>
  <c r="BC80" i="6"/>
  <c r="BB80" i="6"/>
  <c r="BA80" i="6"/>
  <c r="AZ80" i="6"/>
  <c r="AY80" i="6"/>
  <c r="AX80" i="6"/>
  <c r="AW80" i="6"/>
  <c r="AV80" i="6"/>
  <c r="AU80" i="6"/>
  <c r="AT80" i="6"/>
  <c r="AS80" i="6"/>
  <c r="AR80" i="6"/>
  <c r="AQ80" i="6"/>
  <c r="AP80" i="6"/>
  <c r="AO80" i="6"/>
  <c r="AN80" i="6"/>
  <c r="AM80" i="6"/>
  <c r="AL80" i="6"/>
  <c r="AK80" i="6"/>
  <c r="AJ80" i="6"/>
  <c r="AI80" i="6"/>
  <c r="AH80" i="6"/>
  <c r="AG80" i="6"/>
  <c r="AF80" i="6"/>
  <c r="AE80" i="6"/>
  <c r="AD80" i="6"/>
  <c r="AC80" i="6"/>
  <c r="AB80" i="6"/>
  <c r="AA80" i="6"/>
  <c r="Z80" i="6"/>
  <c r="Y80" i="6"/>
  <c r="X80" i="6"/>
  <c r="W80" i="6"/>
  <c r="V80" i="6"/>
  <c r="U80" i="6"/>
  <c r="T80" i="6"/>
  <c r="S80" i="6"/>
  <c r="R80" i="6"/>
  <c r="Q80" i="6"/>
  <c r="P80" i="6"/>
  <c r="O80" i="6"/>
  <c r="N80" i="6"/>
  <c r="M80" i="6"/>
  <c r="L80" i="6"/>
  <c r="K80" i="6"/>
  <c r="J80" i="6"/>
  <c r="I80" i="6"/>
  <c r="H80" i="6"/>
  <c r="G80" i="6"/>
  <c r="F80" i="6"/>
  <c r="DA79" i="6"/>
  <c r="CZ79" i="6"/>
  <c r="CY79" i="6"/>
  <c r="CX79" i="6"/>
  <c r="CW79" i="6"/>
  <c r="CV79" i="6"/>
  <c r="CU79" i="6"/>
  <c r="CT79" i="6"/>
  <c r="CS79" i="6"/>
  <c r="CR79" i="6"/>
  <c r="CQ79" i="6"/>
  <c r="CP79" i="6"/>
  <c r="CO79" i="6"/>
  <c r="CN79" i="6"/>
  <c r="CM79" i="6"/>
  <c r="CL79" i="6"/>
  <c r="CK79" i="6"/>
  <c r="CJ79" i="6"/>
  <c r="CI79" i="6"/>
  <c r="CH79" i="6"/>
  <c r="CG79" i="6"/>
  <c r="CF79" i="6"/>
  <c r="CE79" i="6"/>
  <c r="CD79" i="6"/>
  <c r="CC79" i="6"/>
  <c r="CB79" i="6"/>
  <c r="CA79" i="6"/>
  <c r="BZ79" i="6"/>
  <c r="BY79" i="6"/>
  <c r="BX79" i="6"/>
  <c r="BW79" i="6"/>
  <c r="BV79" i="6"/>
  <c r="BU79" i="6"/>
  <c r="BT79" i="6"/>
  <c r="BS79" i="6"/>
  <c r="BR79" i="6"/>
  <c r="BQ79" i="6"/>
  <c r="BP79" i="6"/>
  <c r="BO79" i="6"/>
  <c r="BN79" i="6"/>
  <c r="BM79" i="6"/>
  <c r="BL79" i="6"/>
  <c r="BK79" i="6"/>
  <c r="BJ79" i="6"/>
  <c r="BI79" i="6"/>
  <c r="BH79" i="6"/>
  <c r="BG79" i="6"/>
  <c r="BF79" i="6"/>
  <c r="BE79" i="6"/>
  <c r="BD79" i="6"/>
  <c r="BC79" i="6"/>
  <c r="BB79" i="6"/>
  <c r="BA79" i="6"/>
  <c r="AZ79" i="6"/>
  <c r="AY79" i="6"/>
  <c r="AX79" i="6"/>
  <c r="AW79" i="6"/>
  <c r="AV79" i="6"/>
  <c r="AU79" i="6"/>
  <c r="AT79" i="6"/>
  <c r="AS79" i="6"/>
  <c r="AR79" i="6"/>
  <c r="AQ79" i="6"/>
  <c r="AP79" i="6"/>
  <c r="AO79" i="6"/>
  <c r="AN79" i="6"/>
  <c r="AM79" i="6"/>
  <c r="AL79" i="6"/>
  <c r="AK79" i="6"/>
  <c r="AJ79" i="6"/>
  <c r="AI79" i="6"/>
  <c r="AH79" i="6"/>
  <c r="AG79" i="6"/>
  <c r="AF79" i="6"/>
  <c r="AE79" i="6"/>
  <c r="AD79" i="6"/>
  <c r="AC79" i="6"/>
  <c r="AB79" i="6"/>
  <c r="AA79" i="6"/>
  <c r="Z79" i="6"/>
  <c r="Y79" i="6"/>
  <c r="X79" i="6"/>
  <c r="W79" i="6"/>
  <c r="V79" i="6"/>
  <c r="U79" i="6"/>
  <c r="T79" i="6"/>
  <c r="S79" i="6"/>
  <c r="R79" i="6"/>
  <c r="Q79" i="6"/>
  <c r="P79" i="6"/>
  <c r="O79" i="6"/>
  <c r="N79" i="6"/>
  <c r="M79" i="6"/>
  <c r="L79" i="6"/>
  <c r="K79" i="6"/>
  <c r="J79" i="6"/>
  <c r="I79" i="6"/>
  <c r="H79" i="6"/>
  <c r="G79" i="6"/>
  <c r="F79" i="6"/>
  <c r="DA78" i="6"/>
  <c r="CZ78" i="6"/>
  <c r="CY78" i="6"/>
  <c r="CX78" i="6"/>
  <c r="CW78" i="6"/>
  <c r="CV78" i="6"/>
  <c r="CU78" i="6"/>
  <c r="CT78" i="6"/>
  <c r="CS78" i="6"/>
  <c r="CR78" i="6"/>
  <c r="CQ78" i="6"/>
  <c r="CP78" i="6"/>
  <c r="CO78" i="6"/>
  <c r="CN78" i="6"/>
  <c r="CM78" i="6"/>
  <c r="CL78" i="6"/>
  <c r="CK78" i="6"/>
  <c r="CJ78" i="6"/>
  <c r="CI78" i="6"/>
  <c r="CH78" i="6"/>
  <c r="CG78" i="6"/>
  <c r="CF78" i="6"/>
  <c r="CE78" i="6"/>
  <c r="CD78" i="6"/>
  <c r="CC78" i="6"/>
  <c r="CB78" i="6"/>
  <c r="CA78" i="6"/>
  <c r="BZ78" i="6"/>
  <c r="BY78" i="6"/>
  <c r="BX78" i="6"/>
  <c r="BW78" i="6"/>
  <c r="BV78" i="6"/>
  <c r="BU78" i="6"/>
  <c r="BT78" i="6"/>
  <c r="BS78" i="6"/>
  <c r="BR78" i="6"/>
  <c r="BQ78" i="6"/>
  <c r="BP78" i="6"/>
  <c r="BO78" i="6"/>
  <c r="BN78" i="6"/>
  <c r="BM78" i="6"/>
  <c r="BL78" i="6"/>
  <c r="BK78" i="6"/>
  <c r="BJ78" i="6"/>
  <c r="BI78" i="6"/>
  <c r="BH78" i="6"/>
  <c r="BG78" i="6"/>
  <c r="BF78" i="6"/>
  <c r="BE78" i="6"/>
  <c r="BD78" i="6"/>
  <c r="BC78" i="6"/>
  <c r="BB78" i="6"/>
  <c r="BA78" i="6"/>
  <c r="AZ78" i="6"/>
  <c r="AY78" i="6"/>
  <c r="AX78" i="6"/>
  <c r="AW78" i="6"/>
  <c r="AV78" i="6"/>
  <c r="AU78" i="6"/>
  <c r="AT78" i="6"/>
  <c r="AS78" i="6"/>
  <c r="AR78" i="6"/>
  <c r="AQ78" i="6"/>
  <c r="AP78" i="6"/>
  <c r="AO78" i="6"/>
  <c r="AN78" i="6"/>
  <c r="AM78" i="6"/>
  <c r="AL78" i="6"/>
  <c r="AK78" i="6"/>
  <c r="AJ78" i="6"/>
  <c r="AI78" i="6"/>
  <c r="AH78" i="6"/>
  <c r="AG78" i="6"/>
  <c r="AF78" i="6"/>
  <c r="AE78" i="6"/>
  <c r="AD78" i="6"/>
  <c r="AC78" i="6"/>
  <c r="AB78" i="6"/>
  <c r="AA78" i="6"/>
  <c r="Z78" i="6"/>
  <c r="Y78" i="6"/>
  <c r="X78" i="6"/>
  <c r="W78" i="6"/>
  <c r="V78" i="6"/>
  <c r="U78" i="6"/>
  <c r="T78" i="6"/>
  <c r="S78" i="6"/>
  <c r="R78" i="6"/>
  <c r="Q78" i="6"/>
  <c r="P78" i="6"/>
  <c r="O78" i="6"/>
  <c r="N78" i="6"/>
  <c r="M78" i="6"/>
  <c r="L78" i="6"/>
  <c r="K78" i="6"/>
  <c r="J78" i="6"/>
  <c r="I78" i="6"/>
  <c r="H78" i="6"/>
  <c r="G78" i="6"/>
  <c r="F78" i="6"/>
  <c r="DA77" i="6"/>
  <c r="CZ77" i="6"/>
  <c r="CY77" i="6"/>
  <c r="CX77" i="6"/>
  <c r="CW77" i="6"/>
  <c r="CV77" i="6"/>
  <c r="CU77" i="6"/>
  <c r="CT77" i="6"/>
  <c r="CS77" i="6"/>
  <c r="CR77" i="6"/>
  <c r="CQ77" i="6"/>
  <c r="CP77" i="6"/>
  <c r="CO77" i="6"/>
  <c r="CN77" i="6"/>
  <c r="CM77" i="6"/>
  <c r="CL77" i="6"/>
  <c r="CK77" i="6"/>
  <c r="CJ77" i="6"/>
  <c r="CI77" i="6"/>
  <c r="CH77" i="6"/>
  <c r="CG77" i="6"/>
  <c r="CF77" i="6"/>
  <c r="CE77" i="6"/>
  <c r="CD77" i="6"/>
  <c r="CC77" i="6"/>
  <c r="CB77" i="6"/>
  <c r="CA77" i="6"/>
  <c r="BZ77" i="6"/>
  <c r="BY77" i="6"/>
  <c r="BX77" i="6"/>
  <c r="BW77" i="6"/>
  <c r="BV77" i="6"/>
  <c r="BU77" i="6"/>
  <c r="BT77" i="6"/>
  <c r="BS77" i="6"/>
  <c r="BR77" i="6"/>
  <c r="BQ77" i="6"/>
  <c r="BP77" i="6"/>
  <c r="BO77" i="6"/>
  <c r="BN77" i="6"/>
  <c r="BM77" i="6"/>
  <c r="BL77" i="6"/>
  <c r="BK77" i="6"/>
  <c r="BJ77" i="6"/>
  <c r="BI77" i="6"/>
  <c r="BH77" i="6"/>
  <c r="BG77" i="6"/>
  <c r="BF77" i="6"/>
  <c r="BE77" i="6"/>
  <c r="BD77" i="6"/>
  <c r="BC77" i="6"/>
  <c r="BB77" i="6"/>
  <c r="BA77" i="6"/>
  <c r="AZ77" i="6"/>
  <c r="AY77" i="6"/>
  <c r="AX77" i="6"/>
  <c r="AW77" i="6"/>
  <c r="AV77" i="6"/>
  <c r="AU77" i="6"/>
  <c r="AT77" i="6"/>
  <c r="AS77" i="6"/>
  <c r="AR77" i="6"/>
  <c r="AQ77" i="6"/>
  <c r="AP77" i="6"/>
  <c r="AO77" i="6"/>
  <c r="AN77" i="6"/>
  <c r="AM77" i="6"/>
  <c r="AL77" i="6"/>
  <c r="AK77" i="6"/>
  <c r="AJ77" i="6"/>
  <c r="AI77" i="6"/>
  <c r="AH77" i="6"/>
  <c r="AG77" i="6"/>
  <c r="AF77" i="6"/>
  <c r="AE77" i="6"/>
  <c r="AD77" i="6"/>
  <c r="AC77" i="6"/>
  <c r="AB77" i="6"/>
  <c r="AA77" i="6"/>
  <c r="Z77" i="6"/>
  <c r="Y77" i="6"/>
  <c r="X77" i="6"/>
  <c r="W77" i="6"/>
  <c r="V77" i="6"/>
  <c r="U77" i="6"/>
  <c r="T77" i="6"/>
  <c r="S77" i="6"/>
  <c r="R77" i="6"/>
  <c r="Q77" i="6"/>
  <c r="P77" i="6"/>
  <c r="O77" i="6"/>
  <c r="N77" i="6"/>
  <c r="M77" i="6"/>
  <c r="L77" i="6"/>
  <c r="K77" i="6"/>
  <c r="J77" i="6"/>
  <c r="I77" i="6"/>
  <c r="H77" i="6"/>
  <c r="G77" i="6"/>
  <c r="F77" i="6"/>
  <c r="DA76" i="6"/>
  <c r="CZ76" i="6"/>
  <c r="CY76" i="6"/>
  <c r="CX76" i="6"/>
  <c r="CW76" i="6"/>
  <c r="CV76" i="6"/>
  <c r="CU76" i="6"/>
  <c r="CT76" i="6"/>
  <c r="CS76" i="6"/>
  <c r="CR76" i="6"/>
  <c r="CQ76" i="6"/>
  <c r="CP76" i="6"/>
  <c r="CO76" i="6"/>
  <c r="CN76" i="6"/>
  <c r="CM76" i="6"/>
  <c r="CL76" i="6"/>
  <c r="CK76" i="6"/>
  <c r="CJ76" i="6"/>
  <c r="CI76" i="6"/>
  <c r="CH76" i="6"/>
  <c r="CG76" i="6"/>
  <c r="CF76" i="6"/>
  <c r="CE76" i="6"/>
  <c r="CD76" i="6"/>
  <c r="CC76" i="6"/>
  <c r="CB76" i="6"/>
  <c r="CA76" i="6"/>
  <c r="BZ76" i="6"/>
  <c r="BY76" i="6"/>
  <c r="BX76" i="6"/>
  <c r="BW76" i="6"/>
  <c r="BV76" i="6"/>
  <c r="BU76" i="6"/>
  <c r="BT76" i="6"/>
  <c r="BS76" i="6"/>
  <c r="BR76" i="6"/>
  <c r="BQ76" i="6"/>
  <c r="BP76" i="6"/>
  <c r="BO76" i="6"/>
  <c r="BN76" i="6"/>
  <c r="BM76" i="6"/>
  <c r="BL76" i="6"/>
  <c r="BK76" i="6"/>
  <c r="BJ76" i="6"/>
  <c r="BI76" i="6"/>
  <c r="BH76" i="6"/>
  <c r="BG76" i="6"/>
  <c r="BF76" i="6"/>
  <c r="BE76" i="6"/>
  <c r="BD76" i="6"/>
  <c r="BC76" i="6"/>
  <c r="BB76" i="6"/>
  <c r="BA76" i="6"/>
  <c r="AZ76" i="6"/>
  <c r="AY76" i="6"/>
  <c r="AX76" i="6"/>
  <c r="AW76" i="6"/>
  <c r="AV76" i="6"/>
  <c r="AU76" i="6"/>
  <c r="AT76" i="6"/>
  <c r="AS76" i="6"/>
  <c r="AR76" i="6"/>
  <c r="AQ76" i="6"/>
  <c r="AP76" i="6"/>
  <c r="AO76" i="6"/>
  <c r="AN76" i="6"/>
  <c r="AM76" i="6"/>
  <c r="AL76" i="6"/>
  <c r="AK76" i="6"/>
  <c r="AJ76" i="6"/>
  <c r="AI76" i="6"/>
  <c r="AH76" i="6"/>
  <c r="AG76" i="6"/>
  <c r="AF76" i="6"/>
  <c r="AE76" i="6"/>
  <c r="AD76" i="6"/>
  <c r="AC76" i="6"/>
  <c r="AB76" i="6"/>
  <c r="AA76" i="6"/>
  <c r="Z76" i="6"/>
  <c r="Y76" i="6"/>
  <c r="X76" i="6"/>
  <c r="W76" i="6"/>
  <c r="V76" i="6"/>
  <c r="U76" i="6"/>
  <c r="T76" i="6"/>
  <c r="S76" i="6"/>
  <c r="R76" i="6"/>
  <c r="Q76" i="6"/>
  <c r="P76" i="6"/>
  <c r="O76" i="6"/>
  <c r="N76" i="6"/>
  <c r="M76" i="6"/>
  <c r="L76" i="6"/>
  <c r="K76" i="6"/>
  <c r="J76" i="6"/>
  <c r="I76" i="6"/>
  <c r="H76" i="6"/>
  <c r="G76" i="6"/>
  <c r="F76" i="6"/>
  <c r="DA75" i="6"/>
  <c r="CZ75" i="6"/>
  <c r="CY75" i="6"/>
  <c r="CX75" i="6"/>
  <c r="CW75" i="6"/>
  <c r="CV75" i="6"/>
  <c r="CU75" i="6"/>
  <c r="CT75" i="6"/>
  <c r="CS75" i="6"/>
  <c r="CR75" i="6"/>
  <c r="CQ75" i="6"/>
  <c r="CP75" i="6"/>
  <c r="CO75" i="6"/>
  <c r="CN75" i="6"/>
  <c r="CM75" i="6"/>
  <c r="CL75" i="6"/>
  <c r="CK75" i="6"/>
  <c r="CJ75" i="6"/>
  <c r="CI75" i="6"/>
  <c r="CH75" i="6"/>
  <c r="CG75" i="6"/>
  <c r="CF75" i="6"/>
  <c r="CE75" i="6"/>
  <c r="CD75" i="6"/>
  <c r="CC75" i="6"/>
  <c r="CB75" i="6"/>
  <c r="CA75" i="6"/>
  <c r="BZ75" i="6"/>
  <c r="BY75" i="6"/>
  <c r="BX75" i="6"/>
  <c r="BW75" i="6"/>
  <c r="BV75" i="6"/>
  <c r="BU75" i="6"/>
  <c r="BT75" i="6"/>
  <c r="BS75" i="6"/>
  <c r="BR75" i="6"/>
  <c r="BQ75" i="6"/>
  <c r="BP75" i="6"/>
  <c r="BO75" i="6"/>
  <c r="BN75" i="6"/>
  <c r="BM75" i="6"/>
  <c r="BL75" i="6"/>
  <c r="BK75" i="6"/>
  <c r="BJ75" i="6"/>
  <c r="BI75" i="6"/>
  <c r="BH75" i="6"/>
  <c r="BG75" i="6"/>
  <c r="BF75" i="6"/>
  <c r="BE75" i="6"/>
  <c r="BD75" i="6"/>
  <c r="BC75" i="6"/>
  <c r="BB75" i="6"/>
  <c r="BA75" i="6"/>
  <c r="AZ75" i="6"/>
  <c r="AY75" i="6"/>
  <c r="AX75" i="6"/>
  <c r="AW75" i="6"/>
  <c r="AV75" i="6"/>
  <c r="AU75" i="6"/>
  <c r="AT75" i="6"/>
  <c r="AS75" i="6"/>
  <c r="AR75" i="6"/>
  <c r="AQ75" i="6"/>
  <c r="AP75" i="6"/>
  <c r="AO75" i="6"/>
  <c r="AN75" i="6"/>
  <c r="AM75" i="6"/>
  <c r="AL75" i="6"/>
  <c r="AK75" i="6"/>
  <c r="AJ75" i="6"/>
  <c r="AI75" i="6"/>
  <c r="AH75" i="6"/>
  <c r="AG75" i="6"/>
  <c r="AF75" i="6"/>
  <c r="AE75" i="6"/>
  <c r="AD75" i="6"/>
  <c r="AC75" i="6"/>
  <c r="AB75" i="6"/>
  <c r="AA75" i="6"/>
  <c r="Z75" i="6"/>
  <c r="Y75" i="6"/>
  <c r="X75" i="6"/>
  <c r="W75" i="6"/>
  <c r="V75" i="6"/>
  <c r="U75" i="6"/>
  <c r="T75" i="6"/>
  <c r="S75" i="6"/>
  <c r="R75" i="6"/>
  <c r="Q75" i="6"/>
  <c r="P75" i="6"/>
  <c r="O75" i="6"/>
  <c r="N75" i="6"/>
  <c r="M75" i="6"/>
  <c r="L75" i="6"/>
  <c r="K75" i="6"/>
  <c r="J75" i="6"/>
  <c r="I75" i="6"/>
  <c r="H75" i="6"/>
  <c r="G75" i="6"/>
  <c r="F75" i="6"/>
  <c r="DA74" i="6"/>
  <c r="CZ74" i="6"/>
  <c r="CY74" i="6"/>
  <c r="CX74" i="6"/>
  <c r="CW74" i="6"/>
  <c r="CV74" i="6"/>
  <c r="CU74" i="6"/>
  <c r="CT74" i="6"/>
  <c r="CS74" i="6"/>
  <c r="CR74" i="6"/>
  <c r="CQ74" i="6"/>
  <c r="CP74" i="6"/>
  <c r="CO74" i="6"/>
  <c r="CN74" i="6"/>
  <c r="CM74" i="6"/>
  <c r="CL74" i="6"/>
  <c r="CK74" i="6"/>
  <c r="CJ74" i="6"/>
  <c r="CI74" i="6"/>
  <c r="CH74" i="6"/>
  <c r="CG74" i="6"/>
  <c r="CF74" i="6"/>
  <c r="CE74" i="6"/>
  <c r="CD74" i="6"/>
  <c r="CC74" i="6"/>
  <c r="CB74" i="6"/>
  <c r="CA74" i="6"/>
  <c r="BZ74" i="6"/>
  <c r="BY74" i="6"/>
  <c r="BX74" i="6"/>
  <c r="BW74" i="6"/>
  <c r="BV74" i="6"/>
  <c r="BU74" i="6"/>
  <c r="BT74" i="6"/>
  <c r="BS74" i="6"/>
  <c r="BR74" i="6"/>
  <c r="BQ74" i="6"/>
  <c r="BP74" i="6"/>
  <c r="BO74" i="6"/>
  <c r="BN74" i="6"/>
  <c r="BM74" i="6"/>
  <c r="BL74" i="6"/>
  <c r="BK74" i="6"/>
  <c r="BJ74" i="6"/>
  <c r="BI74" i="6"/>
  <c r="BH74" i="6"/>
  <c r="BG74" i="6"/>
  <c r="BF74" i="6"/>
  <c r="BE74" i="6"/>
  <c r="BD74" i="6"/>
  <c r="BC74" i="6"/>
  <c r="BB74" i="6"/>
  <c r="BA74" i="6"/>
  <c r="AZ74" i="6"/>
  <c r="AY74" i="6"/>
  <c r="AX74" i="6"/>
  <c r="AW74" i="6"/>
  <c r="AV74" i="6"/>
  <c r="AU74" i="6"/>
  <c r="AT74" i="6"/>
  <c r="AS74" i="6"/>
  <c r="AR74" i="6"/>
  <c r="AQ74" i="6"/>
  <c r="AP74" i="6"/>
  <c r="AO74" i="6"/>
  <c r="AN74" i="6"/>
  <c r="AM74" i="6"/>
  <c r="AL74" i="6"/>
  <c r="AK74" i="6"/>
  <c r="AJ74" i="6"/>
  <c r="AI74" i="6"/>
  <c r="AH74" i="6"/>
  <c r="AG74" i="6"/>
  <c r="AF74" i="6"/>
  <c r="AE74" i="6"/>
  <c r="AD74" i="6"/>
  <c r="AC74" i="6"/>
  <c r="AB74" i="6"/>
  <c r="AA74" i="6"/>
  <c r="Z74" i="6"/>
  <c r="Y74" i="6"/>
  <c r="X74" i="6"/>
  <c r="W74" i="6"/>
  <c r="V74" i="6"/>
  <c r="U74" i="6"/>
  <c r="T74" i="6"/>
  <c r="S74" i="6"/>
  <c r="R74" i="6"/>
  <c r="Q74" i="6"/>
  <c r="P74" i="6"/>
  <c r="O74" i="6"/>
  <c r="N74" i="6"/>
  <c r="M74" i="6"/>
  <c r="L74" i="6"/>
  <c r="K74" i="6"/>
  <c r="J74" i="6"/>
  <c r="I74" i="6"/>
  <c r="H74" i="6"/>
  <c r="G74" i="6"/>
  <c r="F74" i="6"/>
  <c r="DA73" i="6"/>
  <c r="CZ73" i="6"/>
  <c r="CY73" i="6"/>
  <c r="CX73" i="6"/>
  <c r="CW73" i="6"/>
  <c r="CV73" i="6"/>
  <c r="CU73" i="6"/>
  <c r="CT73" i="6"/>
  <c r="CS73" i="6"/>
  <c r="CR73" i="6"/>
  <c r="CQ73" i="6"/>
  <c r="CP73" i="6"/>
  <c r="CO73" i="6"/>
  <c r="CN73" i="6"/>
  <c r="CM73" i="6"/>
  <c r="CL73" i="6"/>
  <c r="CK73" i="6"/>
  <c r="CJ73" i="6"/>
  <c r="CI73" i="6"/>
  <c r="CH73" i="6"/>
  <c r="CG73" i="6"/>
  <c r="CF73" i="6"/>
  <c r="CE73" i="6"/>
  <c r="CD73" i="6"/>
  <c r="CC73" i="6"/>
  <c r="CB73" i="6"/>
  <c r="CA73" i="6"/>
  <c r="BZ73" i="6"/>
  <c r="BY73" i="6"/>
  <c r="BX73" i="6"/>
  <c r="BW73" i="6"/>
  <c r="BV73" i="6"/>
  <c r="BU73" i="6"/>
  <c r="BT73" i="6"/>
  <c r="BS73" i="6"/>
  <c r="BR73" i="6"/>
  <c r="BQ73" i="6"/>
  <c r="BP73" i="6"/>
  <c r="BO73" i="6"/>
  <c r="BN73" i="6"/>
  <c r="BM73" i="6"/>
  <c r="BL73" i="6"/>
  <c r="BK73" i="6"/>
  <c r="BJ73" i="6"/>
  <c r="BI73" i="6"/>
  <c r="BH73" i="6"/>
  <c r="BG73" i="6"/>
  <c r="BF73" i="6"/>
  <c r="BE73" i="6"/>
  <c r="BD73" i="6"/>
  <c r="BC73" i="6"/>
  <c r="BB73" i="6"/>
  <c r="BA73" i="6"/>
  <c r="AZ73" i="6"/>
  <c r="AY73" i="6"/>
  <c r="AX73" i="6"/>
  <c r="AW73" i="6"/>
  <c r="AV73" i="6"/>
  <c r="AU73" i="6"/>
  <c r="AT73" i="6"/>
  <c r="AS73" i="6"/>
  <c r="AR73" i="6"/>
  <c r="AQ73" i="6"/>
  <c r="AP73" i="6"/>
  <c r="AO73" i="6"/>
  <c r="AN73" i="6"/>
  <c r="AM73" i="6"/>
  <c r="AL73" i="6"/>
  <c r="AK73" i="6"/>
  <c r="AJ73" i="6"/>
  <c r="AI73" i="6"/>
  <c r="AH73" i="6"/>
  <c r="AG73" i="6"/>
  <c r="AF73" i="6"/>
  <c r="AE73" i="6"/>
  <c r="AD73" i="6"/>
  <c r="AC73" i="6"/>
  <c r="AB73" i="6"/>
  <c r="AA73" i="6"/>
  <c r="Z73" i="6"/>
  <c r="Y73" i="6"/>
  <c r="X73" i="6"/>
  <c r="W73" i="6"/>
  <c r="V73" i="6"/>
  <c r="U73" i="6"/>
  <c r="T73" i="6"/>
  <c r="S73" i="6"/>
  <c r="R73" i="6"/>
  <c r="Q73" i="6"/>
  <c r="P73" i="6"/>
  <c r="O73" i="6"/>
  <c r="N73" i="6"/>
  <c r="M73" i="6"/>
  <c r="L73" i="6"/>
  <c r="K73" i="6"/>
  <c r="J73" i="6"/>
  <c r="I73" i="6"/>
  <c r="H73" i="6"/>
  <c r="G73" i="6"/>
  <c r="F73" i="6"/>
  <c r="DA72" i="6"/>
  <c r="CZ72" i="6"/>
  <c r="CY72" i="6"/>
  <c r="CX72" i="6"/>
  <c r="CW72" i="6"/>
  <c r="CV72" i="6"/>
  <c r="CU72" i="6"/>
  <c r="CT72" i="6"/>
  <c r="CS72" i="6"/>
  <c r="CR72" i="6"/>
  <c r="CQ72" i="6"/>
  <c r="CP72" i="6"/>
  <c r="CO72" i="6"/>
  <c r="CN72" i="6"/>
  <c r="CM72" i="6"/>
  <c r="CL72" i="6"/>
  <c r="CK72" i="6"/>
  <c r="CJ72" i="6"/>
  <c r="CI72" i="6"/>
  <c r="CH72" i="6"/>
  <c r="CG72" i="6"/>
  <c r="CF72" i="6"/>
  <c r="CE72" i="6"/>
  <c r="CD72" i="6"/>
  <c r="CC72" i="6"/>
  <c r="CB72" i="6"/>
  <c r="CA72" i="6"/>
  <c r="BZ72" i="6"/>
  <c r="BY72" i="6"/>
  <c r="BX72" i="6"/>
  <c r="BW72" i="6"/>
  <c r="BV72" i="6"/>
  <c r="BU72" i="6"/>
  <c r="BT72" i="6"/>
  <c r="BS72" i="6"/>
  <c r="BR72" i="6"/>
  <c r="BQ72" i="6"/>
  <c r="BP72" i="6"/>
  <c r="BO72" i="6"/>
  <c r="BN72" i="6"/>
  <c r="BM72" i="6"/>
  <c r="BL72" i="6"/>
  <c r="BK72" i="6"/>
  <c r="BJ72" i="6"/>
  <c r="BI72" i="6"/>
  <c r="BH72" i="6"/>
  <c r="BG72" i="6"/>
  <c r="BF72" i="6"/>
  <c r="BE72" i="6"/>
  <c r="BD72" i="6"/>
  <c r="BC72" i="6"/>
  <c r="BB72" i="6"/>
  <c r="BA72" i="6"/>
  <c r="AZ72" i="6"/>
  <c r="AY72" i="6"/>
  <c r="AX72" i="6"/>
  <c r="AW72" i="6"/>
  <c r="AV72" i="6"/>
  <c r="AU72" i="6"/>
  <c r="AT72" i="6"/>
  <c r="AS72" i="6"/>
  <c r="AR72" i="6"/>
  <c r="AQ72" i="6"/>
  <c r="AP72" i="6"/>
  <c r="AO72" i="6"/>
  <c r="AN72" i="6"/>
  <c r="AM72" i="6"/>
  <c r="AL72" i="6"/>
  <c r="AK72" i="6"/>
  <c r="AJ72" i="6"/>
  <c r="AI72" i="6"/>
  <c r="AH72" i="6"/>
  <c r="AG72" i="6"/>
  <c r="AF72" i="6"/>
  <c r="AE72" i="6"/>
  <c r="AD72" i="6"/>
  <c r="AC72" i="6"/>
  <c r="AB72" i="6"/>
  <c r="AA72" i="6"/>
  <c r="Z72" i="6"/>
  <c r="Y72" i="6"/>
  <c r="X72" i="6"/>
  <c r="W72" i="6"/>
  <c r="V72" i="6"/>
  <c r="U72" i="6"/>
  <c r="T72" i="6"/>
  <c r="S72" i="6"/>
  <c r="R72" i="6"/>
  <c r="Q72" i="6"/>
  <c r="P72" i="6"/>
  <c r="O72" i="6"/>
  <c r="N72" i="6"/>
  <c r="M72" i="6"/>
  <c r="L72" i="6"/>
  <c r="K72" i="6"/>
  <c r="J72" i="6"/>
  <c r="I72" i="6"/>
  <c r="H72" i="6"/>
  <c r="G72" i="6"/>
  <c r="F72" i="6"/>
  <c r="DA71" i="6"/>
  <c r="CZ71" i="6"/>
  <c r="CY71" i="6"/>
  <c r="CX71" i="6"/>
  <c r="CW71" i="6"/>
  <c r="CV71" i="6"/>
  <c r="CU71" i="6"/>
  <c r="CT71" i="6"/>
  <c r="CS71" i="6"/>
  <c r="CR71" i="6"/>
  <c r="CQ71" i="6"/>
  <c r="CP71" i="6"/>
  <c r="CO71" i="6"/>
  <c r="CN71" i="6"/>
  <c r="CM71" i="6"/>
  <c r="CL71" i="6"/>
  <c r="CK71" i="6"/>
  <c r="CJ71" i="6"/>
  <c r="CI71" i="6"/>
  <c r="CH71" i="6"/>
  <c r="CG71" i="6"/>
  <c r="CF71" i="6"/>
  <c r="CE71" i="6"/>
  <c r="CD71" i="6"/>
  <c r="CC71" i="6"/>
  <c r="CB71" i="6"/>
  <c r="CA71" i="6"/>
  <c r="BZ71" i="6"/>
  <c r="BY71" i="6"/>
  <c r="BX71" i="6"/>
  <c r="BW71" i="6"/>
  <c r="BV71" i="6"/>
  <c r="BU71" i="6"/>
  <c r="BT71" i="6"/>
  <c r="BS71" i="6"/>
  <c r="BR71" i="6"/>
  <c r="BQ71" i="6"/>
  <c r="BP71" i="6"/>
  <c r="BO71" i="6"/>
  <c r="BN71" i="6"/>
  <c r="BM71" i="6"/>
  <c r="BL71" i="6"/>
  <c r="BK71" i="6"/>
  <c r="BJ71" i="6"/>
  <c r="BI71" i="6"/>
  <c r="BH71" i="6"/>
  <c r="BG71" i="6"/>
  <c r="BF71" i="6"/>
  <c r="BE71" i="6"/>
  <c r="BD71" i="6"/>
  <c r="BC71" i="6"/>
  <c r="BB71" i="6"/>
  <c r="BA71" i="6"/>
  <c r="AZ71" i="6"/>
  <c r="AY71" i="6"/>
  <c r="AX71" i="6"/>
  <c r="AW71" i="6"/>
  <c r="AV71" i="6"/>
  <c r="AU71" i="6"/>
  <c r="AT71" i="6"/>
  <c r="AS71" i="6"/>
  <c r="AR71" i="6"/>
  <c r="AQ71" i="6"/>
  <c r="AP71" i="6"/>
  <c r="AO71" i="6"/>
  <c r="AN71" i="6"/>
  <c r="AM71" i="6"/>
  <c r="AL71" i="6"/>
  <c r="AK71" i="6"/>
  <c r="AJ71" i="6"/>
  <c r="AI71" i="6"/>
  <c r="AH71" i="6"/>
  <c r="AG71" i="6"/>
  <c r="AF71" i="6"/>
  <c r="AE71" i="6"/>
  <c r="AD71" i="6"/>
  <c r="AC71" i="6"/>
  <c r="AB71" i="6"/>
  <c r="AA71" i="6"/>
  <c r="Z71" i="6"/>
  <c r="Y71" i="6"/>
  <c r="X71" i="6"/>
  <c r="W71" i="6"/>
  <c r="V71" i="6"/>
  <c r="U71" i="6"/>
  <c r="T71" i="6"/>
  <c r="S71" i="6"/>
  <c r="R71" i="6"/>
  <c r="Q71" i="6"/>
  <c r="P71" i="6"/>
  <c r="O71" i="6"/>
  <c r="N71" i="6"/>
  <c r="M71" i="6"/>
  <c r="L71" i="6"/>
  <c r="K71" i="6"/>
  <c r="J71" i="6"/>
  <c r="I71" i="6"/>
  <c r="H71" i="6"/>
  <c r="G71" i="6"/>
  <c r="F71" i="6"/>
  <c r="DA70" i="6"/>
  <c r="CZ70" i="6"/>
  <c r="CY70" i="6"/>
  <c r="CX70" i="6"/>
  <c r="CW70" i="6"/>
  <c r="CV70" i="6"/>
  <c r="CU70" i="6"/>
  <c r="CT70" i="6"/>
  <c r="CS70" i="6"/>
  <c r="CR70" i="6"/>
  <c r="CQ70" i="6"/>
  <c r="CP70" i="6"/>
  <c r="CO70" i="6"/>
  <c r="CN70" i="6"/>
  <c r="CM70" i="6"/>
  <c r="CL70" i="6"/>
  <c r="CK70" i="6"/>
  <c r="CJ70" i="6"/>
  <c r="CI70" i="6"/>
  <c r="CH70" i="6"/>
  <c r="CG70" i="6"/>
  <c r="CF70" i="6"/>
  <c r="CE70" i="6"/>
  <c r="CD70" i="6"/>
  <c r="CC70" i="6"/>
  <c r="CB70" i="6"/>
  <c r="CA70" i="6"/>
  <c r="BZ70" i="6"/>
  <c r="BY70" i="6"/>
  <c r="BX70" i="6"/>
  <c r="BW70" i="6"/>
  <c r="BV70" i="6"/>
  <c r="BU70" i="6"/>
  <c r="BT70" i="6"/>
  <c r="BS70" i="6"/>
  <c r="BR70" i="6"/>
  <c r="BQ70" i="6"/>
  <c r="BP70" i="6"/>
  <c r="BO70" i="6"/>
  <c r="BN70" i="6"/>
  <c r="BM70" i="6"/>
  <c r="BL70" i="6"/>
  <c r="BK70" i="6"/>
  <c r="BJ70" i="6"/>
  <c r="BI70" i="6"/>
  <c r="BH70" i="6"/>
  <c r="BG70" i="6"/>
  <c r="BF70" i="6"/>
  <c r="BE70" i="6"/>
  <c r="BD70" i="6"/>
  <c r="BC70" i="6"/>
  <c r="BB70" i="6"/>
  <c r="BA70" i="6"/>
  <c r="AZ70" i="6"/>
  <c r="AY70" i="6"/>
  <c r="AX70" i="6"/>
  <c r="AW70" i="6"/>
  <c r="AV70" i="6"/>
  <c r="AU70" i="6"/>
  <c r="AT70" i="6"/>
  <c r="AS70" i="6"/>
  <c r="AR70" i="6"/>
  <c r="AQ70" i="6"/>
  <c r="AP70" i="6"/>
  <c r="AO70" i="6"/>
  <c r="AN70" i="6"/>
  <c r="AM70" i="6"/>
  <c r="AL70" i="6"/>
  <c r="AK70" i="6"/>
  <c r="AJ70" i="6"/>
  <c r="AI70" i="6"/>
  <c r="AH70" i="6"/>
  <c r="AG70" i="6"/>
  <c r="AF70" i="6"/>
  <c r="AE70" i="6"/>
  <c r="AD70" i="6"/>
  <c r="AC70" i="6"/>
  <c r="AB70" i="6"/>
  <c r="AA70" i="6"/>
  <c r="Z70" i="6"/>
  <c r="Y70" i="6"/>
  <c r="X70" i="6"/>
  <c r="W70" i="6"/>
  <c r="V70" i="6"/>
  <c r="U70" i="6"/>
  <c r="T70" i="6"/>
  <c r="S70" i="6"/>
  <c r="R70" i="6"/>
  <c r="Q70" i="6"/>
  <c r="P70" i="6"/>
  <c r="O70" i="6"/>
  <c r="N70" i="6"/>
  <c r="M70" i="6"/>
  <c r="L70" i="6"/>
  <c r="K70" i="6"/>
  <c r="J70" i="6"/>
  <c r="I70" i="6"/>
  <c r="H70" i="6"/>
  <c r="G70" i="6"/>
  <c r="F70" i="6"/>
  <c r="DA69" i="6"/>
  <c r="CZ69" i="6"/>
  <c r="CY69" i="6"/>
  <c r="CX69" i="6"/>
  <c r="CW69" i="6"/>
  <c r="CV69" i="6"/>
  <c r="CU69" i="6"/>
  <c r="CT69" i="6"/>
  <c r="CS69" i="6"/>
  <c r="CR69" i="6"/>
  <c r="CQ69" i="6"/>
  <c r="CP69" i="6"/>
  <c r="CO69" i="6"/>
  <c r="CN69" i="6"/>
  <c r="CM69" i="6"/>
  <c r="CL69" i="6"/>
  <c r="CK69" i="6"/>
  <c r="CJ69" i="6"/>
  <c r="CI69" i="6"/>
  <c r="CH69" i="6"/>
  <c r="CG69" i="6"/>
  <c r="CF69" i="6"/>
  <c r="CE69" i="6"/>
  <c r="CD69" i="6"/>
  <c r="CC69" i="6"/>
  <c r="CB69" i="6"/>
  <c r="CA69" i="6"/>
  <c r="BZ69" i="6"/>
  <c r="BY69" i="6"/>
  <c r="BX69" i="6"/>
  <c r="BW69" i="6"/>
  <c r="BV69" i="6"/>
  <c r="BU69" i="6"/>
  <c r="BT69" i="6"/>
  <c r="BS69" i="6"/>
  <c r="BR69" i="6"/>
  <c r="BQ69" i="6"/>
  <c r="BP69" i="6"/>
  <c r="BO69" i="6"/>
  <c r="BN69" i="6"/>
  <c r="BM69" i="6"/>
  <c r="BL69" i="6"/>
  <c r="BK69" i="6"/>
  <c r="BJ69" i="6"/>
  <c r="BI69" i="6"/>
  <c r="BH69" i="6"/>
  <c r="BG69" i="6"/>
  <c r="BF69" i="6"/>
  <c r="BE69" i="6"/>
  <c r="BD69" i="6"/>
  <c r="BC69" i="6"/>
  <c r="BB69" i="6"/>
  <c r="BA69" i="6"/>
  <c r="AZ69" i="6"/>
  <c r="AY69" i="6"/>
  <c r="AX69" i="6"/>
  <c r="AW69" i="6"/>
  <c r="AV69" i="6"/>
  <c r="AU69" i="6"/>
  <c r="AT69" i="6"/>
  <c r="AS69" i="6"/>
  <c r="AR69" i="6"/>
  <c r="AQ69" i="6"/>
  <c r="AP69" i="6"/>
  <c r="AO69" i="6"/>
  <c r="AN69" i="6"/>
  <c r="AM69" i="6"/>
  <c r="AL69" i="6"/>
  <c r="AK69" i="6"/>
  <c r="AJ69" i="6"/>
  <c r="AI69" i="6"/>
  <c r="AH69" i="6"/>
  <c r="AG69" i="6"/>
  <c r="AF69" i="6"/>
  <c r="AE69" i="6"/>
  <c r="AD69" i="6"/>
  <c r="AC69" i="6"/>
  <c r="AB69" i="6"/>
  <c r="AA69" i="6"/>
  <c r="Z69" i="6"/>
  <c r="Y69" i="6"/>
  <c r="X69" i="6"/>
  <c r="W69" i="6"/>
  <c r="V69" i="6"/>
  <c r="U69" i="6"/>
  <c r="T69" i="6"/>
  <c r="S69" i="6"/>
  <c r="R69" i="6"/>
  <c r="Q69" i="6"/>
  <c r="P69" i="6"/>
  <c r="O69" i="6"/>
  <c r="N69" i="6"/>
  <c r="M69" i="6"/>
  <c r="L69" i="6"/>
  <c r="K69" i="6"/>
  <c r="J69" i="6"/>
  <c r="I69" i="6"/>
  <c r="H69" i="6"/>
  <c r="G69" i="6"/>
  <c r="F69" i="6"/>
  <c r="DA68" i="6"/>
  <c r="CZ68" i="6"/>
  <c r="CY68" i="6"/>
  <c r="CX68" i="6"/>
  <c r="CW68" i="6"/>
  <c r="CV68" i="6"/>
  <c r="CU68" i="6"/>
  <c r="CT68" i="6"/>
  <c r="CS68" i="6"/>
  <c r="CR68" i="6"/>
  <c r="CQ68" i="6"/>
  <c r="CP68" i="6"/>
  <c r="CO68" i="6"/>
  <c r="CN68" i="6"/>
  <c r="CM68" i="6"/>
  <c r="CL68" i="6"/>
  <c r="CK68" i="6"/>
  <c r="CJ68" i="6"/>
  <c r="CI68" i="6"/>
  <c r="CH68" i="6"/>
  <c r="CG68" i="6"/>
  <c r="CF68" i="6"/>
  <c r="CE68" i="6"/>
  <c r="CD68" i="6"/>
  <c r="CC68" i="6"/>
  <c r="CB68" i="6"/>
  <c r="CA68" i="6"/>
  <c r="BZ68" i="6"/>
  <c r="BY68" i="6"/>
  <c r="BX68" i="6"/>
  <c r="BW68" i="6"/>
  <c r="BV68" i="6"/>
  <c r="BU68" i="6"/>
  <c r="BT68" i="6"/>
  <c r="BS68" i="6"/>
  <c r="BR68" i="6"/>
  <c r="BQ68" i="6"/>
  <c r="BP68" i="6"/>
  <c r="BO68" i="6"/>
  <c r="BN68" i="6"/>
  <c r="BM68" i="6"/>
  <c r="BL68" i="6"/>
  <c r="BK68" i="6"/>
  <c r="BJ68" i="6"/>
  <c r="BI68" i="6"/>
  <c r="BH68" i="6"/>
  <c r="BG68" i="6"/>
  <c r="BF68" i="6"/>
  <c r="BE68" i="6"/>
  <c r="BD68" i="6"/>
  <c r="BC68" i="6"/>
  <c r="BB68" i="6"/>
  <c r="BA68" i="6"/>
  <c r="AZ68" i="6"/>
  <c r="AY68" i="6"/>
  <c r="AX68" i="6"/>
  <c r="AW68" i="6"/>
  <c r="AV68" i="6"/>
  <c r="AU68" i="6"/>
  <c r="AT68" i="6"/>
  <c r="AS68" i="6"/>
  <c r="AR68" i="6"/>
  <c r="AQ68" i="6"/>
  <c r="AP68" i="6"/>
  <c r="AO68" i="6"/>
  <c r="AN68" i="6"/>
  <c r="AM68" i="6"/>
  <c r="AL68" i="6"/>
  <c r="AK68" i="6"/>
  <c r="AJ68" i="6"/>
  <c r="AI68" i="6"/>
  <c r="AH68" i="6"/>
  <c r="AG68" i="6"/>
  <c r="AF68" i="6"/>
  <c r="AE68" i="6"/>
  <c r="AD68" i="6"/>
  <c r="AC68" i="6"/>
  <c r="AB68" i="6"/>
  <c r="AA68" i="6"/>
  <c r="Z68" i="6"/>
  <c r="Y68" i="6"/>
  <c r="X68" i="6"/>
  <c r="W68" i="6"/>
  <c r="V68" i="6"/>
  <c r="U68" i="6"/>
  <c r="T68" i="6"/>
  <c r="S68" i="6"/>
  <c r="R68" i="6"/>
  <c r="Q68" i="6"/>
  <c r="P68" i="6"/>
  <c r="O68" i="6"/>
  <c r="N68" i="6"/>
  <c r="M68" i="6"/>
  <c r="L68" i="6"/>
  <c r="K68" i="6"/>
  <c r="J68" i="6"/>
  <c r="I68" i="6"/>
  <c r="H68" i="6"/>
  <c r="G68" i="6"/>
  <c r="F68" i="6"/>
  <c r="DA67" i="6"/>
  <c r="CZ67" i="6"/>
  <c r="CY67" i="6"/>
  <c r="CX67" i="6"/>
  <c r="CW67" i="6"/>
  <c r="CV67" i="6"/>
  <c r="CU67" i="6"/>
  <c r="CT67" i="6"/>
  <c r="CS67" i="6"/>
  <c r="CR67" i="6"/>
  <c r="CQ67" i="6"/>
  <c r="CP67" i="6"/>
  <c r="CO67" i="6"/>
  <c r="CN67" i="6"/>
  <c r="CM67" i="6"/>
  <c r="CL67" i="6"/>
  <c r="CK67" i="6"/>
  <c r="CJ67" i="6"/>
  <c r="CI67" i="6"/>
  <c r="CH67" i="6"/>
  <c r="CG67" i="6"/>
  <c r="CF67" i="6"/>
  <c r="CE67" i="6"/>
  <c r="CD67" i="6"/>
  <c r="CC67" i="6"/>
  <c r="CB67" i="6"/>
  <c r="CA67" i="6"/>
  <c r="BZ67" i="6"/>
  <c r="BY67" i="6"/>
  <c r="BX67" i="6"/>
  <c r="BW67" i="6"/>
  <c r="BV67" i="6"/>
  <c r="BU67" i="6"/>
  <c r="BT67" i="6"/>
  <c r="BS67" i="6"/>
  <c r="BR67" i="6"/>
  <c r="BQ67" i="6"/>
  <c r="BP67" i="6"/>
  <c r="BO67" i="6"/>
  <c r="BN67" i="6"/>
  <c r="BM67" i="6"/>
  <c r="BL67" i="6"/>
  <c r="BK67" i="6"/>
  <c r="BJ67" i="6"/>
  <c r="BI67" i="6"/>
  <c r="BH67" i="6"/>
  <c r="BG67" i="6"/>
  <c r="BF67" i="6"/>
  <c r="BE67" i="6"/>
  <c r="BD67" i="6"/>
  <c r="BC67" i="6"/>
  <c r="BB67" i="6"/>
  <c r="BA67" i="6"/>
  <c r="AZ67" i="6"/>
  <c r="AY67" i="6"/>
  <c r="AX67" i="6"/>
  <c r="AW67" i="6"/>
  <c r="AV67" i="6"/>
  <c r="AU67" i="6"/>
  <c r="AT67" i="6"/>
  <c r="AS67" i="6"/>
  <c r="AR67" i="6"/>
  <c r="AQ67" i="6"/>
  <c r="AP67" i="6"/>
  <c r="AO67" i="6"/>
  <c r="AN67" i="6"/>
  <c r="AM67" i="6"/>
  <c r="AL67" i="6"/>
  <c r="AK67" i="6"/>
  <c r="AJ67" i="6"/>
  <c r="AI67" i="6"/>
  <c r="AH67" i="6"/>
  <c r="AG67" i="6"/>
  <c r="AF67" i="6"/>
  <c r="AE67" i="6"/>
  <c r="AD67" i="6"/>
  <c r="AC67" i="6"/>
  <c r="AB67" i="6"/>
  <c r="AA67" i="6"/>
  <c r="Z67" i="6"/>
  <c r="Y67" i="6"/>
  <c r="X67" i="6"/>
  <c r="W67" i="6"/>
  <c r="V67" i="6"/>
  <c r="U67" i="6"/>
  <c r="T67" i="6"/>
  <c r="S67" i="6"/>
  <c r="R67" i="6"/>
  <c r="Q67" i="6"/>
  <c r="P67" i="6"/>
  <c r="O67" i="6"/>
  <c r="N67" i="6"/>
  <c r="M67" i="6"/>
  <c r="L67" i="6"/>
  <c r="K67" i="6"/>
  <c r="J67" i="6"/>
  <c r="I67" i="6"/>
  <c r="H67" i="6"/>
  <c r="G67" i="6"/>
  <c r="F67" i="6"/>
  <c r="DA66" i="6"/>
  <c r="CZ66" i="6"/>
  <c r="CY66" i="6"/>
  <c r="CX66" i="6"/>
  <c r="CW66" i="6"/>
  <c r="CV66" i="6"/>
  <c r="CU66" i="6"/>
  <c r="CT66" i="6"/>
  <c r="CS66" i="6"/>
  <c r="CR66" i="6"/>
  <c r="CQ66" i="6"/>
  <c r="CP66" i="6"/>
  <c r="CO66" i="6"/>
  <c r="CN66" i="6"/>
  <c r="CM66" i="6"/>
  <c r="CL66" i="6"/>
  <c r="CK66" i="6"/>
  <c r="CJ66" i="6"/>
  <c r="CI66" i="6"/>
  <c r="CH66" i="6"/>
  <c r="CG66" i="6"/>
  <c r="CF66" i="6"/>
  <c r="CE66" i="6"/>
  <c r="CD66" i="6"/>
  <c r="CC66" i="6"/>
  <c r="CB66" i="6"/>
  <c r="CA66" i="6"/>
  <c r="BZ66" i="6"/>
  <c r="BY66" i="6"/>
  <c r="BX66" i="6"/>
  <c r="BW66" i="6"/>
  <c r="BV66" i="6"/>
  <c r="BU66" i="6"/>
  <c r="BT66" i="6"/>
  <c r="BS66" i="6"/>
  <c r="BR66" i="6"/>
  <c r="BQ66" i="6"/>
  <c r="BP66" i="6"/>
  <c r="BO66" i="6"/>
  <c r="BN66" i="6"/>
  <c r="BM66" i="6"/>
  <c r="BL66" i="6"/>
  <c r="BK66" i="6"/>
  <c r="BJ66" i="6"/>
  <c r="BI66" i="6"/>
  <c r="BH66" i="6"/>
  <c r="BG66" i="6"/>
  <c r="BF66" i="6"/>
  <c r="BE66" i="6"/>
  <c r="BD66" i="6"/>
  <c r="BC66" i="6"/>
  <c r="BB66" i="6"/>
  <c r="BA66" i="6"/>
  <c r="AZ66" i="6"/>
  <c r="AY66" i="6"/>
  <c r="AX66" i="6"/>
  <c r="AW66" i="6"/>
  <c r="AV66" i="6"/>
  <c r="AU66" i="6"/>
  <c r="AT66" i="6"/>
  <c r="AS66" i="6"/>
  <c r="AR66" i="6"/>
  <c r="AQ66" i="6"/>
  <c r="AP66" i="6"/>
  <c r="AO66" i="6"/>
  <c r="AN66" i="6"/>
  <c r="AM66" i="6"/>
  <c r="AL66" i="6"/>
  <c r="AK66" i="6"/>
  <c r="AJ66" i="6"/>
  <c r="AI66" i="6"/>
  <c r="AH66" i="6"/>
  <c r="AG66" i="6"/>
  <c r="AF66" i="6"/>
  <c r="AE66" i="6"/>
  <c r="AD66" i="6"/>
  <c r="AC66" i="6"/>
  <c r="AB66" i="6"/>
  <c r="AA66" i="6"/>
  <c r="Z66" i="6"/>
  <c r="Y66" i="6"/>
  <c r="X66" i="6"/>
  <c r="W66" i="6"/>
  <c r="V66" i="6"/>
  <c r="U66" i="6"/>
  <c r="T66" i="6"/>
  <c r="S66" i="6"/>
  <c r="R66" i="6"/>
  <c r="Q66" i="6"/>
  <c r="P66" i="6"/>
  <c r="O66" i="6"/>
  <c r="N66" i="6"/>
  <c r="M66" i="6"/>
  <c r="L66" i="6"/>
  <c r="K66" i="6"/>
  <c r="J66" i="6"/>
  <c r="I66" i="6"/>
  <c r="H66" i="6"/>
  <c r="G66" i="6"/>
  <c r="F66" i="6"/>
  <c r="DA65" i="6"/>
  <c r="CZ65" i="6"/>
  <c r="CY65" i="6"/>
  <c r="CX65" i="6"/>
  <c r="CW65" i="6"/>
  <c r="CV65" i="6"/>
  <c r="CU65" i="6"/>
  <c r="CT65" i="6"/>
  <c r="CS65" i="6"/>
  <c r="CR65" i="6"/>
  <c r="CQ65" i="6"/>
  <c r="CP65" i="6"/>
  <c r="CO65" i="6"/>
  <c r="CN65" i="6"/>
  <c r="CM65" i="6"/>
  <c r="CL65" i="6"/>
  <c r="CK65" i="6"/>
  <c r="CJ65" i="6"/>
  <c r="CI65" i="6"/>
  <c r="CH65" i="6"/>
  <c r="CG65" i="6"/>
  <c r="CF65" i="6"/>
  <c r="CE65" i="6"/>
  <c r="CD65" i="6"/>
  <c r="CC65" i="6"/>
  <c r="CB65" i="6"/>
  <c r="CA65" i="6"/>
  <c r="BZ65" i="6"/>
  <c r="BY65" i="6"/>
  <c r="BX65" i="6"/>
  <c r="BW65" i="6"/>
  <c r="BV65" i="6"/>
  <c r="BU65" i="6"/>
  <c r="BT65" i="6"/>
  <c r="BS65" i="6"/>
  <c r="BR65" i="6"/>
  <c r="BQ65" i="6"/>
  <c r="BP65" i="6"/>
  <c r="BO65" i="6"/>
  <c r="BN65" i="6"/>
  <c r="BM65" i="6"/>
  <c r="BL65" i="6"/>
  <c r="BK65" i="6"/>
  <c r="BJ65" i="6"/>
  <c r="BI65" i="6"/>
  <c r="BH65" i="6"/>
  <c r="BG65" i="6"/>
  <c r="BF65" i="6"/>
  <c r="BE65" i="6"/>
  <c r="BD65" i="6"/>
  <c r="BC65" i="6"/>
  <c r="BB65" i="6"/>
  <c r="BA65" i="6"/>
  <c r="AZ65" i="6"/>
  <c r="AY65" i="6"/>
  <c r="AX65" i="6"/>
  <c r="AW65" i="6"/>
  <c r="AV65" i="6"/>
  <c r="AU65" i="6"/>
  <c r="AT65" i="6"/>
  <c r="AS65" i="6"/>
  <c r="AR65" i="6"/>
  <c r="AQ65" i="6"/>
  <c r="AP65" i="6"/>
  <c r="AO65" i="6"/>
  <c r="AN65" i="6"/>
  <c r="AM65" i="6"/>
  <c r="AL65" i="6"/>
  <c r="AK65" i="6"/>
  <c r="AJ65" i="6"/>
  <c r="AI65" i="6"/>
  <c r="AH65" i="6"/>
  <c r="AG65" i="6"/>
  <c r="AF65" i="6"/>
  <c r="AE65" i="6"/>
  <c r="AD65" i="6"/>
  <c r="AC65" i="6"/>
  <c r="AB65" i="6"/>
  <c r="AA65" i="6"/>
  <c r="Z65" i="6"/>
  <c r="Y65" i="6"/>
  <c r="X65" i="6"/>
  <c r="W65" i="6"/>
  <c r="V65" i="6"/>
  <c r="U65" i="6"/>
  <c r="T65" i="6"/>
  <c r="S65" i="6"/>
  <c r="R65" i="6"/>
  <c r="Q65" i="6"/>
  <c r="P65" i="6"/>
  <c r="O65" i="6"/>
  <c r="N65" i="6"/>
  <c r="M65" i="6"/>
  <c r="L65" i="6"/>
  <c r="K65" i="6"/>
  <c r="J65" i="6"/>
  <c r="I65" i="6"/>
  <c r="H65" i="6"/>
  <c r="G65" i="6"/>
  <c r="F65" i="6"/>
  <c r="DA64" i="6"/>
  <c r="CZ64" i="6"/>
  <c r="CY64" i="6"/>
  <c r="CX64" i="6"/>
  <c r="CW64" i="6"/>
  <c r="CV64" i="6"/>
  <c r="CU64" i="6"/>
  <c r="CT64" i="6"/>
  <c r="CS64" i="6"/>
  <c r="CR64" i="6"/>
  <c r="CQ64" i="6"/>
  <c r="CP64" i="6"/>
  <c r="CO64" i="6"/>
  <c r="CN64" i="6"/>
  <c r="CM64" i="6"/>
  <c r="CL64" i="6"/>
  <c r="CK64" i="6"/>
  <c r="CJ64" i="6"/>
  <c r="CI64" i="6"/>
  <c r="CH64" i="6"/>
  <c r="CG64" i="6"/>
  <c r="CF64" i="6"/>
  <c r="CE64" i="6"/>
  <c r="CD64" i="6"/>
  <c r="CC64" i="6"/>
  <c r="CB64" i="6"/>
  <c r="CA64" i="6"/>
  <c r="BZ64" i="6"/>
  <c r="BY64" i="6"/>
  <c r="BX64" i="6"/>
  <c r="BW64" i="6"/>
  <c r="BV64" i="6"/>
  <c r="BU64" i="6"/>
  <c r="BT64" i="6"/>
  <c r="BS64" i="6"/>
  <c r="BR64" i="6"/>
  <c r="BQ64" i="6"/>
  <c r="BP64" i="6"/>
  <c r="BO64" i="6"/>
  <c r="BN64" i="6"/>
  <c r="BM64" i="6"/>
  <c r="BL64" i="6"/>
  <c r="BK64" i="6"/>
  <c r="BJ64" i="6"/>
  <c r="BI64" i="6"/>
  <c r="BH64" i="6"/>
  <c r="BG64" i="6"/>
  <c r="BF64" i="6"/>
  <c r="BE64" i="6"/>
  <c r="BD64" i="6"/>
  <c r="BC64" i="6"/>
  <c r="BB64" i="6"/>
  <c r="BA64" i="6"/>
  <c r="AZ64" i="6"/>
  <c r="AY64" i="6"/>
  <c r="AX64" i="6"/>
  <c r="AW64" i="6"/>
  <c r="AV64" i="6"/>
  <c r="AU64" i="6"/>
  <c r="AT64" i="6"/>
  <c r="AS64" i="6"/>
  <c r="AR64" i="6"/>
  <c r="AQ64" i="6"/>
  <c r="AP64" i="6"/>
  <c r="AO64" i="6"/>
  <c r="AN64" i="6"/>
  <c r="AM64" i="6"/>
  <c r="AL64" i="6"/>
  <c r="AK64" i="6"/>
  <c r="AJ64" i="6"/>
  <c r="AI64" i="6"/>
  <c r="AH64" i="6"/>
  <c r="AG64" i="6"/>
  <c r="AF64" i="6"/>
  <c r="AE64" i="6"/>
  <c r="AD64" i="6"/>
  <c r="AC64" i="6"/>
  <c r="AB64" i="6"/>
  <c r="AA64" i="6"/>
  <c r="Z64" i="6"/>
  <c r="Y64" i="6"/>
  <c r="X64" i="6"/>
  <c r="W64" i="6"/>
  <c r="V64" i="6"/>
  <c r="U64" i="6"/>
  <c r="T64" i="6"/>
  <c r="S64" i="6"/>
  <c r="R64" i="6"/>
  <c r="Q64" i="6"/>
  <c r="P64" i="6"/>
  <c r="O64" i="6"/>
  <c r="N64" i="6"/>
  <c r="M64" i="6"/>
  <c r="L64" i="6"/>
  <c r="K64" i="6"/>
  <c r="J64" i="6"/>
  <c r="I64" i="6"/>
  <c r="H64" i="6"/>
  <c r="G64" i="6"/>
  <c r="F64" i="6"/>
  <c r="DA63" i="6"/>
  <c r="CZ63" i="6"/>
  <c r="CY63" i="6"/>
  <c r="CX63" i="6"/>
  <c r="CW63" i="6"/>
  <c r="CV63" i="6"/>
  <c r="CU63" i="6"/>
  <c r="CT63" i="6"/>
  <c r="CS63" i="6"/>
  <c r="CR63" i="6"/>
  <c r="CQ63" i="6"/>
  <c r="CP63" i="6"/>
  <c r="CO63" i="6"/>
  <c r="CN63" i="6"/>
  <c r="CM63" i="6"/>
  <c r="CL63" i="6"/>
  <c r="CK63" i="6"/>
  <c r="CJ63" i="6"/>
  <c r="CI63" i="6"/>
  <c r="CH63" i="6"/>
  <c r="CG63" i="6"/>
  <c r="CF63" i="6"/>
  <c r="CE63" i="6"/>
  <c r="CD63" i="6"/>
  <c r="CC63" i="6"/>
  <c r="CB63" i="6"/>
  <c r="CA63" i="6"/>
  <c r="BZ63" i="6"/>
  <c r="BY63" i="6"/>
  <c r="BX63" i="6"/>
  <c r="BW63" i="6"/>
  <c r="BV63" i="6"/>
  <c r="BU63" i="6"/>
  <c r="BT63" i="6"/>
  <c r="BS63" i="6"/>
  <c r="BR63" i="6"/>
  <c r="BQ63" i="6"/>
  <c r="BP63" i="6"/>
  <c r="BO63" i="6"/>
  <c r="BN63" i="6"/>
  <c r="BM63" i="6"/>
  <c r="BL63" i="6"/>
  <c r="BK63" i="6"/>
  <c r="BJ63" i="6"/>
  <c r="BI63" i="6"/>
  <c r="BH63" i="6"/>
  <c r="BG63" i="6"/>
  <c r="BF63" i="6"/>
  <c r="BE63" i="6"/>
  <c r="BD63" i="6"/>
  <c r="BC63" i="6"/>
  <c r="BB63" i="6"/>
  <c r="BA63" i="6"/>
  <c r="AZ63" i="6"/>
  <c r="AY63" i="6"/>
  <c r="AX63" i="6"/>
  <c r="AW63" i="6"/>
  <c r="AV63" i="6"/>
  <c r="AU63" i="6"/>
  <c r="AT63" i="6"/>
  <c r="AS63" i="6"/>
  <c r="AR63" i="6"/>
  <c r="AQ63" i="6"/>
  <c r="AP63" i="6"/>
  <c r="AO63" i="6"/>
  <c r="AN63" i="6"/>
  <c r="AM63" i="6"/>
  <c r="AL63" i="6"/>
  <c r="AK63" i="6"/>
  <c r="AJ63" i="6"/>
  <c r="AI63" i="6"/>
  <c r="AH63" i="6"/>
  <c r="AG63" i="6"/>
  <c r="AF63" i="6"/>
  <c r="AE63" i="6"/>
  <c r="AD63" i="6"/>
  <c r="AC63" i="6"/>
  <c r="AB63" i="6"/>
  <c r="AA63" i="6"/>
  <c r="Z63" i="6"/>
  <c r="Y63" i="6"/>
  <c r="X63" i="6"/>
  <c r="W63" i="6"/>
  <c r="V63" i="6"/>
  <c r="U63" i="6"/>
  <c r="T63" i="6"/>
  <c r="S63" i="6"/>
  <c r="R63" i="6"/>
  <c r="Q63" i="6"/>
  <c r="P63" i="6"/>
  <c r="O63" i="6"/>
  <c r="N63" i="6"/>
  <c r="M63" i="6"/>
  <c r="L63" i="6"/>
  <c r="K63" i="6"/>
  <c r="J63" i="6"/>
  <c r="I63" i="6"/>
  <c r="H63" i="6"/>
  <c r="G63" i="6"/>
  <c r="F63" i="6"/>
  <c r="DA62" i="6"/>
  <c r="CZ62" i="6"/>
  <c r="CY62" i="6"/>
  <c r="CX62" i="6"/>
  <c r="CW62" i="6"/>
  <c r="CV62" i="6"/>
  <c r="CU62" i="6"/>
  <c r="CT62" i="6"/>
  <c r="CS62" i="6"/>
  <c r="CR62" i="6"/>
  <c r="CQ62" i="6"/>
  <c r="CP62" i="6"/>
  <c r="CO62" i="6"/>
  <c r="CN62" i="6"/>
  <c r="CM62" i="6"/>
  <c r="CL62" i="6"/>
  <c r="CK62" i="6"/>
  <c r="CJ62" i="6"/>
  <c r="CI62" i="6"/>
  <c r="CH62" i="6"/>
  <c r="CG62" i="6"/>
  <c r="CF62" i="6"/>
  <c r="CE62" i="6"/>
  <c r="CD62" i="6"/>
  <c r="CC62" i="6"/>
  <c r="CB62" i="6"/>
  <c r="CA62" i="6"/>
  <c r="BZ62" i="6"/>
  <c r="BY62" i="6"/>
  <c r="BX62" i="6"/>
  <c r="BW62" i="6"/>
  <c r="BV62" i="6"/>
  <c r="BU62" i="6"/>
  <c r="BT62" i="6"/>
  <c r="BS62" i="6"/>
  <c r="BR62" i="6"/>
  <c r="BQ62" i="6"/>
  <c r="BP62" i="6"/>
  <c r="BO62" i="6"/>
  <c r="BN62" i="6"/>
  <c r="BM62" i="6"/>
  <c r="BL62" i="6"/>
  <c r="BK62" i="6"/>
  <c r="BJ62" i="6"/>
  <c r="BI62" i="6"/>
  <c r="BH62" i="6"/>
  <c r="BG62" i="6"/>
  <c r="BF62" i="6"/>
  <c r="BE62" i="6"/>
  <c r="BD62" i="6"/>
  <c r="BC62" i="6"/>
  <c r="BB62" i="6"/>
  <c r="BA62" i="6"/>
  <c r="AZ62" i="6"/>
  <c r="AY62" i="6"/>
  <c r="AX62" i="6"/>
  <c r="AW62" i="6"/>
  <c r="AV62" i="6"/>
  <c r="AU62" i="6"/>
  <c r="AT62" i="6"/>
  <c r="AS62" i="6"/>
  <c r="AR62" i="6"/>
  <c r="AQ62" i="6"/>
  <c r="AP62" i="6"/>
  <c r="AO62" i="6"/>
  <c r="AN62" i="6"/>
  <c r="AM62" i="6"/>
  <c r="AL62" i="6"/>
  <c r="AK62" i="6"/>
  <c r="AJ62" i="6"/>
  <c r="AI62" i="6"/>
  <c r="AH62" i="6"/>
  <c r="AG62" i="6"/>
  <c r="AF62" i="6"/>
  <c r="AE62" i="6"/>
  <c r="AD62" i="6"/>
  <c r="AC62" i="6"/>
  <c r="AB62" i="6"/>
  <c r="AA62" i="6"/>
  <c r="Z62" i="6"/>
  <c r="Y62" i="6"/>
  <c r="X62" i="6"/>
  <c r="W62" i="6"/>
  <c r="V62" i="6"/>
  <c r="U62" i="6"/>
  <c r="T62" i="6"/>
  <c r="S62" i="6"/>
  <c r="R62" i="6"/>
  <c r="Q62" i="6"/>
  <c r="P62" i="6"/>
  <c r="O62" i="6"/>
  <c r="N62" i="6"/>
  <c r="M62" i="6"/>
  <c r="L62" i="6"/>
  <c r="K62" i="6"/>
  <c r="J62" i="6"/>
  <c r="I62" i="6"/>
  <c r="H62" i="6"/>
  <c r="G62" i="6"/>
  <c r="F62" i="6"/>
  <c r="DA61" i="6"/>
  <c r="CZ61" i="6"/>
  <c r="CY61" i="6"/>
  <c r="CX61" i="6"/>
  <c r="CW61" i="6"/>
  <c r="CV61" i="6"/>
  <c r="CU61" i="6"/>
  <c r="CT61" i="6"/>
  <c r="CS61" i="6"/>
  <c r="CR61" i="6"/>
  <c r="CQ61" i="6"/>
  <c r="CP61" i="6"/>
  <c r="CO61" i="6"/>
  <c r="CN61" i="6"/>
  <c r="CM61" i="6"/>
  <c r="CL61" i="6"/>
  <c r="CK61" i="6"/>
  <c r="CJ61" i="6"/>
  <c r="CI61" i="6"/>
  <c r="CH61" i="6"/>
  <c r="CG61" i="6"/>
  <c r="CF61" i="6"/>
  <c r="CE61" i="6"/>
  <c r="CD61" i="6"/>
  <c r="CC61" i="6"/>
  <c r="CB61" i="6"/>
  <c r="CA61" i="6"/>
  <c r="BZ61" i="6"/>
  <c r="BY61" i="6"/>
  <c r="BX61" i="6"/>
  <c r="BW61" i="6"/>
  <c r="BV61" i="6"/>
  <c r="BU61" i="6"/>
  <c r="BT61" i="6"/>
  <c r="BS61" i="6"/>
  <c r="BR61" i="6"/>
  <c r="BQ61" i="6"/>
  <c r="BP61" i="6"/>
  <c r="BO61" i="6"/>
  <c r="BN61" i="6"/>
  <c r="BM61" i="6"/>
  <c r="BL61" i="6"/>
  <c r="BK61" i="6"/>
  <c r="BJ61" i="6"/>
  <c r="BI61" i="6"/>
  <c r="BH61" i="6"/>
  <c r="BG61" i="6"/>
  <c r="BF61" i="6"/>
  <c r="BE61" i="6"/>
  <c r="BD61" i="6"/>
  <c r="BC61" i="6"/>
  <c r="BB61" i="6"/>
  <c r="BA61" i="6"/>
  <c r="AZ61" i="6"/>
  <c r="AY61" i="6"/>
  <c r="AX61" i="6"/>
  <c r="AW61" i="6"/>
  <c r="AV61" i="6"/>
  <c r="AU61" i="6"/>
  <c r="AT61" i="6"/>
  <c r="AS61" i="6"/>
  <c r="AR61" i="6"/>
  <c r="AQ61" i="6"/>
  <c r="AP61" i="6"/>
  <c r="AO61" i="6"/>
  <c r="AN61" i="6"/>
  <c r="AM61" i="6"/>
  <c r="AL61" i="6"/>
  <c r="AK61" i="6"/>
  <c r="AJ61" i="6"/>
  <c r="AI61" i="6"/>
  <c r="AH61" i="6"/>
  <c r="AG61" i="6"/>
  <c r="AF61" i="6"/>
  <c r="AE61" i="6"/>
  <c r="AD61" i="6"/>
  <c r="AC61" i="6"/>
  <c r="AB61" i="6"/>
  <c r="AA61" i="6"/>
  <c r="Z61" i="6"/>
  <c r="Y61" i="6"/>
  <c r="X61" i="6"/>
  <c r="W61" i="6"/>
  <c r="V61" i="6"/>
  <c r="U61" i="6"/>
  <c r="T61" i="6"/>
  <c r="S61" i="6"/>
  <c r="R61" i="6"/>
  <c r="Q61" i="6"/>
  <c r="P61" i="6"/>
  <c r="O61" i="6"/>
  <c r="N61" i="6"/>
  <c r="M61" i="6"/>
  <c r="L61" i="6"/>
  <c r="K61" i="6"/>
  <c r="J61" i="6"/>
  <c r="I61" i="6"/>
  <c r="H61" i="6"/>
  <c r="G61" i="6"/>
  <c r="F61" i="6"/>
  <c r="DA60" i="6"/>
  <c r="CZ60" i="6"/>
  <c r="CY60" i="6"/>
  <c r="CX60" i="6"/>
  <c r="CW60" i="6"/>
  <c r="CV60" i="6"/>
  <c r="CU60" i="6"/>
  <c r="CT60" i="6"/>
  <c r="CS60" i="6"/>
  <c r="CR60" i="6"/>
  <c r="CQ60" i="6"/>
  <c r="CP60" i="6"/>
  <c r="CO60" i="6"/>
  <c r="CN60" i="6"/>
  <c r="CM60" i="6"/>
  <c r="CL60" i="6"/>
  <c r="CK60" i="6"/>
  <c r="CJ60" i="6"/>
  <c r="CI60" i="6"/>
  <c r="CH60" i="6"/>
  <c r="CG60" i="6"/>
  <c r="CF60" i="6"/>
  <c r="CE60" i="6"/>
  <c r="CD60" i="6"/>
  <c r="CC60" i="6"/>
  <c r="CB60" i="6"/>
  <c r="CA60" i="6"/>
  <c r="BZ60" i="6"/>
  <c r="BY60" i="6"/>
  <c r="BX60" i="6"/>
  <c r="BW60" i="6"/>
  <c r="BV60" i="6"/>
  <c r="BU60" i="6"/>
  <c r="BT60" i="6"/>
  <c r="BS60" i="6"/>
  <c r="BR60" i="6"/>
  <c r="BQ60" i="6"/>
  <c r="BP60" i="6"/>
  <c r="BO60" i="6"/>
  <c r="BN60" i="6"/>
  <c r="BM60" i="6"/>
  <c r="BL60" i="6"/>
  <c r="BK60" i="6"/>
  <c r="BJ60" i="6"/>
  <c r="BI60" i="6"/>
  <c r="BH60" i="6"/>
  <c r="BG60" i="6"/>
  <c r="BF60" i="6"/>
  <c r="BE60" i="6"/>
  <c r="BD60" i="6"/>
  <c r="BC60" i="6"/>
  <c r="BB60" i="6"/>
  <c r="BA60" i="6"/>
  <c r="AZ60" i="6"/>
  <c r="AY60" i="6"/>
  <c r="AX60" i="6"/>
  <c r="AW60" i="6"/>
  <c r="AV60" i="6"/>
  <c r="AU60" i="6"/>
  <c r="AT60" i="6"/>
  <c r="AS60" i="6"/>
  <c r="AR60" i="6"/>
  <c r="AQ60" i="6"/>
  <c r="AP60" i="6"/>
  <c r="AO60" i="6"/>
  <c r="AN60" i="6"/>
  <c r="AM60" i="6"/>
  <c r="AL60" i="6"/>
  <c r="AK60" i="6"/>
  <c r="AJ60" i="6"/>
  <c r="AI60" i="6"/>
  <c r="AH60" i="6"/>
  <c r="AG60" i="6"/>
  <c r="AF60" i="6"/>
  <c r="AE60" i="6"/>
  <c r="AD60" i="6"/>
  <c r="AC60" i="6"/>
  <c r="AB60" i="6"/>
  <c r="AA60" i="6"/>
  <c r="Z60" i="6"/>
  <c r="Y60" i="6"/>
  <c r="X60" i="6"/>
  <c r="W60" i="6"/>
  <c r="V60" i="6"/>
  <c r="U60" i="6"/>
  <c r="T60" i="6"/>
  <c r="S60" i="6"/>
  <c r="R60" i="6"/>
  <c r="Q60" i="6"/>
  <c r="P60" i="6"/>
  <c r="O60" i="6"/>
  <c r="N60" i="6"/>
  <c r="M60" i="6"/>
  <c r="L60" i="6"/>
  <c r="K60" i="6"/>
  <c r="J60" i="6"/>
  <c r="I60" i="6"/>
  <c r="H60" i="6"/>
  <c r="G60" i="6"/>
  <c r="F60" i="6"/>
  <c r="DA59" i="6"/>
  <c r="CZ59" i="6"/>
  <c r="CY59" i="6"/>
  <c r="CX59" i="6"/>
  <c r="CW59" i="6"/>
  <c r="CV59" i="6"/>
  <c r="CU59" i="6"/>
  <c r="CT59" i="6"/>
  <c r="CS59" i="6"/>
  <c r="CR59" i="6"/>
  <c r="CQ59" i="6"/>
  <c r="CP59" i="6"/>
  <c r="CO59" i="6"/>
  <c r="CN59" i="6"/>
  <c r="CM59" i="6"/>
  <c r="CL59" i="6"/>
  <c r="CK59" i="6"/>
  <c r="CJ59" i="6"/>
  <c r="CI59" i="6"/>
  <c r="CH59" i="6"/>
  <c r="CG59" i="6"/>
  <c r="CF59" i="6"/>
  <c r="CE59" i="6"/>
  <c r="CD59" i="6"/>
  <c r="CC59" i="6"/>
  <c r="CB59" i="6"/>
  <c r="CA59" i="6"/>
  <c r="BZ59" i="6"/>
  <c r="BY59" i="6"/>
  <c r="BX59" i="6"/>
  <c r="BW59" i="6"/>
  <c r="BV59" i="6"/>
  <c r="BU59" i="6"/>
  <c r="BT59" i="6"/>
  <c r="BS59" i="6"/>
  <c r="BR59" i="6"/>
  <c r="BQ59" i="6"/>
  <c r="BP59" i="6"/>
  <c r="BO59" i="6"/>
  <c r="BN59" i="6"/>
  <c r="BM59" i="6"/>
  <c r="BL59" i="6"/>
  <c r="BK59" i="6"/>
  <c r="BJ59" i="6"/>
  <c r="BI59" i="6"/>
  <c r="BH59" i="6"/>
  <c r="BG59" i="6"/>
  <c r="BF59" i="6"/>
  <c r="BE59" i="6"/>
  <c r="BD59" i="6"/>
  <c r="BC59" i="6"/>
  <c r="BB59" i="6"/>
  <c r="BA59" i="6"/>
  <c r="AZ59" i="6"/>
  <c r="AY59" i="6"/>
  <c r="AX59" i="6"/>
  <c r="AW59" i="6"/>
  <c r="AV59" i="6"/>
  <c r="AU59" i="6"/>
  <c r="AT59" i="6"/>
  <c r="AS59" i="6"/>
  <c r="AR59" i="6"/>
  <c r="AQ59" i="6"/>
  <c r="AP59" i="6"/>
  <c r="AO59" i="6"/>
  <c r="AN59" i="6"/>
  <c r="AM59" i="6"/>
  <c r="AL59" i="6"/>
  <c r="AK59" i="6"/>
  <c r="AJ59" i="6"/>
  <c r="AI59" i="6"/>
  <c r="AH59" i="6"/>
  <c r="AG59" i="6"/>
  <c r="AF59" i="6"/>
  <c r="AE59" i="6"/>
  <c r="AD59" i="6"/>
  <c r="AC59" i="6"/>
  <c r="AB59" i="6"/>
  <c r="AA59" i="6"/>
  <c r="Z59" i="6"/>
  <c r="Y59" i="6"/>
  <c r="X59" i="6"/>
  <c r="W59" i="6"/>
  <c r="V59" i="6"/>
  <c r="U59" i="6"/>
  <c r="T59" i="6"/>
  <c r="S59" i="6"/>
  <c r="R59" i="6"/>
  <c r="Q59" i="6"/>
  <c r="P59" i="6"/>
  <c r="O59" i="6"/>
  <c r="N59" i="6"/>
  <c r="M59" i="6"/>
  <c r="L59" i="6"/>
  <c r="K59" i="6"/>
  <c r="J59" i="6"/>
  <c r="I59" i="6"/>
  <c r="H59" i="6"/>
  <c r="G59" i="6"/>
  <c r="F59" i="6"/>
  <c r="DA58" i="6"/>
  <c r="CZ58" i="6"/>
  <c r="CY58" i="6"/>
  <c r="CX58" i="6"/>
  <c r="CW58" i="6"/>
  <c r="CV58" i="6"/>
  <c r="CU58" i="6"/>
  <c r="CT58" i="6"/>
  <c r="CS58" i="6"/>
  <c r="CR58" i="6"/>
  <c r="CQ58" i="6"/>
  <c r="CP58" i="6"/>
  <c r="CO58" i="6"/>
  <c r="CN58" i="6"/>
  <c r="CM58" i="6"/>
  <c r="CL58" i="6"/>
  <c r="CK58" i="6"/>
  <c r="CJ58" i="6"/>
  <c r="CI58" i="6"/>
  <c r="CH58" i="6"/>
  <c r="CG58" i="6"/>
  <c r="CF58" i="6"/>
  <c r="CE58" i="6"/>
  <c r="CD58" i="6"/>
  <c r="CC58" i="6"/>
  <c r="CB58" i="6"/>
  <c r="CA58" i="6"/>
  <c r="BZ58" i="6"/>
  <c r="BY58" i="6"/>
  <c r="BX58" i="6"/>
  <c r="BW58" i="6"/>
  <c r="BV58" i="6"/>
  <c r="BU58" i="6"/>
  <c r="BT58" i="6"/>
  <c r="BS58" i="6"/>
  <c r="BR58" i="6"/>
  <c r="BQ58" i="6"/>
  <c r="BP58" i="6"/>
  <c r="BO58" i="6"/>
  <c r="BN58" i="6"/>
  <c r="BM58" i="6"/>
  <c r="BL58" i="6"/>
  <c r="BK58" i="6"/>
  <c r="BJ58" i="6"/>
  <c r="BI58" i="6"/>
  <c r="BH58" i="6"/>
  <c r="BG58" i="6"/>
  <c r="BF58" i="6"/>
  <c r="BE58" i="6"/>
  <c r="BD58" i="6"/>
  <c r="BC58" i="6"/>
  <c r="BB58" i="6"/>
  <c r="BA58" i="6"/>
  <c r="AZ58" i="6"/>
  <c r="AY58" i="6"/>
  <c r="AX58" i="6"/>
  <c r="AW58" i="6"/>
  <c r="AV58" i="6"/>
  <c r="AU58" i="6"/>
  <c r="AT58" i="6"/>
  <c r="AS58" i="6"/>
  <c r="AR58" i="6"/>
  <c r="AQ58" i="6"/>
  <c r="AP58" i="6"/>
  <c r="AO58" i="6"/>
  <c r="AN58" i="6"/>
  <c r="AM58" i="6"/>
  <c r="AL58" i="6"/>
  <c r="AK58" i="6"/>
  <c r="AJ58" i="6"/>
  <c r="AI58" i="6"/>
  <c r="AH58" i="6"/>
  <c r="AG58" i="6"/>
  <c r="AF58" i="6"/>
  <c r="AE58" i="6"/>
  <c r="AD58" i="6"/>
  <c r="AC58" i="6"/>
  <c r="AB58" i="6"/>
  <c r="AA58" i="6"/>
  <c r="Z58" i="6"/>
  <c r="Y58" i="6"/>
  <c r="X58" i="6"/>
  <c r="W58" i="6"/>
  <c r="V58" i="6"/>
  <c r="U58" i="6"/>
  <c r="T58" i="6"/>
  <c r="S58" i="6"/>
  <c r="R58" i="6"/>
  <c r="Q58" i="6"/>
  <c r="P58" i="6"/>
  <c r="O58" i="6"/>
  <c r="N58" i="6"/>
  <c r="M58" i="6"/>
  <c r="L58" i="6"/>
  <c r="K58" i="6"/>
  <c r="J58" i="6"/>
  <c r="I58" i="6"/>
  <c r="H58" i="6"/>
  <c r="G58" i="6"/>
  <c r="F58" i="6"/>
  <c r="DA57" i="6"/>
  <c r="CZ57" i="6"/>
  <c r="CY57" i="6"/>
  <c r="CX57" i="6"/>
  <c r="CW57" i="6"/>
  <c r="CV57" i="6"/>
  <c r="CU57" i="6"/>
  <c r="CT57" i="6"/>
  <c r="CS57" i="6"/>
  <c r="CR57" i="6"/>
  <c r="CQ57" i="6"/>
  <c r="CP57" i="6"/>
  <c r="CO57" i="6"/>
  <c r="CN57" i="6"/>
  <c r="CM57" i="6"/>
  <c r="CL57" i="6"/>
  <c r="CK57" i="6"/>
  <c r="CJ57" i="6"/>
  <c r="CI57" i="6"/>
  <c r="CH57" i="6"/>
  <c r="CG57" i="6"/>
  <c r="CF57" i="6"/>
  <c r="CE57" i="6"/>
  <c r="CD57" i="6"/>
  <c r="CC57" i="6"/>
  <c r="CB57" i="6"/>
  <c r="CA57" i="6"/>
  <c r="BZ57" i="6"/>
  <c r="BY57" i="6"/>
  <c r="BX57" i="6"/>
  <c r="BW57" i="6"/>
  <c r="BV57" i="6"/>
  <c r="BU57" i="6"/>
  <c r="BT57" i="6"/>
  <c r="BS57" i="6"/>
  <c r="BR57" i="6"/>
  <c r="BQ57" i="6"/>
  <c r="BP57" i="6"/>
  <c r="BO57" i="6"/>
  <c r="BN57" i="6"/>
  <c r="BM57" i="6"/>
  <c r="BL57" i="6"/>
  <c r="BK57" i="6"/>
  <c r="BJ57" i="6"/>
  <c r="BI57" i="6"/>
  <c r="BH57" i="6"/>
  <c r="BG57" i="6"/>
  <c r="BF57" i="6"/>
  <c r="BE57" i="6"/>
  <c r="BD57" i="6"/>
  <c r="BC57" i="6"/>
  <c r="BB57" i="6"/>
  <c r="BA57" i="6"/>
  <c r="AZ57" i="6"/>
  <c r="AY57" i="6"/>
  <c r="AX57" i="6"/>
  <c r="AW57" i="6"/>
  <c r="AV57" i="6"/>
  <c r="AU57" i="6"/>
  <c r="AT57" i="6"/>
  <c r="AS57" i="6"/>
  <c r="AR57" i="6"/>
  <c r="AQ57" i="6"/>
  <c r="AP57" i="6"/>
  <c r="AO57" i="6"/>
  <c r="AN57" i="6"/>
  <c r="AM57" i="6"/>
  <c r="AL57" i="6"/>
  <c r="AK57" i="6"/>
  <c r="AJ57" i="6"/>
  <c r="AI57" i="6"/>
  <c r="AH57" i="6"/>
  <c r="AG57" i="6"/>
  <c r="AF57" i="6"/>
  <c r="AE57" i="6"/>
  <c r="AD57" i="6"/>
  <c r="AC57" i="6"/>
  <c r="AB57" i="6"/>
  <c r="AA57" i="6"/>
  <c r="Z57" i="6"/>
  <c r="Y57" i="6"/>
  <c r="X57" i="6"/>
  <c r="W57" i="6"/>
  <c r="V57" i="6"/>
  <c r="U57" i="6"/>
  <c r="T57" i="6"/>
  <c r="S57" i="6"/>
  <c r="R57" i="6"/>
  <c r="Q57" i="6"/>
  <c r="P57" i="6"/>
  <c r="O57" i="6"/>
  <c r="N57" i="6"/>
  <c r="M57" i="6"/>
  <c r="L57" i="6"/>
  <c r="K57" i="6"/>
  <c r="J57" i="6"/>
  <c r="I57" i="6"/>
  <c r="H57" i="6"/>
  <c r="G57" i="6"/>
  <c r="F57" i="6"/>
  <c r="DA56" i="6"/>
  <c r="CZ56" i="6"/>
  <c r="CY56" i="6"/>
  <c r="CX56" i="6"/>
  <c r="CW56" i="6"/>
  <c r="CV56" i="6"/>
  <c r="CU56" i="6"/>
  <c r="CT56" i="6"/>
  <c r="CS56" i="6"/>
  <c r="CR56" i="6"/>
  <c r="CQ56" i="6"/>
  <c r="CP56" i="6"/>
  <c r="CO56" i="6"/>
  <c r="CN56" i="6"/>
  <c r="CM56" i="6"/>
  <c r="CL56" i="6"/>
  <c r="CK56" i="6"/>
  <c r="CJ56" i="6"/>
  <c r="CI56" i="6"/>
  <c r="CH56" i="6"/>
  <c r="CG56" i="6"/>
  <c r="CF56" i="6"/>
  <c r="CE56" i="6"/>
  <c r="CD56" i="6"/>
  <c r="CC56" i="6"/>
  <c r="CB56" i="6"/>
  <c r="CA56" i="6"/>
  <c r="BZ56" i="6"/>
  <c r="BY56" i="6"/>
  <c r="BX56" i="6"/>
  <c r="BW56" i="6"/>
  <c r="BV56" i="6"/>
  <c r="BU56" i="6"/>
  <c r="BT56" i="6"/>
  <c r="BS56" i="6"/>
  <c r="BR56" i="6"/>
  <c r="BQ56" i="6"/>
  <c r="BP56" i="6"/>
  <c r="BO56" i="6"/>
  <c r="BN56" i="6"/>
  <c r="BM56" i="6"/>
  <c r="BL56" i="6"/>
  <c r="BK56" i="6"/>
  <c r="BJ56" i="6"/>
  <c r="BI56" i="6"/>
  <c r="BH56" i="6"/>
  <c r="BG56" i="6"/>
  <c r="BF56" i="6"/>
  <c r="BE56" i="6"/>
  <c r="BD56" i="6"/>
  <c r="BC56" i="6"/>
  <c r="BB56" i="6"/>
  <c r="BA56" i="6"/>
  <c r="AZ56" i="6"/>
  <c r="AY56" i="6"/>
  <c r="AX56" i="6"/>
  <c r="AW56" i="6"/>
  <c r="AV56" i="6"/>
  <c r="AU56" i="6"/>
  <c r="AT56" i="6"/>
  <c r="AS56" i="6"/>
  <c r="AR56" i="6"/>
  <c r="AQ56" i="6"/>
  <c r="AP56" i="6"/>
  <c r="AO56" i="6"/>
  <c r="AN56" i="6"/>
  <c r="AM56" i="6"/>
  <c r="AL56" i="6"/>
  <c r="AK56" i="6"/>
  <c r="AJ56" i="6"/>
  <c r="AI56" i="6"/>
  <c r="AH56" i="6"/>
  <c r="AG56" i="6"/>
  <c r="AF56" i="6"/>
  <c r="AE56" i="6"/>
  <c r="AD56" i="6"/>
  <c r="AC56" i="6"/>
  <c r="AB56" i="6"/>
  <c r="AA56" i="6"/>
  <c r="Z56" i="6"/>
  <c r="Y56" i="6"/>
  <c r="X56" i="6"/>
  <c r="W56" i="6"/>
  <c r="V56" i="6"/>
  <c r="U56" i="6"/>
  <c r="T56" i="6"/>
  <c r="S56" i="6"/>
  <c r="R56" i="6"/>
  <c r="Q56" i="6"/>
  <c r="P56" i="6"/>
  <c r="O56" i="6"/>
  <c r="N56" i="6"/>
  <c r="M56" i="6"/>
  <c r="L56" i="6"/>
  <c r="K56" i="6"/>
  <c r="J56" i="6"/>
  <c r="I56" i="6"/>
  <c r="H56" i="6"/>
  <c r="G56" i="6"/>
  <c r="F56" i="6"/>
  <c r="DA55" i="6"/>
  <c r="CZ55" i="6"/>
  <c r="CY55" i="6"/>
  <c r="CX55" i="6"/>
  <c r="CW55" i="6"/>
  <c r="CV55" i="6"/>
  <c r="CU55" i="6"/>
  <c r="CT55" i="6"/>
  <c r="CS55" i="6"/>
  <c r="CR55" i="6"/>
  <c r="CQ55" i="6"/>
  <c r="CP55" i="6"/>
  <c r="CO55" i="6"/>
  <c r="CN55" i="6"/>
  <c r="CM55" i="6"/>
  <c r="CL55" i="6"/>
  <c r="CK55" i="6"/>
  <c r="CJ55" i="6"/>
  <c r="CI55" i="6"/>
  <c r="CH55" i="6"/>
  <c r="CG55" i="6"/>
  <c r="CF55" i="6"/>
  <c r="CE55" i="6"/>
  <c r="CD55" i="6"/>
  <c r="CC55" i="6"/>
  <c r="CB55" i="6"/>
  <c r="CA55" i="6"/>
  <c r="BZ55" i="6"/>
  <c r="BY55" i="6"/>
  <c r="BX55" i="6"/>
  <c r="BW55" i="6"/>
  <c r="BV55" i="6"/>
  <c r="BU55" i="6"/>
  <c r="BT55" i="6"/>
  <c r="BS55" i="6"/>
  <c r="BR55" i="6"/>
  <c r="BQ55" i="6"/>
  <c r="BP55" i="6"/>
  <c r="BO55" i="6"/>
  <c r="BN55" i="6"/>
  <c r="BM55" i="6"/>
  <c r="BL55" i="6"/>
  <c r="BK55" i="6"/>
  <c r="BJ55" i="6"/>
  <c r="BI55" i="6"/>
  <c r="BH55" i="6"/>
  <c r="BG55" i="6"/>
  <c r="BF55" i="6"/>
  <c r="BE55" i="6"/>
  <c r="BD55" i="6"/>
  <c r="BC55" i="6"/>
  <c r="BB55" i="6"/>
  <c r="BA55" i="6"/>
  <c r="AZ55" i="6"/>
  <c r="AY55" i="6"/>
  <c r="AX55" i="6"/>
  <c r="AW55" i="6"/>
  <c r="AV55" i="6"/>
  <c r="AU55" i="6"/>
  <c r="AT55" i="6"/>
  <c r="AS55" i="6"/>
  <c r="AR55" i="6"/>
  <c r="AQ55" i="6"/>
  <c r="AP55" i="6"/>
  <c r="AO55" i="6"/>
  <c r="AN55" i="6"/>
  <c r="AM55" i="6"/>
  <c r="AL55" i="6"/>
  <c r="AK55" i="6"/>
  <c r="AJ55" i="6"/>
  <c r="AI55" i="6"/>
  <c r="AH55" i="6"/>
  <c r="AG55" i="6"/>
  <c r="AF55" i="6"/>
  <c r="AE55" i="6"/>
  <c r="AD55" i="6"/>
  <c r="AC55" i="6"/>
  <c r="AB55" i="6"/>
  <c r="AA55" i="6"/>
  <c r="Z55" i="6"/>
  <c r="Y55" i="6"/>
  <c r="X55" i="6"/>
  <c r="W55" i="6"/>
  <c r="V55" i="6"/>
  <c r="U55" i="6"/>
  <c r="T55" i="6"/>
  <c r="S55" i="6"/>
  <c r="R55" i="6"/>
  <c r="Q55" i="6"/>
  <c r="P55" i="6"/>
  <c r="O55" i="6"/>
  <c r="N55" i="6"/>
  <c r="M55" i="6"/>
  <c r="L55" i="6"/>
  <c r="K55" i="6"/>
  <c r="J55" i="6"/>
  <c r="I55" i="6"/>
  <c r="H55" i="6"/>
  <c r="G55" i="6"/>
  <c r="F55" i="6"/>
  <c r="DA54" i="6"/>
  <c r="CZ54" i="6"/>
  <c r="CY54" i="6"/>
  <c r="CX54" i="6"/>
  <c r="CW54" i="6"/>
  <c r="CV54" i="6"/>
  <c r="CU54" i="6"/>
  <c r="CT54" i="6"/>
  <c r="CS54" i="6"/>
  <c r="CR54" i="6"/>
  <c r="CQ54" i="6"/>
  <c r="CP54" i="6"/>
  <c r="CO54" i="6"/>
  <c r="CN54" i="6"/>
  <c r="CM54" i="6"/>
  <c r="CL54" i="6"/>
  <c r="CK54" i="6"/>
  <c r="CJ54" i="6"/>
  <c r="CI54" i="6"/>
  <c r="CH54" i="6"/>
  <c r="CG54" i="6"/>
  <c r="CF54" i="6"/>
  <c r="CE54" i="6"/>
  <c r="CD54" i="6"/>
  <c r="CC54" i="6"/>
  <c r="CB54" i="6"/>
  <c r="CA54" i="6"/>
  <c r="BZ54" i="6"/>
  <c r="BY54" i="6"/>
  <c r="BX54" i="6"/>
  <c r="BW54" i="6"/>
  <c r="BV54" i="6"/>
  <c r="BU54" i="6"/>
  <c r="BT54" i="6"/>
  <c r="BS54" i="6"/>
  <c r="BR54" i="6"/>
  <c r="BQ54" i="6"/>
  <c r="BP54" i="6"/>
  <c r="BO54" i="6"/>
  <c r="BN54" i="6"/>
  <c r="BM54" i="6"/>
  <c r="BL54" i="6"/>
  <c r="BK54" i="6"/>
  <c r="BJ54" i="6"/>
  <c r="BI54" i="6"/>
  <c r="BH54" i="6"/>
  <c r="BG54" i="6"/>
  <c r="BF54" i="6"/>
  <c r="BE54" i="6"/>
  <c r="BD54" i="6"/>
  <c r="BC54" i="6"/>
  <c r="BB54" i="6"/>
  <c r="BA54" i="6"/>
  <c r="AZ54" i="6"/>
  <c r="AY54" i="6"/>
  <c r="AX54" i="6"/>
  <c r="AW54" i="6"/>
  <c r="AV54" i="6"/>
  <c r="AU54" i="6"/>
  <c r="AT54" i="6"/>
  <c r="AS54" i="6"/>
  <c r="AR54" i="6"/>
  <c r="AQ54" i="6"/>
  <c r="AP54" i="6"/>
  <c r="AO54" i="6"/>
  <c r="AN54" i="6"/>
  <c r="AM54" i="6"/>
  <c r="AL54" i="6"/>
  <c r="AK54" i="6"/>
  <c r="AJ54" i="6"/>
  <c r="AI54" i="6"/>
  <c r="AH54" i="6"/>
  <c r="AG54" i="6"/>
  <c r="AF54" i="6"/>
  <c r="AE54" i="6"/>
  <c r="AD54" i="6"/>
  <c r="AC54" i="6"/>
  <c r="AB54" i="6"/>
  <c r="AA54" i="6"/>
  <c r="Z54" i="6"/>
  <c r="Y54" i="6"/>
  <c r="X54" i="6"/>
  <c r="W54" i="6"/>
  <c r="V54" i="6"/>
  <c r="U54" i="6"/>
  <c r="T54" i="6"/>
  <c r="S54" i="6"/>
  <c r="R54" i="6"/>
  <c r="Q54" i="6"/>
  <c r="P54" i="6"/>
  <c r="O54" i="6"/>
  <c r="N54" i="6"/>
  <c r="M54" i="6"/>
  <c r="L54" i="6"/>
  <c r="K54" i="6"/>
  <c r="J54" i="6"/>
  <c r="I54" i="6"/>
  <c r="H54" i="6"/>
  <c r="G54" i="6"/>
  <c r="F54" i="6"/>
  <c r="DA53" i="6"/>
  <c r="CZ53" i="6"/>
  <c r="CY53" i="6"/>
  <c r="CX53" i="6"/>
  <c r="CW53" i="6"/>
  <c r="CV53" i="6"/>
  <c r="CU53" i="6"/>
  <c r="CT53" i="6"/>
  <c r="CS53" i="6"/>
  <c r="CR53" i="6"/>
  <c r="CQ53" i="6"/>
  <c r="CP53" i="6"/>
  <c r="CO53" i="6"/>
  <c r="CN53" i="6"/>
  <c r="CM53" i="6"/>
  <c r="CL53" i="6"/>
  <c r="CK53" i="6"/>
  <c r="CJ53" i="6"/>
  <c r="CI53" i="6"/>
  <c r="CH53" i="6"/>
  <c r="CG53" i="6"/>
  <c r="CF53" i="6"/>
  <c r="CE53" i="6"/>
  <c r="CD53" i="6"/>
  <c r="CC53" i="6"/>
  <c r="CB53" i="6"/>
  <c r="CA53" i="6"/>
  <c r="BZ53" i="6"/>
  <c r="BY53" i="6"/>
  <c r="BX53" i="6"/>
  <c r="BW53" i="6"/>
  <c r="BV53" i="6"/>
  <c r="BU53" i="6"/>
  <c r="BT53" i="6"/>
  <c r="BS53" i="6"/>
  <c r="BR53" i="6"/>
  <c r="BQ53" i="6"/>
  <c r="BP53" i="6"/>
  <c r="BO53" i="6"/>
  <c r="BN53" i="6"/>
  <c r="BM53" i="6"/>
  <c r="BL53" i="6"/>
  <c r="BK53" i="6"/>
  <c r="BJ53" i="6"/>
  <c r="BI53" i="6"/>
  <c r="BH53" i="6"/>
  <c r="BG53" i="6"/>
  <c r="BF53" i="6"/>
  <c r="BE53" i="6"/>
  <c r="BD53" i="6"/>
  <c r="BC53" i="6"/>
  <c r="BB53" i="6"/>
  <c r="BA53" i="6"/>
  <c r="AZ53" i="6"/>
  <c r="AY53" i="6"/>
  <c r="AX53" i="6"/>
  <c r="AW53" i="6"/>
  <c r="AV53" i="6"/>
  <c r="AU53" i="6"/>
  <c r="AT53" i="6"/>
  <c r="AS53" i="6"/>
  <c r="AR53" i="6"/>
  <c r="AQ53" i="6"/>
  <c r="AP53" i="6"/>
  <c r="AO53" i="6"/>
  <c r="AN53" i="6"/>
  <c r="AM53" i="6"/>
  <c r="AL53" i="6"/>
  <c r="AK53" i="6"/>
  <c r="AJ53" i="6"/>
  <c r="AI53" i="6"/>
  <c r="AH53" i="6"/>
  <c r="AG53" i="6"/>
  <c r="AF53" i="6"/>
  <c r="AE53" i="6"/>
  <c r="AD53" i="6"/>
  <c r="AC53" i="6"/>
  <c r="AB53" i="6"/>
  <c r="AA53" i="6"/>
  <c r="Z53" i="6"/>
  <c r="Y53" i="6"/>
  <c r="X53" i="6"/>
  <c r="W53" i="6"/>
  <c r="V53" i="6"/>
  <c r="U53" i="6"/>
  <c r="T53" i="6"/>
  <c r="S53" i="6"/>
  <c r="R53" i="6"/>
  <c r="Q53" i="6"/>
  <c r="P53" i="6"/>
  <c r="O53" i="6"/>
  <c r="N53" i="6"/>
  <c r="M53" i="6"/>
  <c r="L53" i="6"/>
  <c r="K53" i="6"/>
  <c r="J53" i="6"/>
  <c r="I53" i="6"/>
  <c r="H53" i="6"/>
  <c r="G53" i="6"/>
  <c r="F53" i="6"/>
  <c r="DA52" i="6"/>
  <c r="CZ52" i="6"/>
  <c r="CY52" i="6"/>
  <c r="CX52" i="6"/>
  <c r="CW52" i="6"/>
  <c r="CV52" i="6"/>
  <c r="CU52" i="6"/>
  <c r="CT52" i="6"/>
  <c r="CS52" i="6"/>
  <c r="CR52" i="6"/>
  <c r="CQ52" i="6"/>
  <c r="CP52" i="6"/>
  <c r="CO52" i="6"/>
  <c r="CN52" i="6"/>
  <c r="CM52" i="6"/>
  <c r="CL52" i="6"/>
  <c r="CK52" i="6"/>
  <c r="CJ52" i="6"/>
  <c r="CI52" i="6"/>
  <c r="CH52" i="6"/>
  <c r="CG52" i="6"/>
  <c r="CF52" i="6"/>
  <c r="CE52" i="6"/>
  <c r="CD52" i="6"/>
  <c r="CC52" i="6"/>
  <c r="CB52" i="6"/>
  <c r="CA52" i="6"/>
  <c r="BZ52" i="6"/>
  <c r="BY52" i="6"/>
  <c r="BX52" i="6"/>
  <c r="BW52" i="6"/>
  <c r="BV52" i="6"/>
  <c r="BU52" i="6"/>
  <c r="BT52" i="6"/>
  <c r="BS52" i="6"/>
  <c r="BR52" i="6"/>
  <c r="BQ52" i="6"/>
  <c r="BP52" i="6"/>
  <c r="BO52" i="6"/>
  <c r="BN52" i="6"/>
  <c r="BM52" i="6"/>
  <c r="BL52" i="6"/>
  <c r="BK52" i="6"/>
  <c r="BJ52" i="6"/>
  <c r="BI52" i="6"/>
  <c r="BH52" i="6"/>
  <c r="BG52" i="6"/>
  <c r="BF52" i="6"/>
  <c r="BE52" i="6"/>
  <c r="BD52" i="6"/>
  <c r="BC52" i="6"/>
  <c r="BB52" i="6"/>
  <c r="BA52" i="6"/>
  <c r="AZ52" i="6"/>
  <c r="AY52" i="6"/>
  <c r="AX52" i="6"/>
  <c r="AW52" i="6"/>
  <c r="AV52" i="6"/>
  <c r="AU52" i="6"/>
  <c r="AT52" i="6"/>
  <c r="AS52" i="6"/>
  <c r="AR52" i="6"/>
  <c r="AQ52" i="6"/>
  <c r="AP52" i="6"/>
  <c r="AO52" i="6"/>
  <c r="AN52" i="6"/>
  <c r="AM52" i="6"/>
  <c r="AL52" i="6"/>
  <c r="AK52" i="6"/>
  <c r="AJ52" i="6"/>
  <c r="AI52" i="6"/>
  <c r="AH52" i="6"/>
  <c r="AG52" i="6"/>
  <c r="AF52" i="6"/>
  <c r="AE52" i="6"/>
  <c r="AD52" i="6"/>
  <c r="AC52" i="6"/>
  <c r="AB52" i="6"/>
  <c r="AA52" i="6"/>
  <c r="Z52" i="6"/>
  <c r="Y52" i="6"/>
  <c r="X52" i="6"/>
  <c r="W52" i="6"/>
  <c r="V52" i="6"/>
  <c r="U52" i="6"/>
  <c r="T52" i="6"/>
  <c r="S52" i="6"/>
  <c r="R52" i="6"/>
  <c r="Q52" i="6"/>
  <c r="P52" i="6"/>
  <c r="O52" i="6"/>
  <c r="N52" i="6"/>
  <c r="M52" i="6"/>
  <c r="L52" i="6"/>
  <c r="K52" i="6"/>
  <c r="J52" i="6"/>
  <c r="I52" i="6"/>
  <c r="H52" i="6"/>
  <c r="G52" i="6"/>
  <c r="F52" i="6"/>
  <c r="DA51" i="6"/>
  <c r="CZ51" i="6"/>
  <c r="CY51" i="6"/>
  <c r="CX51" i="6"/>
  <c r="CW51" i="6"/>
  <c r="CV51" i="6"/>
  <c r="CU51" i="6"/>
  <c r="CT51" i="6"/>
  <c r="CS51" i="6"/>
  <c r="CR51" i="6"/>
  <c r="CQ51" i="6"/>
  <c r="CP51" i="6"/>
  <c r="CO51" i="6"/>
  <c r="CN51" i="6"/>
  <c r="CM51" i="6"/>
  <c r="CL51" i="6"/>
  <c r="CK51" i="6"/>
  <c r="CJ51" i="6"/>
  <c r="CI51" i="6"/>
  <c r="CH51" i="6"/>
  <c r="CG51" i="6"/>
  <c r="CF51" i="6"/>
  <c r="CE51" i="6"/>
  <c r="CD51" i="6"/>
  <c r="CC51" i="6"/>
  <c r="CB51" i="6"/>
  <c r="CA51" i="6"/>
  <c r="BZ51" i="6"/>
  <c r="BY51" i="6"/>
  <c r="BX51" i="6"/>
  <c r="BW51" i="6"/>
  <c r="BV51" i="6"/>
  <c r="BU51" i="6"/>
  <c r="BT51" i="6"/>
  <c r="BS51" i="6"/>
  <c r="BR51" i="6"/>
  <c r="BQ51" i="6"/>
  <c r="BP51" i="6"/>
  <c r="BO51" i="6"/>
  <c r="BN51" i="6"/>
  <c r="BM51" i="6"/>
  <c r="BL51" i="6"/>
  <c r="BK51" i="6"/>
  <c r="BJ51" i="6"/>
  <c r="BI51" i="6"/>
  <c r="BH51" i="6"/>
  <c r="BG51" i="6"/>
  <c r="BF51" i="6"/>
  <c r="BE51" i="6"/>
  <c r="BD51" i="6"/>
  <c r="BC51" i="6"/>
  <c r="BB51" i="6"/>
  <c r="BA51" i="6"/>
  <c r="AZ51" i="6"/>
  <c r="AY51" i="6"/>
  <c r="AX51" i="6"/>
  <c r="AW51" i="6"/>
  <c r="AV51" i="6"/>
  <c r="AU51" i="6"/>
  <c r="AT51" i="6"/>
  <c r="AS51" i="6"/>
  <c r="AR51" i="6"/>
  <c r="AQ51" i="6"/>
  <c r="AP51" i="6"/>
  <c r="AO51" i="6"/>
  <c r="AN51" i="6"/>
  <c r="AM51" i="6"/>
  <c r="AL51" i="6"/>
  <c r="AK51" i="6"/>
  <c r="AJ51" i="6"/>
  <c r="AI51" i="6"/>
  <c r="AH51" i="6"/>
  <c r="AG51" i="6"/>
  <c r="AF51" i="6"/>
  <c r="AE51" i="6"/>
  <c r="AD51" i="6"/>
  <c r="AC51" i="6"/>
  <c r="AB51" i="6"/>
  <c r="AA51" i="6"/>
  <c r="Z51" i="6"/>
  <c r="Y51" i="6"/>
  <c r="X51" i="6"/>
  <c r="W51" i="6"/>
  <c r="V51" i="6"/>
  <c r="U51" i="6"/>
  <c r="T51" i="6"/>
  <c r="S51" i="6"/>
  <c r="R51" i="6"/>
  <c r="Q51" i="6"/>
  <c r="P51" i="6"/>
  <c r="O51" i="6"/>
  <c r="N51" i="6"/>
  <c r="M51" i="6"/>
  <c r="L51" i="6"/>
  <c r="K51" i="6"/>
  <c r="J51" i="6"/>
  <c r="I51" i="6"/>
  <c r="H51" i="6"/>
  <c r="G51" i="6"/>
  <c r="F51" i="6"/>
  <c r="DA50" i="6"/>
  <c r="CZ50" i="6"/>
  <c r="CY50" i="6"/>
  <c r="CX50" i="6"/>
  <c r="CW50" i="6"/>
  <c r="CV50" i="6"/>
  <c r="CU50" i="6"/>
  <c r="CT50" i="6"/>
  <c r="CS50" i="6"/>
  <c r="CR50" i="6"/>
  <c r="CQ50" i="6"/>
  <c r="CP50" i="6"/>
  <c r="CO50" i="6"/>
  <c r="CN50" i="6"/>
  <c r="CM50" i="6"/>
  <c r="CL50" i="6"/>
  <c r="CK50" i="6"/>
  <c r="CJ50" i="6"/>
  <c r="CI50" i="6"/>
  <c r="CH50" i="6"/>
  <c r="CG50" i="6"/>
  <c r="CF50" i="6"/>
  <c r="CE50" i="6"/>
  <c r="CD50" i="6"/>
  <c r="CC50" i="6"/>
  <c r="CB50" i="6"/>
  <c r="CA50" i="6"/>
  <c r="BZ50" i="6"/>
  <c r="BY50" i="6"/>
  <c r="BX50" i="6"/>
  <c r="BW50" i="6"/>
  <c r="BV50" i="6"/>
  <c r="BU50" i="6"/>
  <c r="BT50" i="6"/>
  <c r="BS50" i="6"/>
  <c r="BR50" i="6"/>
  <c r="BQ50" i="6"/>
  <c r="BP50" i="6"/>
  <c r="BO50" i="6"/>
  <c r="BN50" i="6"/>
  <c r="BM50" i="6"/>
  <c r="BL50" i="6"/>
  <c r="BK50" i="6"/>
  <c r="BJ50" i="6"/>
  <c r="BI50" i="6"/>
  <c r="BH50" i="6"/>
  <c r="BG50" i="6"/>
  <c r="BF50" i="6"/>
  <c r="BE50" i="6"/>
  <c r="BD50" i="6"/>
  <c r="BC50" i="6"/>
  <c r="BB50" i="6"/>
  <c r="BA50" i="6"/>
  <c r="AZ50" i="6"/>
  <c r="AY50" i="6"/>
  <c r="AX50" i="6"/>
  <c r="AW50" i="6"/>
  <c r="AV50" i="6"/>
  <c r="AU50" i="6"/>
  <c r="AT50" i="6"/>
  <c r="AS50" i="6"/>
  <c r="AR50" i="6"/>
  <c r="AQ50" i="6"/>
  <c r="AP50" i="6"/>
  <c r="AO50" i="6"/>
  <c r="AN50" i="6"/>
  <c r="AM50" i="6"/>
  <c r="AL50" i="6"/>
  <c r="AK50" i="6"/>
  <c r="AJ50" i="6"/>
  <c r="AI50" i="6"/>
  <c r="AH50" i="6"/>
  <c r="AG50" i="6"/>
  <c r="AF50" i="6"/>
  <c r="AE50" i="6"/>
  <c r="AD50" i="6"/>
  <c r="AC50" i="6"/>
  <c r="AB50" i="6"/>
  <c r="AA50" i="6"/>
  <c r="Z50" i="6"/>
  <c r="Y50" i="6"/>
  <c r="X50" i="6"/>
  <c r="W50" i="6"/>
  <c r="V50" i="6"/>
  <c r="U50" i="6"/>
  <c r="T50" i="6"/>
  <c r="S50" i="6"/>
  <c r="R50" i="6"/>
  <c r="Q50" i="6"/>
  <c r="P50" i="6"/>
  <c r="O50" i="6"/>
  <c r="N50" i="6"/>
  <c r="M50" i="6"/>
  <c r="L50" i="6"/>
  <c r="K50" i="6"/>
  <c r="J50" i="6"/>
  <c r="I50" i="6"/>
  <c r="H50" i="6"/>
  <c r="G50" i="6"/>
  <c r="F50" i="6"/>
  <c r="DA49" i="6"/>
  <c r="CZ49" i="6"/>
  <c r="CY49" i="6"/>
  <c r="CX49" i="6"/>
  <c r="CW49" i="6"/>
  <c r="CV49" i="6"/>
  <c r="CU49" i="6"/>
  <c r="CT49" i="6"/>
  <c r="CS49" i="6"/>
  <c r="CR49" i="6"/>
  <c r="CQ49" i="6"/>
  <c r="CP49" i="6"/>
  <c r="CO49" i="6"/>
  <c r="CN49" i="6"/>
  <c r="CM49" i="6"/>
  <c r="CL49" i="6"/>
  <c r="CK49" i="6"/>
  <c r="CJ49" i="6"/>
  <c r="CI49" i="6"/>
  <c r="CH49" i="6"/>
  <c r="CG49" i="6"/>
  <c r="CF49" i="6"/>
  <c r="CE49" i="6"/>
  <c r="CD49" i="6"/>
  <c r="CC49" i="6"/>
  <c r="CB49" i="6"/>
  <c r="CA49" i="6"/>
  <c r="BZ49" i="6"/>
  <c r="BY49" i="6"/>
  <c r="BX49" i="6"/>
  <c r="BW49" i="6"/>
  <c r="BV49" i="6"/>
  <c r="BU49" i="6"/>
  <c r="BT49" i="6"/>
  <c r="BS49" i="6"/>
  <c r="BR49" i="6"/>
  <c r="BQ49" i="6"/>
  <c r="BP49" i="6"/>
  <c r="BO49" i="6"/>
  <c r="BN49" i="6"/>
  <c r="BM49" i="6"/>
  <c r="BL49" i="6"/>
  <c r="BK49" i="6"/>
  <c r="BJ49" i="6"/>
  <c r="BI49" i="6"/>
  <c r="BH49" i="6"/>
  <c r="BG49" i="6"/>
  <c r="BF49" i="6"/>
  <c r="BE49" i="6"/>
  <c r="BD49" i="6"/>
  <c r="BC49" i="6"/>
  <c r="BB49" i="6"/>
  <c r="BA49" i="6"/>
  <c r="AZ49" i="6"/>
  <c r="AY49" i="6"/>
  <c r="AX49" i="6"/>
  <c r="AW49" i="6"/>
  <c r="AV49" i="6"/>
  <c r="AU49" i="6"/>
  <c r="AT49" i="6"/>
  <c r="AS49" i="6"/>
  <c r="AR49" i="6"/>
  <c r="AQ49" i="6"/>
  <c r="AP49" i="6"/>
  <c r="AO49" i="6"/>
  <c r="AN49" i="6"/>
  <c r="AM49" i="6"/>
  <c r="AL49" i="6"/>
  <c r="AK49" i="6"/>
  <c r="AJ49" i="6"/>
  <c r="AI49" i="6"/>
  <c r="AH49" i="6"/>
  <c r="AG49" i="6"/>
  <c r="AF49" i="6"/>
  <c r="AE49" i="6"/>
  <c r="AD49" i="6"/>
  <c r="AC49" i="6"/>
  <c r="AB49" i="6"/>
  <c r="AA49" i="6"/>
  <c r="Z49" i="6"/>
  <c r="Y49" i="6"/>
  <c r="X49" i="6"/>
  <c r="W49" i="6"/>
  <c r="V49" i="6"/>
  <c r="U49" i="6"/>
  <c r="T49" i="6"/>
  <c r="S49" i="6"/>
  <c r="R49" i="6"/>
  <c r="Q49" i="6"/>
  <c r="P49" i="6"/>
  <c r="O49" i="6"/>
  <c r="N49" i="6"/>
  <c r="M49" i="6"/>
  <c r="L49" i="6"/>
  <c r="K49" i="6"/>
  <c r="J49" i="6"/>
  <c r="I49" i="6"/>
  <c r="H49" i="6"/>
  <c r="G49" i="6"/>
  <c r="F49" i="6"/>
  <c r="DA48" i="6"/>
  <c r="CZ48" i="6"/>
  <c r="CY48" i="6"/>
  <c r="CX48" i="6"/>
  <c r="CW48" i="6"/>
  <c r="CV48" i="6"/>
  <c r="CU48" i="6"/>
  <c r="CT48" i="6"/>
  <c r="CS48" i="6"/>
  <c r="CR48" i="6"/>
  <c r="CQ48" i="6"/>
  <c r="CP48" i="6"/>
  <c r="CO48" i="6"/>
  <c r="CN48" i="6"/>
  <c r="CM48" i="6"/>
  <c r="CL48" i="6"/>
  <c r="CK48" i="6"/>
  <c r="CJ48" i="6"/>
  <c r="CI48" i="6"/>
  <c r="CH48" i="6"/>
  <c r="CG48" i="6"/>
  <c r="CF48" i="6"/>
  <c r="CE48" i="6"/>
  <c r="CD48" i="6"/>
  <c r="CC48" i="6"/>
  <c r="CB48" i="6"/>
  <c r="CA48" i="6"/>
  <c r="BZ48" i="6"/>
  <c r="BY48" i="6"/>
  <c r="BX48" i="6"/>
  <c r="BW48" i="6"/>
  <c r="BV48" i="6"/>
  <c r="BU48" i="6"/>
  <c r="BT48" i="6"/>
  <c r="BS48" i="6"/>
  <c r="BR48" i="6"/>
  <c r="BQ48" i="6"/>
  <c r="BP48" i="6"/>
  <c r="BO48" i="6"/>
  <c r="BN48" i="6"/>
  <c r="BM48" i="6"/>
  <c r="BL48" i="6"/>
  <c r="BK48" i="6"/>
  <c r="BJ48" i="6"/>
  <c r="BI48" i="6"/>
  <c r="BH48" i="6"/>
  <c r="BG48" i="6"/>
  <c r="BF48" i="6"/>
  <c r="BE48" i="6"/>
  <c r="BD48" i="6"/>
  <c r="BC48" i="6"/>
  <c r="BB48" i="6"/>
  <c r="BA48" i="6"/>
  <c r="AZ48" i="6"/>
  <c r="AY48" i="6"/>
  <c r="AX48" i="6"/>
  <c r="AW48" i="6"/>
  <c r="AV48" i="6"/>
  <c r="AU48" i="6"/>
  <c r="AT48" i="6"/>
  <c r="AS48" i="6"/>
  <c r="AR48" i="6"/>
  <c r="AQ48" i="6"/>
  <c r="AP48" i="6"/>
  <c r="AO48" i="6"/>
  <c r="AN48" i="6"/>
  <c r="AM48" i="6"/>
  <c r="AL48" i="6"/>
  <c r="AK48" i="6"/>
  <c r="AJ48" i="6"/>
  <c r="AI48" i="6"/>
  <c r="AH48" i="6"/>
  <c r="AG48" i="6"/>
  <c r="AF48" i="6"/>
  <c r="AE48" i="6"/>
  <c r="AD48" i="6"/>
  <c r="AC48" i="6"/>
  <c r="AB48" i="6"/>
  <c r="AA48" i="6"/>
  <c r="Z48" i="6"/>
  <c r="Y48" i="6"/>
  <c r="X48" i="6"/>
  <c r="W48" i="6"/>
  <c r="V48" i="6"/>
  <c r="U48" i="6"/>
  <c r="T48" i="6"/>
  <c r="S48" i="6"/>
  <c r="R48" i="6"/>
  <c r="Q48" i="6"/>
  <c r="P48" i="6"/>
  <c r="O48" i="6"/>
  <c r="N48" i="6"/>
  <c r="M48" i="6"/>
  <c r="L48" i="6"/>
  <c r="K48" i="6"/>
  <c r="J48" i="6"/>
  <c r="I48" i="6"/>
  <c r="H48" i="6"/>
  <c r="G48" i="6"/>
  <c r="F48" i="6"/>
  <c r="DA47" i="6"/>
  <c r="CZ47" i="6"/>
  <c r="CY47" i="6"/>
  <c r="CX47" i="6"/>
  <c r="CW47" i="6"/>
  <c r="CV47" i="6"/>
  <c r="CU47" i="6"/>
  <c r="CT47" i="6"/>
  <c r="CS47" i="6"/>
  <c r="CR47" i="6"/>
  <c r="CQ47" i="6"/>
  <c r="CP47" i="6"/>
  <c r="CO47" i="6"/>
  <c r="CN47" i="6"/>
  <c r="CM47" i="6"/>
  <c r="CL47" i="6"/>
  <c r="CK47" i="6"/>
  <c r="CJ47" i="6"/>
  <c r="CI47" i="6"/>
  <c r="CH47" i="6"/>
  <c r="CG47" i="6"/>
  <c r="CF47" i="6"/>
  <c r="CE47" i="6"/>
  <c r="CD47" i="6"/>
  <c r="CC47" i="6"/>
  <c r="CB47" i="6"/>
  <c r="CA47" i="6"/>
  <c r="BZ47" i="6"/>
  <c r="BY47" i="6"/>
  <c r="BX47" i="6"/>
  <c r="BW47" i="6"/>
  <c r="BV47" i="6"/>
  <c r="BU47" i="6"/>
  <c r="BT47" i="6"/>
  <c r="BS47" i="6"/>
  <c r="BR47" i="6"/>
  <c r="BQ47" i="6"/>
  <c r="BP47" i="6"/>
  <c r="BO47" i="6"/>
  <c r="BN47" i="6"/>
  <c r="BM47" i="6"/>
  <c r="BL47" i="6"/>
  <c r="BK47" i="6"/>
  <c r="BJ47" i="6"/>
  <c r="BI47" i="6"/>
  <c r="BH47" i="6"/>
  <c r="BG47" i="6"/>
  <c r="BF47" i="6"/>
  <c r="BE47" i="6"/>
  <c r="BD47" i="6"/>
  <c r="BC47" i="6"/>
  <c r="BB47" i="6"/>
  <c r="BA47" i="6"/>
  <c r="AZ47" i="6"/>
  <c r="AY47" i="6"/>
  <c r="AX47" i="6"/>
  <c r="AW47" i="6"/>
  <c r="AV47" i="6"/>
  <c r="AU47" i="6"/>
  <c r="AT47" i="6"/>
  <c r="AS47" i="6"/>
  <c r="AR47" i="6"/>
  <c r="AQ47" i="6"/>
  <c r="AP47" i="6"/>
  <c r="AO47" i="6"/>
  <c r="AN47" i="6"/>
  <c r="AM47" i="6"/>
  <c r="AL47" i="6"/>
  <c r="AK47" i="6"/>
  <c r="AJ47" i="6"/>
  <c r="AI47" i="6"/>
  <c r="AH47" i="6"/>
  <c r="AG47" i="6"/>
  <c r="AF47" i="6"/>
  <c r="AE47" i="6"/>
  <c r="AD47" i="6"/>
  <c r="AC47" i="6"/>
  <c r="AB47" i="6"/>
  <c r="AA47" i="6"/>
  <c r="Z47" i="6"/>
  <c r="Y47" i="6"/>
  <c r="X47" i="6"/>
  <c r="W47" i="6"/>
  <c r="V47" i="6"/>
  <c r="U47" i="6"/>
  <c r="T47" i="6"/>
  <c r="S47" i="6"/>
  <c r="R47" i="6"/>
  <c r="Q47" i="6"/>
  <c r="P47" i="6"/>
  <c r="O47" i="6"/>
  <c r="N47" i="6"/>
  <c r="M47" i="6"/>
  <c r="L47" i="6"/>
  <c r="K47" i="6"/>
  <c r="J47" i="6"/>
  <c r="I47" i="6"/>
  <c r="H47" i="6"/>
  <c r="G47" i="6"/>
  <c r="F47" i="6"/>
  <c r="DA46" i="6"/>
  <c r="CZ46" i="6"/>
  <c r="CY46" i="6"/>
  <c r="CX46" i="6"/>
  <c r="CW46" i="6"/>
  <c r="CV46" i="6"/>
  <c r="CU46" i="6"/>
  <c r="CT46" i="6"/>
  <c r="CS46" i="6"/>
  <c r="CR46" i="6"/>
  <c r="CQ46" i="6"/>
  <c r="CP46" i="6"/>
  <c r="CO46" i="6"/>
  <c r="CN46" i="6"/>
  <c r="CM46" i="6"/>
  <c r="CL46" i="6"/>
  <c r="CK46" i="6"/>
  <c r="CJ46" i="6"/>
  <c r="CI46" i="6"/>
  <c r="CH46" i="6"/>
  <c r="CG46" i="6"/>
  <c r="CF46" i="6"/>
  <c r="CE46" i="6"/>
  <c r="CD46" i="6"/>
  <c r="CC46" i="6"/>
  <c r="CB46" i="6"/>
  <c r="CA46" i="6"/>
  <c r="BZ46" i="6"/>
  <c r="BY46" i="6"/>
  <c r="BX46" i="6"/>
  <c r="BW46" i="6"/>
  <c r="BV46" i="6"/>
  <c r="BU46" i="6"/>
  <c r="BT46" i="6"/>
  <c r="BS46" i="6"/>
  <c r="BR46" i="6"/>
  <c r="BQ46" i="6"/>
  <c r="BP46" i="6"/>
  <c r="BO46" i="6"/>
  <c r="BN46" i="6"/>
  <c r="BM46" i="6"/>
  <c r="BL46" i="6"/>
  <c r="BK46" i="6"/>
  <c r="BJ46" i="6"/>
  <c r="BI46" i="6"/>
  <c r="BH46" i="6"/>
  <c r="BG46" i="6"/>
  <c r="BF46" i="6"/>
  <c r="BE46" i="6"/>
  <c r="BD46" i="6"/>
  <c r="BC46" i="6"/>
  <c r="BB46" i="6"/>
  <c r="BA46" i="6"/>
  <c r="AZ46" i="6"/>
  <c r="AY46" i="6"/>
  <c r="AX46" i="6"/>
  <c r="AW46" i="6"/>
  <c r="AV46" i="6"/>
  <c r="AU46" i="6"/>
  <c r="AT46" i="6"/>
  <c r="AS46" i="6"/>
  <c r="AR46" i="6"/>
  <c r="AQ46" i="6"/>
  <c r="AP46" i="6"/>
  <c r="AO46" i="6"/>
  <c r="AN46" i="6"/>
  <c r="AM46" i="6"/>
  <c r="AL46" i="6"/>
  <c r="AK46" i="6"/>
  <c r="AJ46" i="6"/>
  <c r="AI46" i="6"/>
  <c r="AH46" i="6"/>
  <c r="AG46" i="6"/>
  <c r="AF46" i="6"/>
  <c r="AE46" i="6"/>
  <c r="AD46" i="6"/>
  <c r="AC46" i="6"/>
  <c r="AB46" i="6"/>
  <c r="AA46" i="6"/>
  <c r="Z46" i="6"/>
  <c r="Y46" i="6"/>
  <c r="X46" i="6"/>
  <c r="W46" i="6"/>
  <c r="V46" i="6"/>
  <c r="U46" i="6"/>
  <c r="T46" i="6"/>
  <c r="S46" i="6"/>
  <c r="R46" i="6"/>
  <c r="Q46" i="6"/>
  <c r="P46" i="6"/>
  <c r="O46" i="6"/>
  <c r="N46" i="6"/>
  <c r="M46" i="6"/>
  <c r="L46" i="6"/>
  <c r="K46" i="6"/>
  <c r="J46" i="6"/>
  <c r="I46" i="6"/>
  <c r="H46" i="6"/>
  <c r="G46" i="6"/>
  <c r="F46" i="6"/>
  <c r="DA45" i="6"/>
  <c r="CZ45" i="6"/>
  <c r="CY45" i="6"/>
  <c r="CX45" i="6"/>
  <c r="CW45" i="6"/>
  <c r="CV45" i="6"/>
  <c r="CU45" i="6"/>
  <c r="CT45" i="6"/>
  <c r="CS45" i="6"/>
  <c r="CR45" i="6"/>
  <c r="CQ45" i="6"/>
  <c r="CP45" i="6"/>
  <c r="CO45" i="6"/>
  <c r="CN45" i="6"/>
  <c r="CM45" i="6"/>
  <c r="CL45" i="6"/>
  <c r="CK45" i="6"/>
  <c r="CJ45" i="6"/>
  <c r="CI45" i="6"/>
  <c r="CH45" i="6"/>
  <c r="CG45" i="6"/>
  <c r="CF45" i="6"/>
  <c r="CE45" i="6"/>
  <c r="CD45" i="6"/>
  <c r="CC45" i="6"/>
  <c r="CB45" i="6"/>
  <c r="CA45" i="6"/>
  <c r="BZ45" i="6"/>
  <c r="BY45" i="6"/>
  <c r="BX45" i="6"/>
  <c r="BW45" i="6"/>
  <c r="BV45" i="6"/>
  <c r="BU45" i="6"/>
  <c r="BT45" i="6"/>
  <c r="BS45" i="6"/>
  <c r="BR45" i="6"/>
  <c r="BQ45" i="6"/>
  <c r="BP45" i="6"/>
  <c r="BO45" i="6"/>
  <c r="BN45" i="6"/>
  <c r="BM45" i="6"/>
  <c r="BL45" i="6"/>
  <c r="BK45" i="6"/>
  <c r="BJ45" i="6"/>
  <c r="BI45" i="6"/>
  <c r="BH45" i="6"/>
  <c r="BG45" i="6"/>
  <c r="BF45" i="6"/>
  <c r="BE45" i="6"/>
  <c r="BD45" i="6"/>
  <c r="BC45" i="6"/>
  <c r="BB45" i="6"/>
  <c r="BA45" i="6"/>
  <c r="AZ45" i="6"/>
  <c r="AY45" i="6"/>
  <c r="AX45" i="6"/>
  <c r="AW45" i="6"/>
  <c r="AV45" i="6"/>
  <c r="AU45" i="6"/>
  <c r="AT45" i="6"/>
  <c r="AS45" i="6"/>
  <c r="AR45" i="6"/>
  <c r="AQ45" i="6"/>
  <c r="AP45" i="6"/>
  <c r="AO45" i="6"/>
  <c r="AN45" i="6"/>
  <c r="AM45" i="6"/>
  <c r="AL45" i="6"/>
  <c r="AK45" i="6"/>
  <c r="AJ45" i="6"/>
  <c r="AI45" i="6"/>
  <c r="AH45" i="6"/>
  <c r="AG45" i="6"/>
  <c r="AF45" i="6"/>
  <c r="AE45" i="6"/>
  <c r="AD45" i="6"/>
  <c r="AC45" i="6"/>
  <c r="AB45" i="6"/>
  <c r="AA45" i="6"/>
  <c r="Z45" i="6"/>
  <c r="Y45" i="6"/>
  <c r="X45" i="6"/>
  <c r="W45" i="6"/>
  <c r="V45" i="6"/>
  <c r="U45" i="6"/>
  <c r="T45" i="6"/>
  <c r="S45" i="6"/>
  <c r="R45" i="6"/>
  <c r="Q45" i="6"/>
  <c r="P45" i="6"/>
  <c r="O45" i="6"/>
  <c r="N45" i="6"/>
  <c r="M45" i="6"/>
  <c r="L45" i="6"/>
  <c r="K45" i="6"/>
  <c r="J45" i="6"/>
  <c r="I45" i="6"/>
  <c r="H45" i="6"/>
  <c r="G45" i="6"/>
  <c r="F45" i="6"/>
  <c r="DA44" i="6"/>
  <c r="CZ44" i="6"/>
  <c r="CY44" i="6"/>
  <c r="CX44" i="6"/>
  <c r="CW44" i="6"/>
  <c r="CV44" i="6"/>
  <c r="CU44" i="6"/>
  <c r="CT44" i="6"/>
  <c r="CS44" i="6"/>
  <c r="CR44" i="6"/>
  <c r="CQ44" i="6"/>
  <c r="CP44" i="6"/>
  <c r="CO44" i="6"/>
  <c r="CN44" i="6"/>
  <c r="CM44" i="6"/>
  <c r="CL44" i="6"/>
  <c r="CK44" i="6"/>
  <c r="CJ44" i="6"/>
  <c r="CI44" i="6"/>
  <c r="CH44" i="6"/>
  <c r="CG44" i="6"/>
  <c r="CF44" i="6"/>
  <c r="CE44" i="6"/>
  <c r="CD44" i="6"/>
  <c r="CC44" i="6"/>
  <c r="CB44" i="6"/>
  <c r="CA44" i="6"/>
  <c r="BZ44" i="6"/>
  <c r="BY44" i="6"/>
  <c r="BX44" i="6"/>
  <c r="BW44" i="6"/>
  <c r="BV44" i="6"/>
  <c r="BU44" i="6"/>
  <c r="BT44" i="6"/>
  <c r="BS44" i="6"/>
  <c r="BR44" i="6"/>
  <c r="BQ44" i="6"/>
  <c r="BP44" i="6"/>
  <c r="BO44" i="6"/>
  <c r="BN44" i="6"/>
  <c r="BM44" i="6"/>
  <c r="BL44" i="6"/>
  <c r="BK44" i="6"/>
  <c r="BJ44" i="6"/>
  <c r="BI44" i="6"/>
  <c r="BH44" i="6"/>
  <c r="BG44" i="6"/>
  <c r="BF44" i="6"/>
  <c r="BE44" i="6"/>
  <c r="BD44" i="6"/>
  <c r="BC44" i="6"/>
  <c r="BB44" i="6"/>
  <c r="BA44" i="6"/>
  <c r="AZ44" i="6"/>
  <c r="AY44" i="6"/>
  <c r="AX44" i="6"/>
  <c r="AW44" i="6"/>
  <c r="AV44" i="6"/>
  <c r="AU44" i="6"/>
  <c r="AT44" i="6"/>
  <c r="AS44" i="6"/>
  <c r="AR44" i="6"/>
  <c r="AQ44" i="6"/>
  <c r="AP44" i="6"/>
  <c r="AO44" i="6"/>
  <c r="AN44" i="6"/>
  <c r="AM44" i="6"/>
  <c r="AL44" i="6"/>
  <c r="AK44" i="6"/>
  <c r="AJ44" i="6"/>
  <c r="AI44" i="6"/>
  <c r="AH44" i="6"/>
  <c r="AG44" i="6"/>
  <c r="AF44" i="6"/>
  <c r="AE44" i="6"/>
  <c r="AD44" i="6"/>
  <c r="AC44" i="6"/>
  <c r="AB44" i="6"/>
  <c r="AA44" i="6"/>
  <c r="Z44" i="6"/>
  <c r="Y44" i="6"/>
  <c r="X44" i="6"/>
  <c r="W44" i="6"/>
  <c r="V44" i="6"/>
  <c r="U44" i="6"/>
  <c r="T44" i="6"/>
  <c r="S44" i="6"/>
  <c r="R44" i="6"/>
  <c r="Q44" i="6"/>
  <c r="P44" i="6"/>
  <c r="O44" i="6"/>
  <c r="N44" i="6"/>
  <c r="M44" i="6"/>
  <c r="L44" i="6"/>
  <c r="K44" i="6"/>
  <c r="J44" i="6"/>
  <c r="I44" i="6"/>
  <c r="H44" i="6"/>
  <c r="G44" i="6"/>
  <c r="F44" i="6"/>
  <c r="DA43" i="6"/>
  <c r="CZ43" i="6"/>
  <c r="CY43" i="6"/>
  <c r="CX43" i="6"/>
  <c r="CW43" i="6"/>
  <c r="CV43" i="6"/>
  <c r="CU43" i="6"/>
  <c r="CT43" i="6"/>
  <c r="CS43" i="6"/>
  <c r="CR43" i="6"/>
  <c r="CQ43" i="6"/>
  <c r="CP43" i="6"/>
  <c r="CO43" i="6"/>
  <c r="CN43" i="6"/>
  <c r="CM43" i="6"/>
  <c r="CL43" i="6"/>
  <c r="CK43" i="6"/>
  <c r="CJ43" i="6"/>
  <c r="CI43" i="6"/>
  <c r="CH43" i="6"/>
  <c r="CG43" i="6"/>
  <c r="CF43" i="6"/>
  <c r="CE43" i="6"/>
  <c r="CD43" i="6"/>
  <c r="CC43" i="6"/>
  <c r="CB43" i="6"/>
  <c r="CA43" i="6"/>
  <c r="BZ43" i="6"/>
  <c r="BY43" i="6"/>
  <c r="BX43" i="6"/>
  <c r="BW43" i="6"/>
  <c r="BV43" i="6"/>
  <c r="BU43" i="6"/>
  <c r="BT43" i="6"/>
  <c r="BS43" i="6"/>
  <c r="BR43" i="6"/>
  <c r="BQ43" i="6"/>
  <c r="BP43" i="6"/>
  <c r="BO43" i="6"/>
  <c r="BN43" i="6"/>
  <c r="BM43" i="6"/>
  <c r="BL43" i="6"/>
  <c r="BK43" i="6"/>
  <c r="BJ43" i="6"/>
  <c r="BI43" i="6"/>
  <c r="BH43" i="6"/>
  <c r="BG43" i="6"/>
  <c r="BF43" i="6"/>
  <c r="BE43" i="6"/>
  <c r="BD43" i="6"/>
  <c r="BC43" i="6"/>
  <c r="BB43" i="6"/>
  <c r="BA43" i="6"/>
  <c r="AZ43" i="6"/>
  <c r="AY43" i="6"/>
  <c r="AX43" i="6"/>
  <c r="AW43" i="6"/>
  <c r="AV43" i="6"/>
  <c r="AU43" i="6"/>
  <c r="AT43" i="6"/>
  <c r="AS43" i="6"/>
  <c r="AR43" i="6"/>
  <c r="AQ43" i="6"/>
  <c r="AP43" i="6"/>
  <c r="AO43" i="6"/>
  <c r="AN43" i="6"/>
  <c r="AM43" i="6"/>
  <c r="AL43" i="6"/>
  <c r="AK43" i="6"/>
  <c r="AJ43" i="6"/>
  <c r="AI43" i="6"/>
  <c r="AH43" i="6"/>
  <c r="AG43" i="6"/>
  <c r="AF43" i="6"/>
  <c r="AE43" i="6"/>
  <c r="AD43" i="6"/>
  <c r="AC43" i="6"/>
  <c r="AB43" i="6"/>
  <c r="AA43" i="6"/>
  <c r="Z43" i="6"/>
  <c r="Y43" i="6"/>
  <c r="X43" i="6"/>
  <c r="W43" i="6"/>
  <c r="V43" i="6"/>
  <c r="U43" i="6"/>
  <c r="T43" i="6"/>
  <c r="S43" i="6"/>
  <c r="R43" i="6"/>
  <c r="Q43" i="6"/>
  <c r="P43" i="6"/>
  <c r="O43" i="6"/>
  <c r="N43" i="6"/>
  <c r="M43" i="6"/>
  <c r="L43" i="6"/>
  <c r="K43" i="6"/>
  <c r="J43" i="6"/>
  <c r="I43" i="6"/>
  <c r="H43" i="6"/>
  <c r="G43" i="6"/>
  <c r="F43" i="6"/>
  <c r="DA42" i="6"/>
  <c r="CZ42" i="6"/>
  <c r="CY42" i="6"/>
  <c r="CX42" i="6"/>
  <c r="CW42" i="6"/>
  <c r="CV42" i="6"/>
  <c r="CU42" i="6"/>
  <c r="CT42" i="6"/>
  <c r="CS42" i="6"/>
  <c r="CR42" i="6"/>
  <c r="CQ42" i="6"/>
  <c r="CP42" i="6"/>
  <c r="CO42" i="6"/>
  <c r="CN42" i="6"/>
  <c r="CM42" i="6"/>
  <c r="CL42" i="6"/>
  <c r="CK42" i="6"/>
  <c r="CJ42" i="6"/>
  <c r="CI42" i="6"/>
  <c r="CH42" i="6"/>
  <c r="CG42" i="6"/>
  <c r="CF42" i="6"/>
  <c r="CE42" i="6"/>
  <c r="CD42" i="6"/>
  <c r="CC42" i="6"/>
  <c r="CB42" i="6"/>
  <c r="CA42" i="6"/>
  <c r="BZ42" i="6"/>
  <c r="BY42" i="6"/>
  <c r="BX42" i="6"/>
  <c r="BW42" i="6"/>
  <c r="BV42" i="6"/>
  <c r="BU42" i="6"/>
  <c r="BT42" i="6"/>
  <c r="BS42" i="6"/>
  <c r="BR42" i="6"/>
  <c r="BQ42" i="6"/>
  <c r="BP42" i="6"/>
  <c r="BO42" i="6"/>
  <c r="BN42" i="6"/>
  <c r="BM42" i="6"/>
  <c r="BL42" i="6"/>
  <c r="BK42" i="6"/>
  <c r="BJ42" i="6"/>
  <c r="BI42" i="6"/>
  <c r="BH42" i="6"/>
  <c r="BG42" i="6"/>
  <c r="BF42" i="6"/>
  <c r="BE42" i="6"/>
  <c r="BD42" i="6"/>
  <c r="BC42" i="6"/>
  <c r="BB42" i="6"/>
  <c r="BA42" i="6"/>
  <c r="AZ42" i="6"/>
  <c r="AY42" i="6"/>
  <c r="AX42" i="6"/>
  <c r="AW42" i="6"/>
  <c r="AV42" i="6"/>
  <c r="AU42" i="6"/>
  <c r="AT42" i="6"/>
  <c r="AS42" i="6"/>
  <c r="AR42" i="6"/>
  <c r="AQ42" i="6"/>
  <c r="AP42" i="6"/>
  <c r="AO42" i="6"/>
  <c r="AN42" i="6"/>
  <c r="AM42" i="6"/>
  <c r="AL42" i="6"/>
  <c r="AK42" i="6"/>
  <c r="AJ42" i="6"/>
  <c r="AI42" i="6"/>
  <c r="AH42" i="6"/>
  <c r="AG42" i="6"/>
  <c r="AF42" i="6"/>
  <c r="AE42" i="6"/>
  <c r="AD42" i="6"/>
  <c r="AC42" i="6"/>
  <c r="AB42" i="6"/>
  <c r="AA42" i="6"/>
  <c r="Z42" i="6"/>
  <c r="Y42" i="6"/>
  <c r="X42" i="6"/>
  <c r="W42" i="6"/>
  <c r="V42" i="6"/>
  <c r="U42" i="6"/>
  <c r="T42" i="6"/>
  <c r="S42" i="6"/>
  <c r="R42" i="6"/>
  <c r="Q42" i="6"/>
  <c r="P42" i="6"/>
  <c r="O42" i="6"/>
  <c r="N42" i="6"/>
  <c r="M42" i="6"/>
  <c r="L42" i="6"/>
  <c r="K42" i="6"/>
  <c r="J42" i="6"/>
  <c r="I42" i="6"/>
  <c r="H42" i="6"/>
  <c r="G42" i="6"/>
  <c r="F42" i="6"/>
  <c r="DA41" i="6"/>
  <c r="CZ41" i="6"/>
  <c r="CY41" i="6"/>
  <c r="CX41" i="6"/>
  <c r="CW41" i="6"/>
  <c r="CV41" i="6"/>
  <c r="CU41" i="6"/>
  <c r="CT41" i="6"/>
  <c r="CS41" i="6"/>
  <c r="CR41" i="6"/>
  <c r="CQ41" i="6"/>
  <c r="CP41" i="6"/>
  <c r="CO41" i="6"/>
  <c r="CN41" i="6"/>
  <c r="CM41" i="6"/>
  <c r="CL41" i="6"/>
  <c r="CK41" i="6"/>
  <c r="CJ41" i="6"/>
  <c r="CI41" i="6"/>
  <c r="CH41" i="6"/>
  <c r="CG41" i="6"/>
  <c r="CF41" i="6"/>
  <c r="CE41" i="6"/>
  <c r="CD41" i="6"/>
  <c r="CC41" i="6"/>
  <c r="CB41" i="6"/>
  <c r="CA41" i="6"/>
  <c r="BZ41" i="6"/>
  <c r="BY41" i="6"/>
  <c r="BX41" i="6"/>
  <c r="BW41" i="6"/>
  <c r="BV41" i="6"/>
  <c r="BU41" i="6"/>
  <c r="BT41" i="6"/>
  <c r="BS41" i="6"/>
  <c r="BR41" i="6"/>
  <c r="BQ41" i="6"/>
  <c r="BP41" i="6"/>
  <c r="BO41" i="6"/>
  <c r="BN41" i="6"/>
  <c r="BM41" i="6"/>
  <c r="BL41" i="6"/>
  <c r="BK41" i="6"/>
  <c r="BJ41" i="6"/>
  <c r="BI41" i="6"/>
  <c r="BH41" i="6"/>
  <c r="BG41" i="6"/>
  <c r="BF41" i="6"/>
  <c r="BE41" i="6"/>
  <c r="BD41" i="6"/>
  <c r="BC41" i="6"/>
  <c r="BB41" i="6"/>
  <c r="BA41" i="6"/>
  <c r="AZ41" i="6"/>
  <c r="AY41" i="6"/>
  <c r="AX41" i="6"/>
  <c r="AW41" i="6"/>
  <c r="AV41" i="6"/>
  <c r="AU41" i="6"/>
  <c r="AT41" i="6"/>
  <c r="AS41" i="6"/>
  <c r="AR41" i="6"/>
  <c r="AQ41" i="6"/>
  <c r="AP41" i="6"/>
  <c r="AO41" i="6"/>
  <c r="AN41" i="6"/>
  <c r="AM41" i="6"/>
  <c r="AL41" i="6"/>
  <c r="AK41" i="6"/>
  <c r="AJ41" i="6"/>
  <c r="AI41" i="6"/>
  <c r="AH41" i="6"/>
  <c r="AG41" i="6"/>
  <c r="AF41" i="6"/>
  <c r="AE41" i="6"/>
  <c r="AD41" i="6"/>
  <c r="AC41" i="6"/>
  <c r="AB41" i="6"/>
  <c r="AA41" i="6"/>
  <c r="Z41" i="6"/>
  <c r="Y41" i="6"/>
  <c r="X41" i="6"/>
  <c r="W41" i="6"/>
  <c r="V41" i="6"/>
  <c r="U41" i="6"/>
  <c r="T41" i="6"/>
  <c r="S41" i="6"/>
  <c r="R41" i="6"/>
  <c r="Q41" i="6"/>
  <c r="P41" i="6"/>
  <c r="O41" i="6"/>
  <c r="N41" i="6"/>
  <c r="M41" i="6"/>
  <c r="L41" i="6"/>
  <c r="K41" i="6"/>
  <c r="J41" i="6"/>
  <c r="I41" i="6"/>
  <c r="H41" i="6"/>
  <c r="G41" i="6"/>
  <c r="F41" i="6"/>
  <c r="DA40" i="6"/>
  <c r="CZ40" i="6"/>
  <c r="CY40" i="6"/>
  <c r="CX40" i="6"/>
  <c r="CW40" i="6"/>
  <c r="CV40" i="6"/>
  <c r="CU40" i="6"/>
  <c r="CT40" i="6"/>
  <c r="CS40" i="6"/>
  <c r="CR40" i="6"/>
  <c r="CQ40" i="6"/>
  <c r="CP40" i="6"/>
  <c r="CO40" i="6"/>
  <c r="CN40" i="6"/>
  <c r="CM40" i="6"/>
  <c r="CL40" i="6"/>
  <c r="CK40" i="6"/>
  <c r="CJ40" i="6"/>
  <c r="CI40" i="6"/>
  <c r="CH40" i="6"/>
  <c r="CG40" i="6"/>
  <c r="CF40" i="6"/>
  <c r="CE40" i="6"/>
  <c r="CD40" i="6"/>
  <c r="CC40" i="6"/>
  <c r="CB40" i="6"/>
  <c r="CA40" i="6"/>
  <c r="BZ40" i="6"/>
  <c r="BY40" i="6"/>
  <c r="BX40" i="6"/>
  <c r="BW40" i="6"/>
  <c r="BV40" i="6"/>
  <c r="BU40" i="6"/>
  <c r="BT40" i="6"/>
  <c r="BS40" i="6"/>
  <c r="BR40" i="6"/>
  <c r="BQ40" i="6"/>
  <c r="BP40" i="6"/>
  <c r="BO40" i="6"/>
  <c r="BN40" i="6"/>
  <c r="BM40" i="6"/>
  <c r="BL40" i="6"/>
  <c r="BK40" i="6"/>
  <c r="BJ40" i="6"/>
  <c r="BI40" i="6"/>
  <c r="BH40" i="6"/>
  <c r="BG40" i="6"/>
  <c r="BF40" i="6"/>
  <c r="BE40" i="6"/>
  <c r="BD40" i="6"/>
  <c r="BC40" i="6"/>
  <c r="BB40" i="6"/>
  <c r="BA40" i="6"/>
  <c r="AZ40" i="6"/>
  <c r="AY40" i="6"/>
  <c r="AX40" i="6"/>
  <c r="AW40" i="6"/>
  <c r="AV40" i="6"/>
  <c r="AU40" i="6"/>
  <c r="AT40" i="6"/>
  <c r="AS40" i="6"/>
  <c r="AR40" i="6"/>
  <c r="AQ40" i="6"/>
  <c r="AP40" i="6"/>
  <c r="AO40" i="6"/>
  <c r="AN40" i="6"/>
  <c r="AM40" i="6"/>
  <c r="AL40" i="6"/>
  <c r="AK40" i="6"/>
  <c r="AJ40" i="6"/>
  <c r="AI40" i="6"/>
  <c r="AH40" i="6"/>
  <c r="AG40" i="6"/>
  <c r="AF40" i="6"/>
  <c r="AE40" i="6"/>
  <c r="AD40" i="6"/>
  <c r="AC40" i="6"/>
  <c r="AB40" i="6"/>
  <c r="AA40" i="6"/>
  <c r="Z40" i="6"/>
  <c r="Y40" i="6"/>
  <c r="X40" i="6"/>
  <c r="W40" i="6"/>
  <c r="V40" i="6"/>
  <c r="U40" i="6"/>
  <c r="T40" i="6"/>
  <c r="S40" i="6"/>
  <c r="R40" i="6"/>
  <c r="Q40" i="6"/>
  <c r="P40" i="6"/>
  <c r="O40" i="6"/>
  <c r="N40" i="6"/>
  <c r="M40" i="6"/>
  <c r="L40" i="6"/>
  <c r="K40" i="6"/>
  <c r="J40" i="6"/>
  <c r="I40" i="6"/>
  <c r="H40" i="6"/>
  <c r="G40" i="6"/>
  <c r="F40" i="6"/>
  <c r="DA39" i="6"/>
  <c r="CZ39" i="6"/>
  <c r="CY39" i="6"/>
  <c r="CX39" i="6"/>
  <c r="CW39" i="6"/>
  <c r="CV39" i="6"/>
  <c r="CU39" i="6"/>
  <c r="CT39" i="6"/>
  <c r="CS39" i="6"/>
  <c r="CR39" i="6"/>
  <c r="CQ39" i="6"/>
  <c r="CP39" i="6"/>
  <c r="CO39" i="6"/>
  <c r="CN39" i="6"/>
  <c r="CM39" i="6"/>
  <c r="CL39" i="6"/>
  <c r="CK39" i="6"/>
  <c r="CJ39" i="6"/>
  <c r="CI39" i="6"/>
  <c r="CH39" i="6"/>
  <c r="CG39" i="6"/>
  <c r="CF39" i="6"/>
  <c r="CE39" i="6"/>
  <c r="CD39" i="6"/>
  <c r="CC39" i="6"/>
  <c r="CB39" i="6"/>
  <c r="CA39" i="6"/>
  <c r="BZ39" i="6"/>
  <c r="BY39" i="6"/>
  <c r="BX39" i="6"/>
  <c r="BW39" i="6"/>
  <c r="BV39" i="6"/>
  <c r="BU39" i="6"/>
  <c r="BT39" i="6"/>
  <c r="BS39" i="6"/>
  <c r="BR39" i="6"/>
  <c r="BQ39" i="6"/>
  <c r="BP39" i="6"/>
  <c r="BO39" i="6"/>
  <c r="BN39" i="6"/>
  <c r="BM39" i="6"/>
  <c r="BL39" i="6"/>
  <c r="BK39" i="6"/>
  <c r="BJ39" i="6"/>
  <c r="BI39" i="6"/>
  <c r="BH39" i="6"/>
  <c r="BG39" i="6"/>
  <c r="BF39" i="6"/>
  <c r="BE39" i="6"/>
  <c r="BD39" i="6"/>
  <c r="BC39" i="6"/>
  <c r="BB39" i="6"/>
  <c r="BA39" i="6"/>
  <c r="AZ39" i="6"/>
  <c r="AY39" i="6"/>
  <c r="AX39" i="6"/>
  <c r="AW39" i="6"/>
  <c r="AV39" i="6"/>
  <c r="AU39" i="6"/>
  <c r="AT39" i="6"/>
  <c r="AS39" i="6"/>
  <c r="AR39" i="6"/>
  <c r="AQ39" i="6"/>
  <c r="AP39" i="6"/>
  <c r="AO39" i="6"/>
  <c r="AN39" i="6"/>
  <c r="AM39" i="6"/>
  <c r="AL39" i="6"/>
  <c r="AK39" i="6"/>
  <c r="AJ39" i="6"/>
  <c r="AI39" i="6"/>
  <c r="AH39" i="6"/>
  <c r="AG39" i="6"/>
  <c r="AF39" i="6"/>
  <c r="AE39" i="6"/>
  <c r="AD39" i="6"/>
  <c r="AC39" i="6"/>
  <c r="AB39" i="6"/>
  <c r="AA39" i="6"/>
  <c r="Z39" i="6"/>
  <c r="Y39" i="6"/>
  <c r="X39" i="6"/>
  <c r="W39" i="6"/>
  <c r="V39" i="6"/>
  <c r="U39" i="6"/>
  <c r="T39" i="6"/>
  <c r="S39" i="6"/>
  <c r="R39" i="6"/>
  <c r="Q39" i="6"/>
  <c r="P39" i="6"/>
  <c r="O39" i="6"/>
  <c r="N39" i="6"/>
  <c r="M39" i="6"/>
  <c r="L39" i="6"/>
  <c r="K39" i="6"/>
  <c r="J39" i="6"/>
  <c r="I39" i="6"/>
  <c r="H39" i="6"/>
  <c r="G39" i="6"/>
  <c r="F39" i="6"/>
  <c r="DA38" i="6"/>
  <c r="CZ38" i="6"/>
  <c r="CY38" i="6"/>
  <c r="CX38" i="6"/>
  <c r="CW38" i="6"/>
  <c r="CV38" i="6"/>
  <c r="CU38" i="6"/>
  <c r="CT38" i="6"/>
  <c r="CS38" i="6"/>
  <c r="CR38" i="6"/>
  <c r="CQ38" i="6"/>
  <c r="CP38" i="6"/>
  <c r="CO38" i="6"/>
  <c r="CN38" i="6"/>
  <c r="CM38" i="6"/>
  <c r="CL38" i="6"/>
  <c r="CK38" i="6"/>
  <c r="CJ38" i="6"/>
  <c r="CI38" i="6"/>
  <c r="CH38" i="6"/>
  <c r="CG38" i="6"/>
  <c r="CF38" i="6"/>
  <c r="CE38" i="6"/>
  <c r="CD38" i="6"/>
  <c r="CC38" i="6"/>
  <c r="CB38" i="6"/>
  <c r="CA38" i="6"/>
  <c r="BZ38" i="6"/>
  <c r="BY38" i="6"/>
  <c r="BX38" i="6"/>
  <c r="BW38" i="6"/>
  <c r="BV38" i="6"/>
  <c r="BU38" i="6"/>
  <c r="BT38" i="6"/>
  <c r="BS38" i="6"/>
  <c r="BR38" i="6"/>
  <c r="BQ38" i="6"/>
  <c r="BP38" i="6"/>
  <c r="BO38" i="6"/>
  <c r="BN38" i="6"/>
  <c r="BM38" i="6"/>
  <c r="BL38" i="6"/>
  <c r="BK38" i="6"/>
  <c r="BJ38" i="6"/>
  <c r="BI38" i="6"/>
  <c r="BH38" i="6"/>
  <c r="BG38" i="6"/>
  <c r="BF38" i="6"/>
  <c r="BE38" i="6"/>
  <c r="BD38" i="6"/>
  <c r="BC38" i="6"/>
  <c r="BB38" i="6"/>
  <c r="BA38" i="6"/>
  <c r="AZ38" i="6"/>
  <c r="AY38" i="6"/>
  <c r="AX38" i="6"/>
  <c r="AW38" i="6"/>
  <c r="AV38" i="6"/>
  <c r="AU38" i="6"/>
  <c r="AT38" i="6"/>
  <c r="AS38" i="6"/>
  <c r="AR38" i="6"/>
  <c r="AQ38" i="6"/>
  <c r="AP38" i="6"/>
  <c r="AO38" i="6"/>
  <c r="AN38" i="6"/>
  <c r="AM38" i="6"/>
  <c r="AL38" i="6"/>
  <c r="AK38" i="6"/>
  <c r="AJ38" i="6"/>
  <c r="AI38" i="6"/>
  <c r="AH38" i="6"/>
  <c r="AG38" i="6"/>
  <c r="AF38" i="6"/>
  <c r="AE38" i="6"/>
  <c r="AD38" i="6"/>
  <c r="AC38" i="6"/>
  <c r="AB38" i="6"/>
  <c r="AA38" i="6"/>
  <c r="Z38" i="6"/>
  <c r="Y38" i="6"/>
  <c r="X38" i="6"/>
  <c r="W38" i="6"/>
  <c r="V38" i="6"/>
  <c r="U38" i="6"/>
  <c r="T38" i="6"/>
  <c r="S38" i="6"/>
  <c r="R38" i="6"/>
  <c r="Q38" i="6"/>
  <c r="P38" i="6"/>
  <c r="O38" i="6"/>
  <c r="N38" i="6"/>
  <c r="M38" i="6"/>
  <c r="L38" i="6"/>
  <c r="K38" i="6"/>
  <c r="J38" i="6"/>
  <c r="I38" i="6"/>
  <c r="H38" i="6"/>
  <c r="G38" i="6"/>
  <c r="F38" i="6"/>
  <c r="DA37" i="6"/>
  <c r="CZ37" i="6"/>
  <c r="CY37" i="6"/>
  <c r="CX37" i="6"/>
  <c r="CW37" i="6"/>
  <c r="CV37" i="6"/>
  <c r="CU37" i="6"/>
  <c r="CT37" i="6"/>
  <c r="CS37" i="6"/>
  <c r="CR37" i="6"/>
  <c r="CQ37" i="6"/>
  <c r="CP37" i="6"/>
  <c r="CO37" i="6"/>
  <c r="CN37" i="6"/>
  <c r="CM37" i="6"/>
  <c r="CL37" i="6"/>
  <c r="CK37" i="6"/>
  <c r="CJ37" i="6"/>
  <c r="CI37" i="6"/>
  <c r="CH37" i="6"/>
  <c r="CG37" i="6"/>
  <c r="CF37" i="6"/>
  <c r="CE37" i="6"/>
  <c r="CD37" i="6"/>
  <c r="CC37" i="6"/>
  <c r="CB37" i="6"/>
  <c r="CA37" i="6"/>
  <c r="BZ37" i="6"/>
  <c r="BY37" i="6"/>
  <c r="BX37" i="6"/>
  <c r="BW37" i="6"/>
  <c r="BV37" i="6"/>
  <c r="BU37" i="6"/>
  <c r="BT37" i="6"/>
  <c r="BS37" i="6"/>
  <c r="BR37" i="6"/>
  <c r="BQ37" i="6"/>
  <c r="BP37" i="6"/>
  <c r="BO37" i="6"/>
  <c r="BN37" i="6"/>
  <c r="BM37" i="6"/>
  <c r="BL37" i="6"/>
  <c r="BK37" i="6"/>
  <c r="BJ37" i="6"/>
  <c r="BI37" i="6"/>
  <c r="BH37" i="6"/>
  <c r="BG37" i="6"/>
  <c r="BF37" i="6"/>
  <c r="BE37" i="6"/>
  <c r="BD37" i="6"/>
  <c r="BC37" i="6"/>
  <c r="BB37" i="6"/>
  <c r="BA37" i="6"/>
  <c r="AZ37" i="6"/>
  <c r="AY37" i="6"/>
  <c r="AX37" i="6"/>
  <c r="AW37" i="6"/>
  <c r="AV37" i="6"/>
  <c r="AU37" i="6"/>
  <c r="AT37" i="6"/>
  <c r="AS37" i="6"/>
  <c r="AR37" i="6"/>
  <c r="AQ37" i="6"/>
  <c r="AP37" i="6"/>
  <c r="AO37" i="6"/>
  <c r="AN37" i="6"/>
  <c r="AM37" i="6"/>
  <c r="AL37" i="6"/>
  <c r="AK37" i="6"/>
  <c r="AJ37" i="6"/>
  <c r="AI37" i="6"/>
  <c r="AH37" i="6"/>
  <c r="AG37" i="6"/>
  <c r="AF37" i="6"/>
  <c r="AE37" i="6"/>
  <c r="AD37" i="6"/>
  <c r="AC37" i="6"/>
  <c r="AB37" i="6"/>
  <c r="AA37" i="6"/>
  <c r="Z37" i="6"/>
  <c r="Y37" i="6"/>
  <c r="X37" i="6"/>
  <c r="W37" i="6"/>
  <c r="V37" i="6"/>
  <c r="U37" i="6"/>
  <c r="T37" i="6"/>
  <c r="S37" i="6"/>
  <c r="R37" i="6"/>
  <c r="Q37" i="6"/>
  <c r="P37" i="6"/>
  <c r="O37" i="6"/>
  <c r="N37" i="6"/>
  <c r="M37" i="6"/>
  <c r="L37" i="6"/>
  <c r="K37" i="6"/>
  <c r="J37" i="6"/>
  <c r="I37" i="6"/>
  <c r="H37" i="6"/>
  <c r="G37" i="6"/>
  <c r="F37" i="6"/>
  <c r="DA36" i="6"/>
  <c r="CZ36" i="6"/>
  <c r="CY36" i="6"/>
  <c r="CX36" i="6"/>
  <c r="CW36" i="6"/>
  <c r="CV36" i="6"/>
  <c r="CU36" i="6"/>
  <c r="CT36" i="6"/>
  <c r="CS36" i="6"/>
  <c r="CR36" i="6"/>
  <c r="CQ36" i="6"/>
  <c r="CP36" i="6"/>
  <c r="CO36" i="6"/>
  <c r="CN36" i="6"/>
  <c r="CM36" i="6"/>
  <c r="CL36" i="6"/>
  <c r="CK36" i="6"/>
  <c r="CJ36" i="6"/>
  <c r="CI36" i="6"/>
  <c r="CH36" i="6"/>
  <c r="CG36" i="6"/>
  <c r="CF36" i="6"/>
  <c r="CE36" i="6"/>
  <c r="CD36" i="6"/>
  <c r="CC36" i="6"/>
  <c r="CB36" i="6"/>
  <c r="CA36" i="6"/>
  <c r="BZ36" i="6"/>
  <c r="BY36" i="6"/>
  <c r="BX36" i="6"/>
  <c r="BW36" i="6"/>
  <c r="BV36" i="6"/>
  <c r="BU36" i="6"/>
  <c r="BT36" i="6"/>
  <c r="BS36" i="6"/>
  <c r="BR36" i="6"/>
  <c r="BQ36" i="6"/>
  <c r="BP36" i="6"/>
  <c r="BO36" i="6"/>
  <c r="BN36" i="6"/>
  <c r="BM36" i="6"/>
  <c r="BL36" i="6"/>
  <c r="BK36" i="6"/>
  <c r="BJ36" i="6"/>
  <c r="BI36" i="6"/>
  <c r="BH36" i="6"/>
  <c r="BG36" i="6"/>
  <c r="BF36" i="6"/>
  <c r="BE36" i="6"/>
  <c r="BD36" i="6"/>
  <c r="BC36" i="6"/>
  <c r="BB36" i="6"/>
  <c r="BA36" i="6"/>
  <c r="AZ36" i="6"/>
  <c r="AY36" i="6"/>
  <c r="AX36" i="6"/>
  <c r="AW36" i="6"/>
  <c r="AV36" i="6"/>
  <c r="AU36" i="6"/>
  <c r="AT36" i="6"/>
  <c r="AS36" i="6"/>
  <c r="AR36" i="6"/>
  <c r="AQ36" i="6"/>
  <c r="AP36" i="6"/>
  <c r="AO36" i="6"/>
  <c r="AN36" i="6"/>
  <c r="AM36" i="6"/>
  <c r="AL36" i="6"/>
  <c r="AK36" i="6"/>
  <c r="AJ36" i="6"/>
  <c r="AI36" i="6"/>
  <c r="AH36" i="6"/>
  <c r="AG36" i="6"/>
  <c r="AF36" i="6"/>
  <c r="AE36" i="6"/>
  <c r="AD36" i="6"/>
  <c r="AC36" i="6"/>
  <c r="AB36" i="6"/>
  <c r="AA36" i="6"/>
  <c r="Z36" i="6"/>
  <c r="Y36" i="6"/>
  <c r="X36" i="6"/>
  <c r="W36" i="6"/>
  <c r="V36" i="6"/>
  <c r="U36" i="6"/>
  <c r="T36" i="6"/>
  <c r="S36" i="6"/>
  <c r="R36" i="6"/>
  <c r="Q36" i="6"/>
  <c r="P36" i="6"/>
  <c r="O36" i="6"/>
  <c r="N36" i="6"/>
  <c r="M36" i="6"/>
  <c r="L36" i="6"/>
  <c r="K36" i="6"/>
  <c r="J36" i="6"/>
  <c r="I36" i="6"/>
  <c r="H36" i="6"/>
  <c r="G36" i="6"/>
  <c r="F36" i="6"/>
  <c r="DA35" i="6"/>
  <c r="CZ35" i="6"/>
  <c r="CY35" i="6"/>
  <c r="CX35" i="6"/>
  <c r="CW35" i="6"/>
  <c r="CV35" i="6"/>
  <c r="CU35" i="6"/>
  <c r="CT35" i="6"/>
  <c r="CS35" i="6"/>
  <c r="CR35" i="6"/>
  <c r="CQ35" i="6"/>
  <c r="CP35" i="6"/>
  <c r="CO35" i="6"/>
  <c r="CN35" i="6"/>
  <c r="CM35" i="6"/>
  <c r="CL35" i="6"/>
  <c r="CK35" i="6"/>
  <c r="CJ35" i="6"/>
  <c r="CI35" i="6"/>
  <c r="CH35" i="6"/>
  <c r="CG35" i="6"/>
  <c r="CF35" i="6"/>
  <c r="CE35" i="6"/>
  <c r="CD35" i="6"/>
  <c r="CC35" i="6"/>
  <c r="CB35" i="6"/>
  <c r="CA35" i="6"/>
  <c r="BZ35" i="6"/>
  <c r="BY35" i="6"/>
  <c r="BX35" i="6"/>
  <c r="BW35" i="6"/>
  <c r="BV35" i="6"/>
  <c r="BU35" i="6"/>
  <c r="BT35" i="6"/>
  <c r="BS35" i="6"/>
  <c r="BR35" i="6"/>
  <c r="BQ35" i="6"/>
  <c r="BP35" i="6"/>
  <c r="BO35" i="6"/>
  <c r="BN35" i="6"/>
  <c r="BM35" i="6"/>
  <c r="BL35" i="6"/>
  <c r="BK35" i="6"/>
  <c r="BJ35" i="6"/>
  <c r="BI35" i="6"/>
  <c r="BH35" i="6"/>
  <c r="BG35" i="6"/>
  <c r="BF35" i="6"/>
  <c r="BE35" i="6"/>
  <c r="BD35" i="6"/>
  <c r="BC35" i="6"/>
  <c r="BB35" i="6"/>
  <c r="BA35" i="6"/>
  <c r="AZ35" i="6"/>
  <c r="AY35" i="6"/>
  <c r="AX35" i="6"/>
  <c r="AW35" i="6"/>
  <c r="AV35" i="6"/>
  <c r="AU35" i="6"/>
  <c r="AT35" i="6"/>
  <c r="AS35" i="6"/>
  <c r="AR35" i="6"/>
  <c r="AQ35" i="6"/>
  <c r="AP35" i="6"/>
  <c r="AO35" i="6"/>
  <c r="AN35" i="6"/>
  <c r="AM35" i="6"/>
  <c r="AL35" i="6"/>
  <c r="AK35" i="6"/>
  <c r="AJ35" i="6"/>
  <c r="AI35" i="6"/>
  <c r="AH35" i="6"/>
  <c r="AG35" i="6"/>
  <c r="AF35" i="6"/>
  <c r="AE35" i="6"/>
  <c r="AD35" i="6"/>
  <c r="AC35" i="6"/>
  <c r="AB35" i="6"/>
  <c r="AA35" i="6"/>
  <c r="Z35" i="6"/>
  <c r="Y35" i="6"/>
  <c r="X35" i="6"/>
  <c r="W35" i="6"/>
  <c r="V35" i="6"/>
  <c r="U35" i="6"/>
  <c r="T35" i="6"/>
  <c r="S35" i="6"/>
  <c r="R35" i="6"/>
  <c r="Q35" i="6"/>
  <c r="P35" i="6"/>
  <c r="O35" i="6"/>
  <c r="N35" i="6"/>
  <c r="M35" i="6"/>
  <c r="L35" i="6"/>
  <c r="K35" i="6"/>
  <c r="J35" i="6"/>
  <c r="I35" i="6"/>
  <c r="H35" i="6"/>
  <c r="G35" i="6"/>
  <c r="F35" i="6"/>
  <c r="DA34" i="6"/>
  <c r="CZ34" i="6"/>
  <c r="CY34" i="6"/>
  <c r="CX34" i="6"/>
  <c r="CW34" i="6"/>
  <c r="CV34" i="6"/>
  <c r="CU34" i="6"/>
  <c r="CT34" i="6"/>
  <c r="CS34" i="6"/>
  <c r="CR34" i="6"/>
  <c r="CQ34" i="6"/>
  <c r="CP34" i="6"/>
  <c r="CO34" i="6"/>
  <c r="CN34" i="6"/>
  <c r="CM34" i="6"/>
  <c r="CL34" i="6"/>
  <c r="CK34" i="6"/>
  <c r="CJ34" i="6"/>
  <c r="CI34" i="6"/>
  <c r="CH34" i="6"/>
  <c r="CG34" i="6"/>
  <c r="CF34" i="6"/>
  <c r="CE34" i="6"/>
  <c r="CD34" i="6"/>
  <c r="CC34" i="6"/>
  <c r="CB34" i="6"/>
  <c r="CA34" i="6"/>
  <c r="BZ34" i="6"/>
  <c r="BY34" i="6"/>
  <c r="BX34" i="6"/>
  <c r="BW34" i="6"/>
  <c r="BV34" i="6"/>
  <c r="BU34" i="6"/>
  <c r="BT34" i="6"/>
  <c r="BS34" i="6"/>
  <c r="BR34" i="6"/>
  <c r="BQ34" i="6"/>
  <c r="BP34" i="6"/>
  <c r="BO34" i="6"/>
  <c r="BN34" i="6"/>
  <c r="BM34" i="6"/>
  <c r="BL34" i="6"/>
  <c r="BK34" i="6"/>
  <c r="BJ34" i="6"/>
  <c r="BI34" i="6"/>
  <c r="BH34" i="6"/>
  <c r="BG34" i="6"/>
  <c r="BF34" i="6"/>
  <c r="BE34" i="6"/>
  <c r="BD34" i="6"/>
  <c r="BC34" i="6"/>
  <c r="BB34" i="6"/>
  <c r="BA34" i="6"/>
  <c r="AZ34" i="6"/>
  <c r="AY34" i="6"/>
  <c r="AX34" i="6"/>
  <c r="AW34" i="6"/>
  <c r="AV34" i="6"/>
  <c r="AU34" i="6"/>
  <c r="AT34" i="6"/>
  <c r="AS34" i="6"/>
  <c r="AR34" i="6"/>
  <c r="AQ34" i="6"/>
  <c r="AP34" i="6"/>
  <c r="AO34" i="6"/>
  <c r="AN34" i="6"/>
  <c r="AM34" i="6"/>
  <c r="AL34" i="6"/>
  <c r="AK34" i="6"/>
  <c r="AJ34" i="6"/>
  <c r="AI34" i="6"/>
  <c r="AH34" i="6"/>
  <c r="AG34" i="6"/>
  <c r="AF34" i="6"/>
  <c r="AE34" i="6"/>
  <c r="AD34" i="6"/>
  <c r="AC34" i="6"/>
  <c r="AB34" i="6"/>
  <c r="AA34" i="6"/>
  <c r="Z34" i="6"/>
  <c r="Y34" i="6"/>
  <c r="X34" i="6"/>
  <c r="W34" i="6"/>
  <c r="V34" i="6"/>
  <c r="U34" i="6"/>
  <c r="T34" i="6"/>
  <c r="S34" i="6"/>
  <c r="R34" i="6"/>
  <c r="Q34" i="6"/>
  <c r="P34" i="6"/>
  <c r="O34" i="6"/>
  <c r="N34" i="6"/>
  <c r="M34" i="6"/>
  <c r="L34" i="6"/>
  <c r="K34" i="6"/>
  <c r="J34" i="6"/>
  <c r="I34" i="6"/>
  <c r="H34" i="6"/>
  <c r="G34" i="6"/>
  <c r="F34" i="6"/>
  <c r="DA33" i="6"/>
  <c r="CZ33" i="6"/>
  <c r="CY33" i="6"/>
  <c r="CX33" i="6"/>
  <c r="CW33" i="6"/>
  <c r="CV33" i="6"/>
  <c r="CU33" i="6"/>
  <c r="CT33" i="6"/>
  <c r="CS33" i="6"/>
  <c r="CR33" i="6"/>
  <c r="CQ33" i="6"/>
  <c r="CP33" i="6"/>
  <c r="CO33" i="6"/>
  <c r="CN33" i="6"/>
  <c r="CM33" i="6"/>
  <c r="CL33" i="6"/>
  <c r="CK33" i="6"/>
  <c r="CJ33" i="6"/>
  <c r="CI33" i="6"/>
  <c r="CH33" i="6"/>
  <c r="CG33" i="6"/>
  <c r="CF33" i="6"/>
  <c r="CE33" i="6"/>
  <c r="CD33" i="6"/>
  <c r="CC33" i="6"/>
  <c r="CB33" i="6"/>
  <c r="CA33" i="6"/>
  <c r="BZ33" i="6"/>
  <c r="BY33" i="6"/>
  <c r="BX33" i="6"/>
  <c r="BW33" i="6"/>
  <c r="BV33" i="6"/>
  <c r="BU33" i="6"/>
  <c r="BT33" i="6"/>
  <c r="BS33" i="6"/>
  <c r="BR33" i="6"/>
  <c r="BQ33" i="6"/>
  <c r="BP33" i="6"/>
  <c r="BO33" i="6"/>
  <c r="BN33" i="6"/>
  <c r="BM33" i="6"/>
  <c r="BL33" i="6"/>
  <c r="BK33" i="6"/>
  <c r="BJ33" i="6"/>
  <c r="BI33" i="6"/>
  <c r="BH33" i="6"/>
  <c r="BG33" i="6"/>
  <c r="BF33" i="6"/>
  <c r="BE33" i="6"/>
  <c r="BD33" i="6"/>
  <c r="BC33" i="6"/>
  <c r="BB33" i="6"/>
  <c r="BA33" i="6"/>
  <c r="AZ33" i="6"/>
  <c r="AY33" i="6"/>
  <c r="AX33" i="6"/>
  <c r="AW33" i="6"/>
  <c r="AV33" i="6"/>
  <c r="AU33" i="6"/>
  <c r="AT33" i="6"/>
  <c r="AS33" i="6"/>
  <c r="AR33" i="6"/>
  <c r="AQ33" i="6"/>
  <c r="AP33" i="6"/>
  <c r="AO33" i="6"/>
  <c r="AN33" i="6"/>
  <c r="AM33" i="6"/>
  <c r="AL33" i="6"/>
  <c r="AK33" i="6"/>
  <c r="AJ33" i="6"/>
  <c r="AI33" i="6"/>
  <c r="AH33" i="6"/>
  <c r="AG33" i="6"/>
  <c r="AF33" i="6"/>
  <c r="AE33" i="6"/>
  <c r="AD33" i="6"/>
  <c r="AC33" i="6"/>
  <c r="AB33" i="6"/>
  <c r="AA33" i="6"/>
  <c r="Z33" i="6"/>
  <c r="Y33" i="6"/>
  <c r="X33" i="6"/>
  <c r="W33" i="6"/>
  <c r="V33" i="6"/>
  <c r="U33" i="6"/>
  <c r="T33" i="6"/>
  <c r="S33" i="6"/>
  <c r="R33" i="6"/>
  <c r="Q33" i="6"/>
  <c r="P33" i="6"/>
  <c r="O33" i="6"/>
  <c r="N33" i="6"/>
  <c r="M33" i="6"/>
  <c r="L33" i="6"/>
  <c r="K33" i="6"/>
  <c r="J33" i="6"/>
  <c r="I33" i="6"/>
  <c r="H33" i="6"/>
  <c r="G33" i="6"/>
  <c r="F33" i="6"/>
  <c r="DA32" i="6"/>
  <c r="CZ32" i="6"/>
  <c r="CY32" i="6"/>
  <c r="CX32" i="6"/>
  <c r="CW32" i="6"/>
  <c r="CV32" i="6"/>
  <c r="CU32" i="6"/>
  <c r="CT32" i="6"/>
  <c r="CS32" i="6"/>
  <c r="CR32" i="6"/>
  <c r="CQ32" i="6"/>
  <c r="CP32" i="6"/>
  <c r="CO32" i="6"/>
  <c r="CN32" i="6"/>
  <c r="CM32" i="6"/>
  <c r="CL32" i="6"/>
  <c r="CK32" i="6"/>
  <c r="CJ32" i="6"/>
  <c r="CI32" i="6"/>
  <c r="CH32" i="6"/>
  <c r="CG32" i="6"/>
  <c r="CF32" i="6"/>
  <c r="CE32" i="6"/>
  <c r="CD32" i="6"/>
  <c r="CC32" i="6"/>
  <c r="CB32" i="6"/>
  <c r="CA32" i="6"/>
  <c r="BZ32" i="6"/>
  <c r="BY32" i="6"/>
  <c r="BX32" i="6"/>
  <c r="BW32" i="6"/>
  <c r="BV32" i="6"/>
  <c r="BU32" i="6"/>
  <c r="BT32" i="6"/>
  <c r="BS32" i="6"/>
  <c r="BR32" i="6"/>
  <c r="BQ32" i="6"/>
  <c r="BP32" i="6"/>
  <c r="BO32" i="6"/>
  <c r="BN32" i="6"/>
  <c r="BM32" i="6"/>
  <c r="BL32" i="6"/>
  <c r="BK32" i="6"/>
  <c r="BJ32" i="6"/>
  <c r="BI32" i="6"/>
  <c r="BH32" i="6"/>
  <c r="BG32" i="6"/>
  <c r="BF32" i="6"/>
  <c r="BE32" i="6"/>
  <c r="BD32" i="6"/>
  <c r="BC32" i="6"/>
  <c r="BB32" i="6"/>
  <c r="BA32" i="6"/>
  <c r="AZ32" i="6"/>
  <c r="AY32" i="6"/>
  <c r="AX32" i="6"/>
  <c r="AW32" i="6"/>
  <c r="AV32" i="6"/>
  <c r="AU32" i="6"/>
  <c r="AT32" i="6"/>
  <c r="AS32" i="6"/>
  <c r="AR32" i="6"/>
  <c r="AQ32" i="6"/>
  <c r="AP32" i="6"/>
  <c r="AO32" i="6"/>
  <c r="AN32" i="6"/>
  <c r="AM32" i="6"/>
  <c r="AL32" i="6"/>
  <c r="AK32" i="6"/>
  <c r="AJ32" i="6"/>
  <c r="AI32" i="6"/>
  <c r="AH32" i="6"/>
  <c r="AG32" i="6"/>
  <c r="AF32" i="6"/>
  <c r="AE32" i="6"/>
  <c r="AD32" i="6"/>
  <c r="AC32" i="6"/>
  <c r="AB32" i="6"/>
  <c r="AA32" i="6"/>
  <c r="Z32" i="6"/>
  <c r="Y32" i="6"/>
  <c r="X32" i="6"/>
  <c r="W32" i="6"/>
  <c r="V32" i="6"/>
  <c r="U32" i="6"/>
  <c r="T32" i="6"/>
  <c r="S32" i="6"/>
  <c r="R32" i="6"/>
  <c r="Q32" i="6"/>
  <c r="P32" i="6"/>
  <c r="O32" i="6"/>
  <c r="N32" i="6"/>
  <c r="M32" i="6"/>
  <c r="L32" i="6"/>
  <c r="K32" i="6"/>
  <c r="J32" i="6"/>
  <c r="I32" i="6"/>
  <c r="H32" i="6"/>
  <c r="G32" i="6"/>
  <c r="F32" i="6"/>
  <c r="DA31" i="6"/>
  <c r="CZ31" i="6"/>
  <c r="CY31" i="6"/>
  <c r="CX31" i="6"/>
  <c r="CW31" i="6"/>
  <c r="CV31" i="6"/>
  <c r="CU31" i="6"/>
  <c r="CT31" i="6"/>
  <c r="CS31" i="6"/>
  <c r="CR31" i="6"/>
  <c r="CQ31" i="6"/>
  <c r="CP31" i="6"/>
  <c r="CO31" i="6"/>
  <c r="CN31" i="6"/>
  <c r="CM31" i="6"/>
  <c r="CL31" i="6"/>
  <c r="CK31" i="6"/>
  <c r="CJ31" i="6"/>
  <c r="CI31" i="6"/>
  <c r="CH31" i="6"/>
  <c r="CG31" i="6"/>
  <c r="CF31" i="6"/>
  <c r="CE31" i="6"/>
  <c r="CD31" i="6"/>
  <c r="CC31" i="6"/>
  <c r="CB31" i="6"/>
  <c r="CA31" i="6"/>
  <c r="BZ31" i="6"/>
  <c r="BY31" i="6"/>
  <c r="BX31" i="6"/>
  <c r="BW31" i="6"/>
  <c r="BV31" i="6"/>
  <c r="BU31" i="6"/>
  <c r="BT31" i="6"/>
  <c r="BS31" i="6"/>
  <c r="BR31" i="6"/>
  <c r="BQ31" i="6"/>
  <c r="BP31" i="6"/>
  <c r="BO31" i="6"/>
  <c r="BN31" i="6"/>
  <c r="BM31" i="6"/>
  <c r="BL31" i="6"/>
  <c r="BK31" i="6"/>
  <c r="BJ31" i="6"/>
  <c r="BI31" i="6"/>
  <c r="BH31" i="6"/>
  <c r="BG31" i="6"/>
  <c r="BF31" i="6"/>
  <c r="BE31" i="6"/>
  <c r="BD31" i="6"/>
  <c r="BC31" i="6"/>
  <c r="BB31" i="6"/>
  <c r="BA31" i="6"/>
  <c r="AZ31" i="6"/>
  <c r="AY31" i="6"/>
  <c r="AX31" i="6"/>
  <c r="AW31" i="6"/>
  <c r="AV31" i="6"/>
  <c r="AU31" i="6"/>
  <c r="AT31" i="6"/>
  <c r="AS31" i="6"/>
  <c r="AR31" i="6"/>
  <c r="AQ31" i="6"/>
  <c r="AP31" i="6"/>
  <c r="AO31" i="6"/>
  <c r="AN31" i="6"/>
  <c r="AM31" i="6"/>
  <c r="AL31" i="6"/>
  <c r="AK31" i="6"/>
  <c r="AJ31" i="6"/>
  <c r="AI31" i="6"/>
  <c r="AH31" i="6"/>
  <c r="AG31" i="6"/>
  <c r="AF31" i="6"/>
  <c r="AE31" i="6"/>
  <c r="AD31" i="6"/>
  <c r="AC31" i="6"/>
  <c r="AB31" i="6"/>
  <c r="AA31" i="6"/>
  <c r="Z31" i="6"/>
  <c r="Y31" i="6"/>
  <c r="X31" i="6"/>
  <c r="W31" i="6"/>
  <c r="V31" i="6"/>
  <c r="U31" i="6"/>
  <c r="T31" i="6"/>
  <c r="S31" i="6"/>
  <c r="R31" i="6"/>
  <c r="Q31" i="6"/>
  <c r="P31" i="6"/>
  <c r="O31" i="6"/>
  <c r="N31" i="6"/>
  <c r="M31" i="6"/>
  <c r="L31" i="6"/>
  <c r="K31" i="6"/>
  <c r="J31" i="6"/>
  <c r="I31" i="6"/>
  <c r="H31" i="6"/>
  <c r="G31" i="6"/>
  <c r="F31" i="6"/>
  <c r="DA30" i="6"/>
  <c r="CZ30" i="6"/>
  <c r="CY30" i="6"/>
  <c r="CX30" i="6"/>
  <c r="CW30" i="6"/>
  <c r="CV30" i="6"/>
  <c r="CU30" i="6"/>
  <c r="CT30" i="6"/>
  <c r="CS30" i="6"/>
  <c r="CR30" i="6"/>
  <c r="CQ30" i="6"/>
  <c r="CP30" i="6"/>
  <c r="CO30" i="6"/>
  <c r="CN30" i="6"/>
  <c r="CM30" i="6"/>
  <c r="CL30" i="6"/>
  <c r="CK30" i="6"/>
  <c r="CJ30" i="6"/>
  <c r="CI30" i="6"/>
  <c r="CH30" i="6"/>
  <c r="CG30" i="6"/>
  <c r="CF30" i="6"/>
  <c r="CE30" i="6"/>
  <c r="CD30" i="6"/>
  <c r="CC30" i="6"/>
  <c r="CB30" i="6"/>
  <c r="CA30" i="6"/>
  <c r="BZ30" i="6"/>
  <c r="BY30" i="6"/>
  <c r="BX30" i="6"/>
  <c r="BW30" i="6"/>
  <c r="BV30" i="6"/>
  <c r="BU30" i="6"/>
  <c r="BT30" i="6"/>
  <c r="BS30" i="6"/>
  <c r="BR30" i="6"/>
  <c r="BQ30" i="6"/>
  <c r="BP30" i="6"/>
  <c r="BO30" i="6"/>
  <c r="BN30" i="6"/>
  <c r="BM30" i="6"/>
  <c r="BL30" i="6"/>
  <c r="BK30" i="6"/>
  <c r="BJ30" i="6"/>
  <c r="BI30" i="6"/>
  <c r="BH30" i="6"/>
  <c r="BG30" i="6"/>
  <c r="BF30" i="6"/>
  <c r="BE30" i="6"/>
  <c r="BD30" i="6"/>
  <c r="BC30" i="6"/>
  <c r="BB30" i="6"/>
  <c r="BA30" i="6"/>
  <c r="AZ30" i="6"/>
  <c r="AY30" i="6"/>
  <c r="AX30" i="6"/>
  <c r="AW30" i="6"/>
  <c r="AV30" i="6"/>
  <c r="AU30" i="6"/>
  <c r="AT30" i="6"/>
  <c r="AS30" i="6"/>
  <c r="AR30" i="6"/>
  <c r="AQ30" i="6"/>
  <c r="AP30" i="6"/>
  <c r="AO30" i="6"/>
  <c r="AN30" i="6"/>
  <c r="AM30" i="6"/>
  <c r="AL30" i="6"/>
  <c r="AK30" i="6"/>
  <c r="AJ30" i="6"/>
  <c r="AI30" i="6"/>
  <c r="AH30" i="6"/>
  <c r="AG30" i="6"/>
  <c r="AF30" i="6"/>
  <c r="AE30" i="6"/>
  <c r="AD30" i="6"/>
  <c r="AC30" i="6"/>
  <c r="AB30" i="6"/>
  <c r="AA30" i="6"/>
  <c r="Z30" i="6"/>
  <c r="Y30" i="6"/>
  <c r="X30" i="6"/>
  <c r="W30" i="6"/>
  <c r="V30" i="6"/>
  <c r="U30" i="6"/>
  <c r="T30" i="6"/>
  <c r="S30" i="6"/>
  <c r="R30" i="6"/>
  <c r="Q30" i="6"/>
  <c r="P30" i="6"/>
  <c r="O30" i="6"/>
  <c r="N30" i="6"/>
  <c r="M30" i="6"/>
  <c r="L30" i="6"/>
  <c r="K30" i="6"/>
  <c r="J30" i="6"/>
  <c r="I30" i="6"/>
  <c r="H30" i="6"/>
  <c r="G30" i="6"/>
  <c r="F30" i="6"/>
  <c r="DA29" i="6"/>
  <c r="CZ29" i="6"/>
  <c r="CY29" i="6"/>
  <c r="CX29" i="6"/>
  <c r="CW29" i="6"/>
  <c r="CV29" i="6"/>
  <c r="CU29" i="6"/>
  <c r="CT29" i="6"/>
  <c r="CS29" i="6"/>
  <c r="CR29" i="6"/>
  <c r="CQ29" i="6"/>
  <c r="CP29" i="6"/>
  <c r="CO29" i="6"/>
  <c r="CN29" i="6"/>
  <c r="CM29" i="6"/>
  <c r="CL29" i="6"/>
  <c r="CK29" i="6"/>
  <c r="CJ29" i="6"/>
  <c r="CI29" i="6"/>
  <c r="CH29" i="6"/>
  <c r="CG29" i="6"/>
  <c r="CF29" i="6"/>
  <c r="CE29" i="6"/>
  <c r="CD29" i="6"/>
  <c r="CC29" i="6"/>
  <c r="CB29" i="6"/>
  <c r="CA29" i="6"/>
  <c r="BZ29" i="6"/>
  <c r="BY29" i="6"/>
  <c r="BX29" i="6"/>
  <c r="BW29" i="6"/>
  <c r="BV29" i="6"/>
  <c r="BU29" i="6"/>
  <c r="BT29" i="6"/>
  <c r="BS29" i="6"/>
  <c r="BR29" i="6"/>
  <c r="BQ29" i="6"/>
  <c r="BP29" i="6"/>
  <c r="BO29" i="6"/>
  <c r="BN29" i="6"/>
  <c r="BM29" i="6"/>
  <c r="BL29" i="6"/>
  <c r="BK29" i="6"/>
  <c r="BJ29" i="6"/>
  <c r="BI29" i="6"/>
  <c r="BH29" i="6"/>
  <c r="BG29" i="6"/>
  <c r="BF29" i="6"/>
  <c r="BE29" i="6"/>
  <c r="BD29" i="6"/>
  <c r="BC29" i="6"/>
  <c r="BB29" i="6"/>
  <c r="BA29" i="6"/>
  <c r="AZ29" i="6"/>
  <c r="AY29" i="6"/>
  <c r="AX29" i="6"/>
  <c r="AW29" i="6"/>
  <c r="AV29" i="6"/>
  <c r="AU29" i="6"/>
  <c r="AT29" i="6"/>
  <c r="AS29" i="6"/>
  <c r="AR29" i="6"/>
  <c r="AQ29" i="6"/>
  <c r="AP29" i="6"/>
  <c r="AO29" i="6"/>
  <c r="AN29" i="6"/>
  <c r="AM29" i="6"/>
  <c r="AL29" i="6"/>
  <c r="AK29" i="6"/>
  <c r="AJ29" i="6"/>
  <c r="AI29" i="6"/>
  <c r="AH29" i="6"/>
  <c r="AG29" i="6"/>
  <c r="AF29" i="6"/>
  <c r="AE29" i="6"/>
  <c r="AD29" i="6"/>
  <c r="AC29" i="6"/>
  <c r="AB29" i="6"/>
  <c r="AA29" i="6"/>
  <c r="Z29" i="6"/>
  <c r="Y29" i="6"/>
  <c r="X29" i="6"/>
  <c r="W29" i="6"/>
  <c r="V29" i="6"/>
  <c r="U29" i="6"/>
  <c r="T29" i="6"/>
  <c r="S29" i="6"/>
  <c r="R29" i="6"/>
  <c r="Q29" i="6"/>
  <c r="P29" i="6"/>
  <c r="O29" i="6"/>
  <c r="N29" i="6"/>
  <c r="M29" i="6"/>
  <c r="L29" i="6"/>
  <c r="K29" i="6"/>
  <c r="J29" i="6"/>
  <c r="I29" i="6"/>
  <c r="H29" i="6"/>
  <c r="G29" i="6"/>
  <c r="F29" i="6"/>
  <c r="DA28" i="6"/>
  <c r="CZ28" i="6"/>
  <c r="CY28" i="6"/>
  <c r="CX28" i="6"/>
  <c r="CW28" i="6"/>
  <c r="CV28" i="6"/>
  <c r="CU28" i="6"/>
  <c r="CT28" i="6"/>
  <c r="CS28" i="6"/>
  <c r="CR28" i="6"/>
  <c r="CQ28" i="6"/>
  <c r="CP28" i="6"/>
  <c r="CO28" i="6"/>
  <c r="CN28" i="6"/>
  <c r="CM28" i="6"/>
  <c r="CL28" i="6"/>
  <c r="CK28" i="6"/>
  <c r="CJ28" i="6"/>
  <c r="CI28" i="6"/>
  <c r="CH28" i="6"/>
  <c r="CG28" i="6"/>
  <c r="CF28" i="6"/>
  <c r="CE28" i="6"/>
  <c r="CD28" i="6"/>
  <c r="CC28" i="6"/>
  <c r="CB28" i="6"/>
  <c r="CA28" i="6"/>
  <c r="BZ28" i="6"/>
  <c r="BY28" i="6"/>
  <c r="BX28" i="6"/>
  <c r="BW28" i="6"/>
  <c r="BV28" i="6"/>
  <c r="BU28" i="6"/>
  <c r="BT28" i="6"/>
  <c r="BS28" i="6"/>
  <c r="BR28" i="6"/>
  <c r="BQ28" i="6"/>
  <c r="BP28" i="6"/>
  <c r="BO28" i="6"/>
  <c r="BN28" i="6"/>
  <c r="BM28" i="6"/>
  <c r="BL28" i="6"/>
  <c r="BK28" i="6"/>
  <c r="BJ28" i="6"/>
  <c r="BI28" i="6"/>
  <c r="BH28" i="6"/>
  <c r="BG28" i="6"/>
  <c r="BF28" i="6"/>
  <c r="BE28" i="6"/>
  <c r="BD28" i="6"/>
  <c r="BC28" i="6"/>
  <c r="BB28" i="6"/>
  <c r="BA28" i="6"/>
  <c r="AZ28" i="6"/>
  <c r="AY28" i="6"/>
  <c r="AX28" i="6"/>
  <c r="AW28" i="6"/>
  <c r="AV28" i="6"/>
  <c r="AU28" i="6"/>
  <c r="AT28" i="6"/>
  <c r="AS28" i="6"/>
  <c r="AR28" i="6"/>
  <c r="AQ28" i="6"/>
  <c r="AP28" i="6"/>
  <c r="AO28" i="6"/>
  <c r="AN28" i="6"/>
  <c r="AM28" i="6"/>
  <c r="AL28" i="6"/>
  <c r="AK28" i="6"/>
  <c r="AJ28" i="6"/>
  <c r="AI28" i="6"/>
  <c r="AH28" i="6"/>
  <c r="AG28" i="6"/>
  <c r="AF28" i="6"/>
  <c r="AE28" i="6"/>
  <c r="AD28" i="6"/>
  <c r="AC28" i="6"/>
  <c r="AB28" i="6"/>
  <c r="AA28" i="6"/>
  <c r="Z28" i="6"/>
  <c r="Y28" i="6"/>
  <c r="X28" i="6"/>
  <c r="W28" i="6"/>
  <c r="V28" i="6"/>
  <c r="U28" i="6"/>
  <c r="T28" i="6"/>
  <c r="S28" i="6"/>
  <c r="R28" i="6"/>
  <c r="Q28" i="6"/>
  <c r="P28" i="6"/>
  <c r="O28" i="6"/>
  <c r="N28" i="6"/>
  <c r="M28" i="6"/>
  <c r="L28" i="6"/>
  <c r="K28" i="6"/>
  <c r="J28" i="6"/>
  <c r="I28" i="6"/>
  <c r="H28" i="6"/>
  <c r="G28" i="6"/>
  <c r="F28" i="6"/>
  <c r="DA27" i="6"/>
  <c r="CZ27" i="6"/>
  <c r="CY27" i="6"/>
  <c r="CX27" i="6"/>
  <c r="CW27" i="6"/>
  <c r="CV27" i="6"/>
  <c r="CU27" i="6"/>
  <c r="CT27" i="6"/>
  <c r="CS27" i="6"/>
  <c r="CR27" i="6"/>
  <c r="CQ27" i="6"/>
  <c r="CP27" i="6"/>
  <c r="CO27" i="6"/>
  <c r="CN27" i="6"/>
  <c r="CM27" i="6"/>
  <c r="CL27" i="6"/>
  <c r="CK27" i="6"/>
  <c r="CJ27" i="6"/>
  <c r="CI27" i="6"/>
  <c r="CH27" i="6"/>
  <c r="CG27" i="6"/>
  <c r="CF27" i="6"/>
  <c r="CE27" i="6"/>
  <c r="CD27" i="6"/>
  <c r="CC27" i="6"/>
  <c r="CB27" i="6"/>
  <c r="CA27" i="6"/>
  <c r="BZ27" i="6"/>
  <c r="BY27" i="6"/>
  <c r="BX27" i="6"/>
  <c r="BW27" i="6"/>
  <c r="BV27" i="6"/>
  <c r="BU27" i="6"/>
  <c r="BT27" i="6"/>
  <c r="BS27" i="6"/>
  <c r="BR27" i="6"/>
  <c r="BQ27" i="6"/>
  <c r="BP27" i="6"/>
  <c r="BO27" i="6"/>
  <c r="BN27" i="6"/>
  <c r="BM27" i="6"/>
  <c r="BL27" i="6"/>
  <c r="BK27" i="6"/>
  <c r="BJ27" i="6"/>
  <c r="BI27" i="6"/>
  <c r="BH27" i="6"/>
  <c r="BG27" i="6"/>
  <c r="BF27" i="6"/>
  <c r="BE27" i="6"/>
  <c r="BD27" i="6"/>
  <c r="BC27" i="6"/>
  <c r="BB27" i="6"/>
  <c r="BA27" i="6"/>
  <c r="AZ27" i="6"/>
  <c r="AY27" i="6"/>
  <c r="AX27" i="6"/>
  <c r="AW27" i="6"/>
  <c r="AV27" i="6"/>
  <c r="AU27" i="6"/>
  <c r="AT27" i="6"/>
  <c r="AS27" i="6"/>
  <c r="AR27" i="6"/>
  <c r="AQ27" i="6"/>
  <c r="AP27" i="6"/>
  <c r="AO27" i="6"/>
  <c r="AN27" i="6"/>
  <c r="AM27" i="6"/>
  <c r="AL27" i="6"/>
  <c r="AK27" i="6"/>
  <c r="AJ27" i="6"/>
  <c r="AI27" i="6"/>
  <c r="AH27" i="6"/>
  <c r="AG27" i="6"/>
  <c r="AF27" i="6"/>
  <c r="AE27" i="6"/>
  <c r="AD27" i="6"/>
  <c r="AC27" i="6"/>
  <c r="AB27" i="6"/>
  <c r="AA27" i="6"/>
  <c r="Z27" i="6"/>
  <c r="Y27" i="6"/>
  <c r="X27" i="6"/>
  <c r="W27" i="6"/>
  <c r="V27" i="6"/>
  <c r="U27" i="6"/>
  <c r="T27" i="6"/>
  <c r="S27" i="6"/>
  <c r="R27" i="6"/>
  <c r="Q27" i="6"/>
  <c r="P27" i="6"/>
  <c r="O27" i="6"/>
  <c r="N27" i="6"/>
  <c r="M27" i="6"/>
  <c r="L27" i="6"/>
  <c r="K27" i="6"/>
  <c r="J27" i="6"/>
  <c r="I27" i="6"/>
  <c r="H27" i="6"/>
  <c r="G27" i="6"/>
  <c r="F27" i="6"/>
  <c r="DA26" i="6"/>
  <c r="CZ26" i="6"/>
  <c r="CY26" i="6"/>
  <c r="CX26" i="6"/>
  <c r="CW26" i="6"/>
  <c r="CV26" i="6"/>
  <c r="CU26" i="6"/>
  <c r="CT26" i="6"/>
  <c r="CS26" i="6"/>
  <c r="CR26" i="6"/>
  <c r="CQ26" i="6"/>
  <c r="CP26" i="6"/>
  <c r="CO26" i="6"/>
  <c r="CN26" i="6"/>
  <c r="CM26" i="6"/>
  <c r="CL26" i="6"/>
  <c r="CK26" i="6"/>
  <c r="CJ26" i="6"/>
  <c r="CI26" i="6"/>
  <c r="CH26" i="6"/>
  <c r="CG26" i="6"/>
  <c r="CF26" i="6"/>
  <c r="CE26" i="6"/>
  <c r="CD26" i="6"/>
  <c r="CC26" i="6"/>
  <c r="CB26" i="6"/>
  <c r="CA26" i="6"/>
  <c r="BZ26" i="6"/>
  <c r="BY26" i="6"/>
  <c r="BX26" i="6"/>
  <c r="BW26" i="6"/>
  <c r="BV26" i="6"/>
  <c r="BU26" i="6"/>
  <c r="BT26" i="6"/>
  <c r="BS26" i="6"/>
  <c r="BR26" i="6"/>
  <c r="BQ26" i="6"/>
  <c r="BP26" i="6"/>
  <c r="BO26" i="6"/>
  <c r="BN26" i="6"/>
  <c r="BM26" i="6"/>
  <c r="BL26" i="6"/>
  <c r="BK26" i="6"/>
  <c r="BJ26" i="6"/>
  <c r="BI26" i="6"/>
  <c r="BH26" i="6"/>
  <c r="BG26" i="6"/>
  <c r="BF26" i="6"/>
  <c r="BE26" i="6"/>
  <c r="BD26" i="6"/>
  <c r="BC26" i="6"/>
  <c r="BB26" i="6"/>
  <c r="BA26" i="6"/>
  <c r="AZ26" i="6"/>
  <c r="AY26" i="6"/>
  <c r="AX26" i="6"/>
  <c r="AW26" i="6"/>
  <c r="AV26" i="6"/>
  <c r="AU26" i="6"/>
  <c r="AT26" i="6"/>
  <c r="AS26" i="6"/>
  <c r="AR26" i="6"/>
  <c r="AQ26" i="6"/>
  <c r="AP26" i="6"/>
  <c r="AO26" i="6"/>
  <c r="AN26" i="6"/>
  <c r="AM26" i="6"/>
  <c r="AL26" i="6"/>
  <c r="AK26" i="6"/>
  <c r="AJ26" i="6"/>
  <c r="AI26" i="6"/>
  <c r="AH26" i="6"/>
  <c r="AG26" i="6"/>
  <c r="AF26" i="6"/>
  <c r="AE26" i="6"/>
  <c r="AD26" i="6"/>
  <c r="AC26" i="6"/>
  <c r="AB26" i="6"/>
  <c r="AA26" i="6"/>
  <c r="Z26" i="6"/>
  <c r="Y26" i="6"/>
  <c r="X26" i="6"/>
  <c r="W26" i="6"/>
  <c r="V26" i="6"/>
  <c r="U26" i="6"/>
  <c r="T26" i="6"/>
  <c r="S26" i="6"/>
  <c r="R26" i="6"/>
  <c r="Q26" i="6"/>
  <c r="P26" i="6"/>
  <c r="O26" i="6"/>
  <c r="N26" i="6"/>
  <c r="M26" i="6"/>
  <c r="L26" i="6"/>
  <c r="K26" i="6"/>
  <c r="J26" i="6"/>
  <c r="I26" i="6"/>
  <c r="H26" i="6"/>
  <c r="G26" i="6"/>
  <c r="F26" i="6"/>
  <c r="DA25" i="6"/>
  <c r="CZ25" i="6"/>
  <c r="CY25" i="6"/>
  <c r="CX25" i="6"/>
  <c r="CW25" i="6"/>
  <c r="CV25" i="6"/>
  <c r="CU25" i="6"/>
  <c r="CT25" i="6"/>
  <c r="CS25" i="6"/>
  <c r="CR25" i="6"/>
  <c r="CQ25" i="6"/>
  <c r="CP25" i="6"/>
  <c r="CO25" i="6"/>
  <c r="CN25" i="6"/>
  <c r="CM25" i="6"/>
  <c r="CL25" i="6"/>
  <c r="CK25" i="6"/>
  <c r="CJ25" i="6"/>
  <c r="CI25" i="6"/>
  <c r="CH25" i="6"/>
  <c r="CG25" i="6"/>
  <c r="CF25" i="6"/>
  <c r="CE25" i="6"/>
  <c r="CD25" i="6"/>
  <c r="CC25" i="6"/>
  <c r="CB25" i="6"/>
  <c r="CA25" i="6"/>
  <c r="BZ25" i="6"/>
  <c r="BY25" i="6"/>
  <c r="BX25" i="6"/>
  <c r="BW25" i="6"/>
  <c r="BV25" i="6"/>
  <c r="BU25" i="6"/>
  <c r="BT25" i="6"/>
  <c r="BS25" i="6"/>
  <c r="BR25" i="6"/>
  <c r="BQ25" i="6"/>
  <c r="BP25" i="6"/>
  <c r="BO25" i="6"/>
  <c r="BN25" i="6"/>
  <c r="BM25" i="6"/>
  <c r="BL25" i="6"/>
  <c r="BK25" i="6"/>
  <c r="BJ25" i="6"/>
  <c r="BI25" i="6"/>
  <c r="BH25" i="6"/>
  <c r="BG25" i="6"/>
  <c r="BF25" i="6"/>
  <c r="BE25" i="6"/>
  <c r="BD25" i="6"/>
  <c r="BC25" i="6"/>
  <c r="BB25" i="6"/>
  <c r="BA25" i="6"/>
  <c r="AZ25" i="6"/>
  <c r="AY25" i="6"/>
  <c r="AX25" i="6"/>
  <c r="AW25" i="6"/>
  <c r="AV25" i="6"/>
  <c r="AU25" i="6"/>
  <c r="AT25" i="6"/>
  <c r="AS25" i="6"/>
  <c r="AR25" i="6"/>
  <c r="AQ25" i="6"/>
  <c r="AP25" i="6"/>
  <c r="AO25" i="6"/>
  <c r="AN25" i="6"/>
  <c r="AM25" i="6"/>
  <c r="AL25" i="6"/>
  <c r="AK25" i="6"/>
  <c r="AJ25" i="6"/>
  <c r="AI25" i="6"/>
  <c r="AH25" i="6"/>
  <c r="AG25" i="6"/>
  <c r="AF25" i="6"/>
  <c r="AE25" i="6"/>
  <c r="AD25" i="6"/>
  <c r="AC25" i="6"/>
  <c r="AB25" i="6"/>
  <c r="AA25" i="6"/>
  <c r="Z25" i="6"/>
  <c r="Y25" i="6"/>
  <c r="X25" i="6"/>
  <c r="W25" i="6"/>
  <c r="V25" i="6"/>
  <c r="U25" i="6"/>
  <c r="T25" i="6"/>
  <c r="S25" i="6"/>
  <c r="R25" i="6"/>
  <c r="Q25" i="6"/>
  <c r="P25" i="6"/>
  <c r="O25" i="6"/>
  <c r="N25" i="6"/>
  <c r="M25" i="6"/>
  <c r="L25" i="6"/>
  <c r="K25" i="6"/>
  <c r="J25" i="6"/>
  <c r="I25" i="6"/>
  <c r="H25" i="6"/>
  <c r="G25" i="6"/>
  <c r="F25" i="6"/>
  <c r="DA24" i="6"/>
  <c r="CZ24" i="6"/>
  <c r="CY24" i="6"/>
  <c r="CX24" i="6"/>
  <c r="CW24" i="6"/>
  <c r="CV24" i="6"/>
  <c r="CU24" i="6"/>
  <c r="CT24" i="6"/>
  <c r="CS24" i="6"/>
  <c r="CR24" i="6"/>
  <c r="CQ24" i="6"/>
  <c r="CP24" i="6"/>
  <c r="CO24" i="6"/>
  <c r="CN24" i="6"/>
  <c r="CM24" i="6"/>
  <c r="CL24" i="6"/>
  <c r="CK24" i="6"/>
  <c r="CJ24" i="6"/>
  <c r="CI24" i="6"/>
  <c r="CH24" i="6"/>
  <c r="CG24" i="6"/>
  <c r="CF24" i="6"/>
  <c r="CE24" i="6"/>
  <c r="CD24" i="6"/>
  <c r="CC24" i="6"/>
  <c r="CB24" i="6"/>
  <c r="CA24" i="6"/>
  <c r="BZ24" i="6"/>
  <c r="BY24" i="6"/>
  <c r="BX24" i="6"/>
  <c r="BW24" i="6"/>
  <c r="BV24" i="6"/>
  <c r="BU24" i="6"/>
  <c r="BT24" i="6"/>
  <c r="BS24" i="6"/>
  <c r="BR24" i="6"/>
  <c r="BQ24" i="6"/>
  <c r="BP24" i="6"/>
  <c r="BO24" i="6"/>
  <c r="BN24" i="6"/>
  <c r="BM24" i="6"/>
  <c r="BL24" i="6"/>
  <c r="BK24" i="6"/>
  <c r="BJ24" i="6"/>
  <c r="BI24" i="6"/>
  <c r="BH24" i="6"/>
  <c r="BG24" i="6"/>
  <c r="BF24" i="6"/>
  <c r="BE24" i="6"/>
  <c r="BD24" i="6"/>
  <c r="BC24" i="6"/>
  <c r="BB24" i="6"/>
  <c r="BA24" i="6"/>
  <c r="AZ24" i="6"/>
  <c r="AY24" i="6"/>
  <c r="AX24" i="6"/>
  <c r="AW24" i="6"/>
  <c r="AV24" i="6"/>
  <c r="AU24" i="6"/>
  <c r="AT24" i="6"/>
  <c r="AS24" i="6"/>
  <c r="AR24" i="6"/>
  <c r="AQ24" i="6"/>
  <c r="AP24" i="6"/>
  <c r="AO24" i="6"/>
  <c r="AN24" i="6"/>
  <c r="AM24" i="6"/>
  <c r="AL24" i="6"/>
  <c r="AK24" i="6"/>
  <c r="AJ24" i="6"/>
  <c r="AI24" i="6"/>
  <c r="AH24" i="6"/>
  <c r="AG24" i="6"/>
  <c r="AF24" i="6"/>
  <c r="AE24" i="6"/>
  <c r="AD24" i="6"/>
  <c r="AC24" i="6"/>
  <c r="AB24" i="6"/>
  <c r="AA24" i="6"/>
  <c r="Z24" i="6"/>
  <c r="Y24" i="6"/>
  <c r="X24" i="6"/>
  <c r="W24" i="6"/>
  <c r="V24" i="6"/>
  <c r="U24" i="6"/>
  <c r="T24" i="6"/>
  <c r="S24" i="6"/>
  <c r="R24" i="6"/>
  <c r="Q24" i="6"/>
  <c r="P24" i="6"/>
  <c r="O24" i="6"/>
  <c r="N24" i="6"/>
  <c r="M24" i="6"/>
  <c r="L24" i="6"/>
  <c r="K24" i="6"/>
  <c r="J24" i="6"/>
  <c r="I24" i="6"/>
  <c r="H24" i="6"/>
  <c r="G24" i="6"/>
  <c r="F24" i="6"/>
  <c r="DA23" i="6"/>
  <c r="CZ23" i="6"/>
  <c r="CY23" i="6"/>
  <c r="CX23" i="6"/>
  <c r="CW23" i="6"/>
  <c r="CV23" i="6"/>
  <c r="CU23" i="6"/>
  <c r="CT23" i="6"/>
  <c r="CS23" i="6"/>
  <c r="CR23" i="6"/>
  <c r="CQ23" i="6"/>
  <c r="CP23" i="6"/>
  <c r="CO23" i="6"/>
  <c r="CN23" i="6"/>
  <c r="CM23" i="6"/>
  <c r="CL23" i="6"/>
  <c r="CK23" i="6"/>
  <c r="CJ23" i="6"/>
  <c r="CI23" i="6"/>
  <c r="CH23" i="6"/>
  <c r="CG23" i="6"/>
  <c r="CF23" i="6"/>
  <c r="CE23" i="6"/>
  <c r="CD23" i="6"/>
  <c r="CC23" i="6"/>
  <c r="CB23" i="6"/>
  <c r="CA23" i="6"/>
  <c r="BZ23" i="6"/>
  <c r="BY23" i="6"/>
  <c r="BX23" i="6"/>
  <c r="BW23" i="6"/>
  <c r="BV23" i="6"/>
  <c r="BU23" i="6"/>
  <c r="BT23" i="6"/>
  <c r="BS23" i="6"/>
  <c r="BR23" i="6"/>
  <c r="BQ23" i="6"/>
  <c r="BP23" i="6"/>
  <c r="BO23" i="6"/>
  <c r="BN23" i="6"/>
  <c r="BM23" i="6"/>
  <c r="BL23" i="6"/>
  <c r="BK23" i="6"/>
  <c r="BJ23" i="6"/>
  <c r="BI23" i="6"/>
  <c r="BH23" i="6"/>
  <c r="BG23" i="6"/>
  <c r="BF23" i="6"/>
  <c r="BE23" i="6"/>
  <c r="BD23" i="6"/>
  <c r="BC23" i="6"/>
  <c r="BB23" i="6"/>
  <c r="BA23" i="6"/>
  <c r="AZ23" i="6"/>
  <c r="AY23" i="6"/>
  <c r="AX23" i="6"/>
  <c r="AW23" i="6"/>
  <c r="AV23" i="6"/>
  <c r="AU23" i="6"/>
  <c r="AT23" i="6"/>
  <c r="AS23" i="6"/>
  <c r="AR23" i="6"/>
  <c r="AQ23" i="6"/>
  <c r="AP23" i="6"/>
  <c r="AO23" i="6"/>
  <c r="AN23" i="6"/>
  <c r="AM23" i="6"/>
  <c r="AL23" i="6"/>
  <c r="AK23" i="6"/>
  <c r="AJ23" i="6"/>
  <c r="AI23" i="6"/>
  <c r="AH23" i="6"/>
  <c r="AG23" i="6"/>
  <c r="AF23" i="6"/>
  <c r="AE23" i="6"/>
  <c r="AD23" i="6"/>
  <c r="AC23" i="6"/>
  <c r="AB23" i="6"/>
  <c r="AA23" i="6"/>
  <c r="Z23" i="6"/>
  <c r="Y23" i="6"/>
  <c r="X23" i="6"/>
  <c r="W23" i="6"/>
  <c r="V23" i="6"/>
  <c r="U23" i="6"/>
  <c r="T23" i="6"/>
  <c r="S23" i="6"/>
  <c r="R23" i="6"/>
  <c r="Q23" i="6"/>
  <c r="P23" i="6"/>
  <c r="O23" i="6"/>
  <c r="N23" i="6"/>
  <c r="M23" i="6"/>
  <c r="L23" i="6"/>
  <c r="K23" i="6"/>
  <c r="J23" i="6"/>
  <c r="I23" i="6"/>
  <c r="H23" i="6"/>
  <c r="G23" i="6"/>
  <c r="F23" i="6"/>
  <c r="DA22" i="6"/>
  <c r="CZ22" i="6"/>
  <c r="CY22" i="6"/>
  <c r="CX22" i="6"/>
  <c r="CW22" i="6"/>
  <c r="CV22" i="6"/>
  <c r="CU22" i="6"/>
  <c r="CT22" i="6"/>
  <c r="CS22" i="6"/>
  <c r="CR22" i="6"/>
  <c r="CQ22" i="6"/>
  <c r="CP22" i="6"/>
  <c r="CO22" i="6"/>
  <c r="CN22" i="6"/>
  <c r="CM22" i="6"/>
  <c r="CL22" i="6"/>
  <c r="CK22" i="6"/>
  <c r="CJ22" i="6"/>
  <c r="CI22" i="6"/>
  <c r="CH22" i="6"/>
  <c r="CG22" i="6"/>
  <c r="CF22" i="6"/>
  <c r="CE22" i="6"/>
  <c r="CD22" i="6"/>
  <c r="CC22" i="6"/>
  <c r="CB22" i="6"/>
  <c r="CA22" i="6"/>
  <c r="BZ22" i="6"/>
  <c r="BY22" i="6"/>
  <c r="BX22" i="6"/>
  <c r="BW22" i="6"/>
  <c r="BV22" i="6"/>
  <c r="BU22" i="6"/>
  <c r="BT22" i="6"/>
  <c r="BS22" i="6"/>
  <c r="BR22" i="6"/>
  <c r="BQ22" i="6"/>
  <c r="BP22" i="6"/>
  <c r="BO22" i="6"/>
  <c r="BN22" i="6"/>
  <c r="BM22" i="6"/>
  <c r="BL22" i="6"/>
  <c r="BK22" i="6"/>
  <c r="BJ22" i="6"/>
  <c r="BI22" i="6"/>
  <c r="BH22" i="6"/>
  <c r="BG22" i="6"/>
  <c r="BF22" i="6"/>
  <c r="BE22" i="6"/>
  <c r="BD22" i="6"/>
  <c r="BC22" i="6"/>
  <c r="BB22" i="6"/>
  <c r="BA22" i="6"/>
  <c r="AZ22" i="6"/>
  <c r="AY22" i="6"/>
  <c r="AX22" i="6"/>
  <c r="AW22" i="6"/>
  <c r="AV22" i="6"/>
  <c r="AU22" i="6"/>
  <c r="AT22" i="6"/>
  <c r="AS22" i="6"/>
  <c r="AR22" i="6"/>
  <c r="AQ22" i="6"/>
  <c r="AP22" i="6"/>
  <c r="AO22" i="6"/>
  <c r="AN22" i="6"/>
  <c r="AM22" i="6"/>
  <c r="AL22" i="6"/>
  <c r="AK22" i="6"/>
  <c r="AJ22" i="6"/>
  <c r="AI22" i="6"/>
  <c r="AH22" i="6"/>
  <c r="AG22" i="6"/>
  <c r="AF22" i="6"/>
  <c r="AE22" i="6"/>
  <c r="AD22" i="6"/>
  <c r="AC22" i="6"/>
  <c r="AB22" i="6"/>
  <c r="AA22" i="6"/>
  <c r="Z22" i="6"/>
  <c r="Y22" i="6"/>
  <c r="X22" i="6"/>
  <c r="W22" i="6"/>
  <c r="V22" i="6"/>
  <c r="U22" i="6"/>
  <c r="T22" i="6"/>
  <c r="S22" i="6"/>
  <c r="R22" i="6"/>
  <c r="Q22" i="6"/>
  <c r="P22" i="6"/>
  <c r="O22" i="6"/>
  <c r="N22" i="6"/>
  <c r="M22" i="6"/>
  <c r="L22" i="6"/>
  <c r="K22" i="6"/>
  <c r="J22" i="6"/>
  <c r="I22" i="6"/>
  <c r="H22" i="6"/>
  <c r="G22" i="6"/>
  <c r="F22" i="6"/>
  <c r="DA21" i="6"/>
  <c r="CZ21" i="6"/>
  <c r="CY21" i="6"/>
  <c r="CX21" i="6"/>
  <c r="CW21" i="6"/>
  <c r="CV21" i="6"/>
  <c r="CU21" i="6"/>
  <c r="CT21" i="6"/>
  <c r="CS21" i="6"/>
  <c r="CR21" i="6"/>
  <c r="CQ21" i="6"/>
  <c r="CP21" i="6"/>
  <c r="CO21" i="6"/>
  <c r="CN21" i="6"/>
  <c r="CM21" i="6"/>
  <c r="CL21" i="6"/>
  <c r="CK21" i="6"/>
  <c r="CJ21" i="6"/>
  <c r="CI21" i="6"/>
  <c r="CH21" i="6"/>
  <c r="CG21" i="6"/>
  <c r="CF21" i="6"/>
  <c r="CE21" i="6"/>
  <c r="CD21" i="6"/>
  <c r="CC21" i="6"/>
  <c r="CB21" i="6"/>
  <c r="CA21" i="6"/>
  <c r="BZ21" i="6"/>
  <c r="BY21" i="6"/>
  <c r="BX21" i="6"/>
  <c r="BW21" i="6"/>
  <c r="BV21" i="6"/>
  <c r="BU21" i="6"/>
  <c r="BT21" i="6"/>
  <c r="BS21" i="6"/>
  <c r="BR21" i="6"/>
  <c r="BQ21" i="6"/>
  <c r="BP21" i="6"/>
  <c r="BO21" i="6"/>
  <c r="BN21" i="6"/>
  <c r="BM21" i="6"/>
  <c r="BL21" i="6"/>
  <c r="BK21" i="6"/>
  <c r="BJ21" i="6"/>
  <c r="BI21" i="6"/>
  <c r="BH21" i="6"/>
  <c r="BG21" i="6"/>
  <c r="BF21" i="6"/>
  <c r="BE21" i="6"/>
  <c r="BD21" i="6"/>
  <c r="BC21" i="6"/>
  <c r="BB21" i="6"/>
  <c r="BA21" i="6"/>
  <c r="AZ21" i="6"/>
  <c r="AY21" i="6"/>
  <c r="AX21" i="6"/>
  <c r="AW21" i="6"/>
  <c r="AV21" i="6"/>
  <c r="AU21" i="6"/>
  <c r="AT21" i="6"/>
  <c r="AS21" i="6"/>
  <c r="AR21" i="6"/>
  <c r="AQ21" i="6"/>
  <c r="AP21" i="6"/>
  <c r="AO21" i="6"/>
  <c r="AN21" i="6"/>
  <c r="AM21" i="6"/>
  <c r="AL21" i="6"/>
  <c r="AK21" i="6"/>
  <c r="AJ21" i="6"/>
  <c r="AI21" i="6"/>
  <c r="AH21" i="6"/>
  <c r="AG21" i="6"/>
  <c r="AF21" i="6"/>
  <c r="AE21" i="6"/>
  <c r="AD21" i="6"/>
  <c r="AC21" i="6"/>
  <c r="AB21" i="6"/>
  <c r="AA21" i="6"/>
  <c r="Z21" i="6"/>
  <c r="Y21" i="6"/>
  <c r="X21" i="6"/>
  <c r="W21" i="6"/>
  <c r="V21" i="6"/>
  <c r="U21" i="6"/>
  <c r="T21" i="6"/>
  <c r="S21" i="6"/>
  <c r="R21" i="6"/>
  <c r="Q21" i="6"/>
  <c r="P21" i="6"/>
  <c r="O21" i="6"/>
  <c r="N21" i="6"/>
  <c r="M21" i="6"/>
  <c r="L21" i="6"/>
  <c r="K21" i="6"/>
  <c r="J21" i="6"/>
  <c r="I21" i="6"/>
  <c r="H21" i="6"/>
  <c r="G21" i="6"/>
  <c r="F21" i="6"/>
  <c r="DA20" i="6"/>
  <c r="CZ20" i="6"/>
  <c r="CY20" i="6"/>
  <c r="CX20" i="6"/>
  <c r="CW20" i="6"/>
  <c r="CV20" i="6"/>
  <c r="CU20" i="6"/>
  <c r="CT20" i="6"/>
  <c r="CS20" i="6"/>
  <c r="CR20" i="6"/>
  <c r="CQ20" i="6"/>
  <c r="CP20" i="6"/>
  <c r="CO20" i="6"/>
  <c r="CN20" i="6"/>
  <c r="CM20" i="6"/>
  <c r="CL20" i="6"/>
  <c r="CK20" i="6"/>
  <c r="CJ20" i="6"/>
  <c r="CI20" i="6"/>
  <c r="CH20" i="6"/>
  <c r="CG20" i="6"/>
  <c r="CF20" i="6"/>
  <c r="CE20" i="6"/>
  <c r="CD20" i="6"/>
  <c r="CC20" i="6"/>
  <c r="CB20" i="6"/>
  <c r="CA20" i="6"/>
  <c r="BZ20" i="6"/>
  <c r="BY20" i="6"/>
  <c r="BX20" i="6"/>
  <c r="BW20" i="6"/>
  <c r="BV20" i="6"/>
  <c r="BU20" i="6"/>
  <c r="BT20" i="6"/>
  <c r="BS20" i="6"/>
  <c r="BR20" i="6"/>
  <c r="BQ20" i="6"/>
  <c r="BP20" i="6"/>
  <c r="BO20" i="6"/>
  <c r="BN20" i="6"/>
  <c r="BM20" i="6"/>
  <c r="BL20" i="6"/>
  <c r="BK20" i="6"/>
  <c r="BJ20" i="6"/>
  <c r="BI20" i="6"/>
  <c r="BH20" i="6"/>
  <c r="BG20" i="6"/>
  <c r="BF20" i="6"/>
  <c r="BE20" i="6"/>
  <c r="BD20" i="6"/>
  <c r="BC20" i="6"/>
  <c r="BB20" i="6"/>
  <c r="BA20" i="6"/>
  <c r="AZ20" i="6"/>
  <c r="AY20" i="6"/>
  <c r="AX20" i="6"/>
  <c r="AW20" i="6"/>
  <c r="AV20" i="6"/>
  <c r="AU20" i="6"/>
  <c r="AT20" i="6"/>
  <c r="AS20" i="6"/>
  <c r="AR20" i="6"/>
  <c r="AQ20" i="6"/>
  <c r="AP20" i="6"/>
  <c r="AO20" i="6"/>
  <c r="AN20" i="6"/>
  <c r="AM20" i="6"/>
  <c r="AL20" i="6"/>
  <c r="AK20" i="6"/>
  <c r="AJ20" i="6"/>
  <c r="AI20" i="6"/>
  <c r="AH20" i="6"/>
  <c r="AG20" i="6"/>
  <c r="AF20" i="6"/>
  <c r="AE20" i="6"/>
  <c r="AD20" i="6"/>
  <c r="AC20" i="6"/>
  <c r="AB20" i="6"/>
  <c r="AA20" i="6"/>
  <c r="Z20" i="6"/>
  <c r="Y20" i="6"/>
  <c r="X20" i="6"/>
  <c r="W20" i="6"/>
  <c r="V20" i="6"/>
  <c r="U20" i="6"/>
  <c r="T20" i="6"/>
  <c r="S20" i="6"/>
  <c r="R20" i="6"/>
  <c r="Q20" i="6"/>
  <c r="P20" i="6"/>
  <c r="O20" i="6"/>
  <c r="N20" i="6"/>
  <c r="M20" i="6"/>
  <c r="L20" i="6"/>
  <c r="K20" i="6"/>
  <c r="J20" i="6"/>
  <c r="I20" i="6"/>
  <c r="H20" i="6"/>
  <c r="G20" i="6"/>
  <c r="F20" i="6"/>
  <c r="DA19" i="6"/>
  <c r="CZ19" i="6"/>
  <c r="CY19" i="6"/>
  <c r="CX19" i="6"/>
  <c r="CW19" i="6"/>
  <c r="CV19" i="6"/>
  <c r="CU19" i="6"/>
  <c r="CT19" i="6"/>
  <c r="CS19" i="6"/>
  <c r="CR19" i="6"/>
  <c r="CQ19" i="6"/>
  <c r="CP19" i="6"/>
  <c r="CO19" i="6"/>
  <c r="CN19" i="6"/>
  <c r="CM19" i="6"/>
  <c r="CL19" i="6"/>
  <c r="CK19" i="6"/>
  <c r="CJ19" i="6"/>
  <c r="CI19" i="6"/>
  <c r="CH19" i="6"/>
  <c r="CG19" i="6"/>
  <c r="CF19" i="6"/>
  <c r="CE19" i="6"/>
  <c r="CD19" i="6"/>
  <c r="CC19" i="6"/>
  <c r="CB19" i="6"/>
  <c r="CA19" i="6"/>
  <c r="BZ19" i="6"/>
  <c r="BY19" i="6"/>
  <c r="BX19" i="6"/>
  <c r="BW19" i="6"/>
  <c r="BV19" i="6"/>
  <c r="BU19" i="6"/>
  <c r="BT19" i="6"/>
  <c r="BS19" i="6"/>
  <c r="BR19" i="6"/>
  <c r="BQ19" i="6"/>
  <c r="BP19" i="6"/>
  <c r="BO19" i="6"/>
  <c r="BN19" i="6"/>
  <c r="BM19" i="6"/>
  <c r="BL19" i="6"/>
  <c r="BK19" i="6"/>
  <c r="BJ19" i="6"/>
  <c r="BI19" i="6"/>
  <c r="BH19" i="6"/>
  <c r="BG19" i="6"/>
  <c r="BF19" i="6"/>
  <c r="BE19" i="6"/>
  <c r="BD19" i="6"/>
  <c r="BC19" i="6"/>
  <c r="BB19" i="6"/>
  <c r="BA19" i="6"/>
  <c r="AZ19" i="6"/>
  <c r="AY19" i="6"/>
  <c r="AX19" i="6"/>
  <c r="AW19" i="6"/>
  <c r="AV19" i="6"/>
  <c r="AU19" i="6"/>
  <c r="AT19" i="6"/>
  <c r="AS19" i="6"/>
  <c r="AR19" i="6"/>
  <c r="AQ19" i="6"/>
  <c r="AP19" i="6"/>
  <c r="AO19" i="6"/>
  <c r="AN19" i="6"/>
  <c r="AM19" i="6"/>
  <c r="AL19" i="6"/>
  <c r="AK19" i="6"/>
  <c r="AJ19" i="6"/>
  <c r="AI19" i="6"/>
  <c r="AH19" i="6"/>
  <c r="AG19" i="6"/>
  <c r="AF19" i="6"/>
  <c r="AE19" i="6"/>
  <c r="AD19" i="6"/>
  <c r="AC19" i="6"/>
  <c r="AB19" i="6"/>
  <c r="AA19" i="6"/>
  <c r="Z19" i="6"/>
  <c r="Y19" i="6"/>
  <c r="X19" i="6"/>
  <c r="W19" i="6"/>
  <c r="V19" i="6"/>
  <c r="U19" i="6"/>
  <c r="T19" i="6"/>
  <c r="S19" i="6"/>
  <c r="R19" i="6"/>
  <c r="Q19" i="6"/>
  <c r="P19" i="6"/>
  <c r="O19" i="6"/>
  <c r="N19" i="6"/>
  <c r="M19" i="6"/>
  <c r="L19" i="6"/>
  <c r="K19" i="6"/>
  <c r="J19" i="6"/>
  <c r="I19" i="6"/>
  <c r="H19" i="6"/>
  <c r="G19" i="6"/>
  <c r="F19" i="6"/>
  <c r="DA18" i="6"/>
  <c r="CZ18" i="6"/>
  <c r="CY18" i="6"/>
  <c r="CX18" i="6"/>
  <c r="CW18" i="6"/>
  <c r="CV18" i="6"/>
  <c r="CU18" i="6"/>
  <c r="CT18" i="6"/>
  <c r="CS18" i="6"/>
  <c r="CR18" i="6"/>
  <c r="CQ18" i="6"/>
  <c r="CP18" i="6"/>
  <c r="CO18" i="6"/>
  <c r="CN18" i="6"/>
  <c r="CM18" i="6"/>
  <c r="CL18" i="6"/>
  <c r="CK18" i="6"/>
  <c r="CJ18" i="6"/>
  <c r="CI18" i="6"/>
  <c r="CH18" i="6"/>
  <c r="CG18" i="6"/>
  <c r="CF18" i="6"/>
  <c r="CE18" i="6"/>
  <c r="CD18" i="6"/>
  <c r="CC18" i="6"/>
  <c r="CB18" i="6"/>
  <c r="CA18" i="6"/>
  <c r="BZ18" i="6"/>
  <c r="BY18" i="6"/>
  <c r="BX18" i="6"/>
  <c r="BW18" i="6"/>
  <c r="BV18" i="6"/>
  <c r="BU18" i="6"/>
  <c r="BT18" i="6"/>
  <c r="BS18" i="6"/>
  <c r="BR18" i="6"/>
  <c r="BQ18" i="6"/>
  <c r="BP18" i="6"/>
  <c r="BO18" i="6"/>
  <c r="BN18" i="6"/>
  <c r="BM18" i="6"/>
  <c r="BL18" i="6"/>
  <c r="BK18" i="6"/>
  <c r="BJ18" i="6"/>
  <c r="BI18" i="6"/>
  <c r="BH18" i="6"/>
  <c r="BG18" i="6"/>
  <c r="BF18" i="6"/>
  <c r="BE18" i="6"/>
  <c r="BD18" i="6"/>
  <c r="BC18" i="6"/>
  <c r="BB18" i="6"/>
  <c r="BA18" i="6"/>
  <c r="AZ18" i="6"/>
  <c r="AY18" i="6"/>
  <c r="AX18" i="6"/>
  <c r="AW18" i="6"/>
  <c r="AV18" i="6"/>
  <c r="AU18" i="6"/>
  <c r="AT18" i="6"/>
  <c r="AS18" i="6"/>
  <c r="AR18" i="6"/>
  <c r="AQ18" i="6"/>
  <c r="AP18" i="6"/>
  <c r="AO18" i="6"/>
  <c r="AN18" i="6"/>
  <c r="AM18" i="6"/>
  <c r="AL18" i="6"/>
  <c r="AK18" i="6"/>
  <c r="AJ18" i="6"/>
  <c r="AI18" i="6"/>
  <c r="AH18" i="6"/>
  <c r="AG18" i="6"/>
  <c r="AF18" i="6"/>
  <c r="AE18" i="6"/>
  <c r="AD18" i="6"/>
  <c r="AC18" i="6"/>
  <c r="AB18" i="6"/>
  <c r="AA18" i="6"/>
  <c r="Z18" i="6"/>
  <c r="Y18" i="6"/>
  <c r="X18" i="6"/>
  <c r="W18" i="6"/>
  <c r="V18" i="6"/>
  <c r="U18" i="6"/>
  <c r="T18" i="6"/>
  <c r="S18" i="6"/>
  <c r="R18" i="6"/>
  <c r="Q18" i="6"/>
  <c r="P18" i="6"/>
  <c r="O18" i="6"/>
  <c r="N18" i="6"/>
  <c r="M18" i="6"/>
  <c r="L18" i="6"/>
  <c r="K18" i="6"/>
  <c r="J18" i="6"/>
  <c r="I18" i="6"/>
  <c r="H18" i="6"/>
  <c r="G18" i="6"/>
  <c r="F18" i="6"/>
  <c r="DA17" i="6"/>
  <c r="CZ17" i="6"/>
  <c r="CY17" i="6"/>
  <c r="CX17" i="6"/>
  <c r="CW17" i="6"/>
  <c r="CV17" i="6"/>
  <c r="CU17" i="6"/>
  <c r="CT17" i="6"/>
  <c r="CS17" i="6"/>
  <c r="CR17" i="6"/>
  <c r="CQ17" i="6"/>
  <c r="CP17" i="6"/>
  <c r="CO17" i="6"/>
  <c r="CN17" i="6"/>
  <c r="CM17" i="6"/>
  <c r="CL17" i="6"/>
  <c r="CK17" i="6"/>
  <c r="CJ17" i="6"/>
  <c r="CI17" i="6"/>
  <c r="CH17" i="6"/>
  <c r="CG17" i="6"/>
  <c r="CF17" i="6"/>
  <c r="CE17" i="6"/>
  <c r="CD17" i="6"/>
  <c r="CC17" i="6"/>
  <c r="CB17" i="6"/>
  <c r="CA17" i="6"/>
  <c r="BZ17" i="6"/>
  <c r="BY17" i="6"/>
  <c r="BX17" i="6"/>
  <c r="BW17" i="6"/>
  <c r="BV17" i="6"/>
  <c r="BU17" i="6"/>
  <c r="BT17" i="6"/>
  <c r="BS17" i="6"/>
  <c r="BR17" i="6"/>
  <c r="BQ17" i="6"/>
  <c r="BP17" i="6"/>
  <c r="BO17" i="6"/>
  <c r="BN17" i="6"/>
  <c r="BM17" i="6"/>
  <c r="BL17" i="6"/>
  <c r="BK17" i="6"/>
  <c r="BJ17" i="6"/>
  <c r="BI17" i="6"/>
  <c r="BH17" i="6"/>
  <c r="BG17" i="6"/>
  <c r="BF17" i="6"/>
  <c r="BE17" i="6"/>
  <c r="BD17" i="6"/>
  <c r="BC17" i="6"/>
  <c r="BB17" i="6"/>
  <c r="BA17" i="6"/>
  <c r="AZ17" i="6"/>
  <c r="AY17" i="6"/>
  <c r="AX17" i="6"/>
  <c r="AW17" i="6"/>
  <c r="AV17" i="6"/>
  <c r="AU17" i="6"/>
  <c r="AT17" i="6"/>
  <c r="AS17" i="6"/>
  <c r="AR17" i="6"/>
  <c r="AQ17" i="6"/>
  <c r="AP17" i="6"/>
  <c r="AO17" i="6"/>
  <c r="AN17" i="6"/>
  <c r="AM17" i="6"/>
  <c r="AL17" i="6"/>
  <c r="AK17" i="6"/>
  <c r="AJ17" i="6"/>
  <c r="AI17" i="6"/>
  <c r="AH17" i="6"/>
  <c r="AG17" i="6"/>
  <c r="AF17" i="6"/>
  <c r="AE17" i="6"/>
  <c r="AD17" i="6"/>
  <c r="AC17" i="6"/>
  <c r="AB17" i="6"/>
  <c r="AA17" i="6"/>
  <c r="Z17" i="6"/>
  <c r="Y17" i="6"/>
  <c r="X17" i="6"/>
  <c r="W17" i="6"/>
  <c r="V17" i="6"/>
  <c r="U17" i="6"/>
  <c r="T17" i="6"/>
  <c r="S17" i="6"/>
  <c r="R17" i="6"/>
  <c r="Q17" i="6"/>
  <c r="P17" i="6"/>
  <c r="O17" i="6"/>
  <c r="N17" i="6"/>
  <c r="M17" i="6"/>
  <c r="L17" i="6"/>
  <c r="K17" i="6"/>
  <c r="J17" i="6"/>
  <c r="I17" i="6"/>
  <c r="H17" i="6"/>
  <c r="G17" i="6"/>
  <c r="F17" i="6"/>
  <c r="DA16" i="6"/>
  <c r="CZ16" i="6"/>
  <c r="CY16" i="6"/>
  <c r="CX16" i="6"/>
  <c r="CW16" i="6"/>
  <c r="CV16" i="6"/>
  <c r="CU16" i="6"/>
  <c r="CT16" i="6"/>
  <c r="CS16" i="6"/>
  <c r="CR16" i="6"/>
  <c r="CQ16" i="6"/>
  <c r="CP16" i="6"/>
  <c r="CO16" i="6"/>
  <c r="CN16" i="6"/>
  <c r="CM16" i="6"/>
  <c r="CL16" i="6"/>
  <c r="CK16" i="6"/>
  <c r="CJ16" i="6"/>
  <c r="CI16" i="6"/>
  <c r="CH16" i="6"/>
  <c r="CG16" i="6"/>
  <c r="CF16" i="6"/>
  <c r="CE16" i="6"/>
  <c r="CD16" i="6"/>
  <c r="CC16" i="6"/>
  <c r="CB16" i="6"/>
  <c r="CA16" i="6"/>
  <c r="BZ16" i="6"/>
  <c r="BY16" i="6"/>
  <c r="BX16" i="6"/>
  <c r="BW16" i="6"/>
  <c r="BV16" i="6"/>
  <c r="BU16" i="6"/>
  <c r="BT16" i="6"/>
  <c r="BS16" i="6"/>
  <c r="BR16" i="6"/>
  <c r="BQ16" i="6"/>
  <c r="BP16" i="6"/>
  <c r="BO16" i="6"/>
  <c r="BN16" i="6"/>
  <c r="BM16" i="6"/>
  <c r="BL16" i="6"/>
  <c r="BK16" i="6"/>
  <c r="BJ16" i="6"/>
  <c r="BI16" i="6"/>
  <c r="BH16" i="6"/>
  <c r="BG16" i="6"/>
  <c r="BF16" i="6"/>
  <c r="BE16" i="6"/>
  <c r="BD16" i="6"/>
  <c r="BC16" i="6"/>
  <c r="BB16" i="6"/>
  <c r="BA16" i="6"/>
  <c r="AZ16" i="6"/>
  <c r="AY16" i="6"/>
  <c r="AX16" i="6"/>
  <c r="AW16" i="6"/>
  <c r="AV16" i="6"/>
  <c r="AU16" i="6"/>
  <c r="AT16" i="6"/>
  <c r="AS16" i="6"/>
  <c r="AR16" i="6"/>
  <c r="AQ16" i="6"/>
  <c r="AP16" i="6"/>
  <c r="AO16" i="6"/>
  <c r="AN16" i="6"/>
  <c r="AM16" i="6"/>
  <c r="AL16" i="6"/>
  <c r="AK16" i="6"/>
  <c r="AJ16" i="6"/>
  <c r="AI16" i="6"/>
  <c r="AH16" i="6"/>
  <c r="AG16" i="6"/>
  <c r="AF16" i="6"/>
  <c r="AE16" i="6"/>
  <c r="AD16" i="6"/>
  <c r="AC16" i="6"/>
  <c r="AB16" i="6"/>
  <c r="AA16" i="6"/>
  <c r="Z16" i="6"/>
  <c r="Y16" i="6"/>
  <c r="X16" i="6"/>
  <c r="W16" i="6"/>
  <c r="V16" i="6"/>
  <c r="U16" i="6"/>
  <c r="T16" i="6"/>
  <c r="S16" i="6"/>
  <c r="R16" i="6"/>
  <c r="Q16" i="6"/>
  <c r="P16" i="6"/>
  <c r="O16" i="6"/>
  <c r="N16" i="6"/>
  <c r="M16" i="6"/>
  <c r="L16" i="6"/>
  <c r="K16" i="6"/>
  <c r="J16" i="6"/>
  <c r="I16" i="6"/>
  <c r="H16" i="6"/>
  <c r="G16" i="6"/>
  <c r="F16" i="6"/>
  <c r="DA15" i="6"/>
  <c r="CZ15" i="6"/>
  <c r="CY15" i="6"/>
  <c r="CX15" i="6"/>
  <c r="CW15" i="6"/>
  <c r="CV15" i="6"/>
  <c r="CU15" i="6"/>
  <c r="CT15" i="6"/>
  <c r="CS15" i="6"/>
  <c r="CR15" i="6"/>
  <c r="CQ15" i="6"/>
  <c r="CP15" i="6"/>
  <c r="CO15" i="6"/>
  <c r="CN15" i="6"/>
  <c r="CM15" i="6"/>
  <c r="CL15" i="6"/>
  <c r="CK15" i="6"/>
  <c r="CJ15" i="6"/>
  <c r="CI15" i="6"/>
  <c r="CH15" i="6"/>
  <c r="CG15" i="6"/>
  <c r="CF15" i="6"/>
  <c r="CE15" i="6"/>
  <c r="CD15" i="6"/>
  <c r="CC15" i="6"/>
  <c r="CB15" i="6"/>
  <c r="CA15" i="6"/>
  <c r="BZ15" i="6"/>
  <c r="BY15" i="6"/>
  <c r="BX15" i="6"/>
  <c r="BW15" i="6"/>
  <c r="BV15" i="6"/>
  <c r="BU15" i="6"/>
  <c r="BT15" i="6"/>
  <c r="BS15" i="6"/>
  <c r="BR15" i="6"/>
  <c r="BQ15" i="6"/>
  <c r="BP15" i="6"/>
  <c r="BO15" i="6"/>
  <c r="BN15" i="6"/>
  <c r="BM15" i="6"/>
  <c r="BL15" i="6"/>
  <c r="BK15" i="6"/>
  <c r="BJ15" i="6"/>
  <c r="BI15" i="6"/>
  <c r="BH15" i="6"/>
  <c r="BG15" i="6"/>
  <c r="BF15" i="6"/>
  <c r="BE15" i="6"/>
  <c r="BD15" i="6"/>
  <c r="BC15" i="6"/>
  <c r="BB15" i="6"/>
  <c r="BA15" i="6"/>
  <c r="AZ15" i="6"/>
  <c r="AY15" i="6"/>
  <c r="AX15" i="6"/>
  <c r="AW15" i="6"/>
  <c r="AV15" i="6"/>
  <c r="AU15" i="6"/>
  <c r="AT15" i="6"/>
  <c r="AS15" i="6"/>
  <c r="AR15" i="6"/>
  <c r="AQ15" i="6"/>
  <c r="AP15" i="6"/>
  <c r="AO15" i="6"/>
  <c r="AN15" i="6"/>
  <c r="AM15" i="6"/>
  <c r="AL15" i="6"/>
  <c r="AK15" i="6"/>
  <c r="AJ15" i="6"/>
  <c r="AI15" i="6"/>
  <c r="AH15" i="6"/>
  <c r="AG15" i="6"/>
  <c r="AF15" i="6"/>
  <c r="AE15" i="6"/>
  <c r="AD15" i="6"/>
  <c r="AC15" i="6"/>
  <c r="AB15" i="6"/>
  <c r="AA15" i="6"/>
  <c r="Z15" i="6"/>
  <c r="Y15" i="6"/>
  <c r="X15" i="6"/>
  <c r="W15" i="6"/>
  <c r="V15" i="6"/>
  <c r="U15" i="6"/>
  <c r="T15" i="6"/>
  <c r="S15" i="6"/>
  <c r="R15" i="6"/>
  <c r="Q15" i="6"/>
  <c r="P15" i="6"/>
  <c r="O15" i="6"/>
  <c r="N15" i="6"/>
  <c r="M15" i="6"/>
  <c r="L15" i="6"/>
  <c r="K15" i="6"/>
  <c r="J15" i="6"/>
  <c r="I15" i="6"/>
  <c r="H15" i="6"/>
  <c r="G15" i="6"/>
  <c r="F15" i="6"/>
  <c r="DA14" i="6"/>
  <c r="CZ14" i="6"/>
  <c r="CY14" i="6"/>
  <c r="CX14" i="6"/>
  <c r="CW14" i="6"/>
  <c r="CV14" i="6"/>
  <c r="CU14" i="6"/>
  <c r="CT14" i="6"/>
  <c r="CS14" i="6"/>
  <c r="CR14" i="6"/>
  <c r="CQ14" i="6"/>
  <c r="CP14" i="6"/>
  <c r="CO14" i="6"/>
  <c r="CN14" i="6"/>
  <c r="CM14" i="6"/>
  <c r="CL14" i="6"/>
  <c r="CK14" i="6"/>
  <c r="CJ14" i="6"/>
  <c r="CI14" i="6"/>
  <c r="CH14" i="6"/>
  <c r="CG14" i="6"/>
  <c r="CF14" i="6"/>
  <c r="CE14" i="6"/>
  <c r="CD14" i="6"/>
  <c r="CC14" i="6"/>
  <c r="CB14" i="6"/>
  <c r="CA14" i="6"/>
  <c r="BZ14" i="6"/>
  <c r="BY14" i="6"/>
  <c r="BX14" i="6"/>
  <c r="BW14" i="6"/>
  <c r="BV14" i="6"/>
  <c r="BU14" i="6"/>
  <c r="BT14" i="6"/>
  <c r="BS14" i="6"/>
  <c r="BR14" i="6"/>
  <c r="BQ14" i="6"/>
  <c r="BP14" i="6"/>
  <c r="BO14" i="6"/>
  <c r="BN14" i="6"/>
  <c r="BM14" i="6"/>
  <c r="BL14" i="6"/>
  <c r="BK14" i="6"/>
  <c r="BJ14" i="6"/>
  <c r="BI14" i="6"/>
  <c r="BH14" i="6"/>
  <c r="BG14" i="6"/>
  <c r="BF14" i="6"/>
  <c r="BE14" i="6"/>
  <c r="BD14" i="6"/>
  <c r="BC14" i="6"/>
  <c r="BB14" i="6"/>
  <c r="BA14" i="6"/>
  <c r="AZ14" i="6"/>
  <c r="AY14" i="6"/>
  <c r="AX14" i="6"/>
  <c r="AW14" i="6"/>
  <c r="AV14" i="6"/>
  <c r="AU14" i="6"/>
  <c r="AT14" i="6"/>
  <c r="AS14" i="6"/>
  <c r="AR14" i="6"/>
  <c r="AQ14" i="6"/>
  <c r="AP14" i="6"/>
  <c r="AO14" i="6"/>
  <c r="AN14" i="6"/>
  <c r="AM14" i="6"/>
  <c r="AL14" i="6"/>
  <c r="AK14" i="6"/>
  <c r="AJ14" i="6"/>
  <c r="AI14" i="6"/>
  <c r="AH14" i="6"/>
  <c r="AG14" i="6"/>
  <c r="AF14" i="6"/>
  <c r="AE14" i="6"/>
  <c r="AD14" i="6"/>
  <c r="AC14" i="6"/>
  <c r="AB14" i="6"/>
  <c r="AA14" i="6"/>
  <c r="Z14" i="6"/>
  <c r="Y14" i="6"/>
  <c r="X14" i="6"/>
  <c r="W14" i="6"/>
  <c r="V14" i="6"/>
  <c r="U14" i="6"/>
  <c r="T14" i="6"/>
  <c r="S14" i="6"/>
  <c r="R14" i="6"/>
  <c r="Q14" i="6"/>
  <c r="P14" i="6"/>
  <c r="O14" i="6"/>
  <c r="N14" i="6"/>
  <c r="M14" i="6"/>
  <c r="L14" i="6"/>
  <c r="K14" i="6"/>
  <c r="J14" i="6"/>
  <c r="I14" i="6"/>
  <c r="H14" i="6"/>
  <c r="G14" i="6"/>
  <c r="F14" i="6"/>
  <c r="DA13" i="6"/>
  <c r="CZ13" i="6"/>
  <c r="CY13" i="6"/>
  <c r="CX13" i="6"/>
  <c r="CW13" i="6"/>
  <c r="CV13" i="6"/>
  <c r="CU13" i="6"/>
  <c r="CT13" i="6"/>
  <c r="CS13" i="6"/>
  <c r="CR13" i="6"/>
  <c r="CQ13" i="6"/>
  <c r="CP13" i="6"/>
  <c r="CO13" i="6"/>
  <c r="CN13" i="6"/>
  <c r="CM13" i="6"/>
  <c r="CL13" i="6"/>
  <c r="CK13" i="6"/>
  <c r="CJ13" i="6"/>
  <c r="CI13" i="6"/>
  <c r="CH13" i="6"/>
  <c r="CG13" i="6"/>
  <c r="CF13" i="6"/>
  <c r="CE13" i="6"/>
  <c r="CD13" i="6"/>
  <c r="CC13" i="6"/>
  <c r="CB13" i="6"/>
  <c r="CA13" i="6"/>
  <c r="BZ13" i="6"/>
  <c r="BY13" i="6"/>
  <c r="BX13" i="6"/>
  <c r="BW13" i="6"/>
  <c r="BV13" i="6"/>
  <c r="BU13" i="6"/>
  <c r="BT13" i="6"/>
  <c r="BS13" i="6"/>
  <c r="BR13" i="6"/>
  <c r="BQ13" i="6"/>
  <c r="BP13" i="6"/>
  <c r="BO13" i="6"/>
  <c r="BN13" i="6"/>
  <c r="BM13" i="6"/>
  <c r="BL13" i="6"/>
  <c r="BK13" i="6"/>
  <c r="BJ13" i="6"/>
  <c r="BI13" i="6"/>
  <c r="BH13" i="6"/>
  <c r="BG13" i="6"/>
  <c r="BF13" i="6"/>
  <c r="BE13" i="6"/>
  <c r="BD13" i="6"/>
  <c r="BC13" i="6"/>
  <c r="BB13" i="6"/>
  <c r="BA13" i="6"/>
  <c r="AZ13" i="6"/>
  <c r="AY13" i="6"/>
  <c r="AX13" i="6"/>
  <c r="AW13" i="6"/>
  <c r="AV13" i="6"/>
  <c r="AU13" i="6"/>
  <c r="AT13" i="6"/>
  <c r="AS13" i="6"/>
  <c r="AR13" i="6"/>
  <c r="AQ13" i="6"/>
  <c r="AP13" i="6"/>
  <c r="AO13" i="6"/>
  <c r="AN13" i="6"/>
  <c r="AM13" i="6"/>
  <c r="AL13" i="6"/>
  <c r="AK13" i="6"/>
  <c r="AJ13" i="6"/>
  <c r="AI13" i="6"/>
  <c r="AH13" i="6"/>
  <c r="AG13" i="6"/>
  <c r="AF13" i="6"/>
  <c r="AE13" i="6"/>
  <c r="AD13" i="6"/>
  <c r="AC13" i="6"/>
  <c r="AB13" i="6"/>
  <c r="AA13" i="6"/>
  <c r="Z13" i="6"/>
  <c r="Y13" i="6"/>
  <c r="X13" i="6"/>
  <c r="W13" i="6"/>
  <c r="V13" i="6"/>
  <c r="U13" i="6"/>
  <c r="T13" i="6"/>
  <c r="S13" i="6"/>
  <c r="R13" i="6"/>
  <c r="Q13" i="6"/>
  <c r="P13" i="6"/>
  <c r="O13" i="6"/>
  <c r="N13" i="6"/>
  <c r="M13" i="6"/>
  <c r="L13" i="6"/>
  <c r="K13" i="6"/>
  <c r="J13" i="6"/>
  <c r="I13" i="6"/>
  <c r="H13" i="6"/>
  <c r="G13" i="6"/>
  <c r="F13" i="6"/>
  <c r="DA12" i="6"/>
  <c r="CZ12" i="6"/>
  <c r="CY12" i="6"/>
  <c r="CX12" i="6"/>
  <c r="CW12" i="6"/>
  <c r="CV12" i="6"/>
  <c r="CU12" i="6"/>
  <c r="CT12" i="6"/>
  <c r="CS12" i="6"/>
  <c r="CR12" i="6"/>
  <c r="CQ12" i="6"/>
  <c r="CP12" i="6"/>
  <c r="CO12" i="6"/>
  <c r="CN12" i="6"/>
  <c r="CM12" i="6"/>
  <c r="CL12" i="6"/>
  <c r="CK12" i="6"/>
  <c r="CJ12" i="6"/>
  <c r="CI12" i="6"/>
  <c r="CH12" i="6"/>
  <c r="CG12" i="6"/>
  <c r="CF12" i="6"/>
  <c r="CE12" i="6"/>
  <c r="CD12" i="6"/>
  <c r="CC12" i="6"/>
  <c r="CB12" i="6"/>
  <c r="CA12" i="6"/>
  <c r="BZ12" i="6"/>
  <c r="BY12" i="6"/>
  <c r="BX12" i="6"/>
  <c r="BW12" i="6"/>
  <c r="BV12" i="6"/>
  <c r="BU12" i="6"/>
  <c r="BT12" i="6"/>
  <c r="BS12" i="6"/>
  <c r="BR12" i="6"/>
  <c r="BQ12" i="6"/>
  <c r="BP12" i="6"/>
  <c r="BO12" i="6"/>
  <c r="BN12" i="6"/>
  <c r="BM12" i="6"/>
  <c r="BL12" i="6"/>
  <c r="BK12" i="6"/>
  <c r="BJ12" i="6"/>
  <c r="BI12" i="6"/>
  <c r="BH12" i="6"/>
  <c r="BG12" i="6"/>
  <c r="BF12" i="6"/>
  <c r="BE12" i="6"/>
  <c r="BD12" i="6"/>
  <c r="BC12" i="6"/>
  <c r="BB12" i="6"/>
  <c r="BA12" i="6"/>
  <c r="AZ12" i="6"/>
  <c r="AY12" i="6"/>
  <c r="AX12" i="6"/>
  <c r="AW12" i="6"/>
  <c r="AV12" i="6"/>
  <c r="AU12" i="6"/>
  <c r="AT12" i="6"/>
  <c r="AS12" i="6"/>
  <c r="AR12" i="6"/>
  <c r="AQ12" i="6"/>
  <c r="AP12" i="6"/>
  <c r="AO12" i="6"/>
  <c r="AN12" i="6"/>
  <c r="AM12" i="6"/>
  <c r="AL12" i="6"/>
  <c r="AK12" i="6"/>
  <c r="AJ12" i="6"/>
  <c r="AI12" i="6"/>
  <c r="AH12" i="6"/>
  <c r="AG12" i="6"/>
  <c r="AF12" i="6"/>
  <c r="AE12" i="6"/>
  <c r="AD12" i="6"/>
  <c r="AC12" i="6"/>
  <c r="AB12" i="6"/>
  <c r="AA12" i="6"/>
  <c r="Z12" i="6"/>
  <c r="Y12" i="6"/>
  <c r="X12" i="6"/>
  <c r="W12" i="6"/>
  <c r="V12" i="6"/>
  <c r="U12" i="6"/>
  <c r="T12" i="6"/>
  <c r="S12" i="6"/>
  <c r="R12" i="6"/>
  <c r="Q12" i="6"/>
  <c r="P12" i="6"/>
  <c r="O12" i="6"/>
  <c r="N12" i="6"/>
  <c r="M12" i="6"/>
  <c r="L12" i="6"/>
  <c r="K12" i="6"/>
  <c r="J12" i="6"/>
  <c r="I12" i="6"/>
  <c r="H12" i="6"/>
  <c r="G12" i="6"/>
  <c r="F12" i="6"/>
  <c r="DA11" i="6"/>
  <c r="CZ11" i="6"/>
  <c r="CY11" i="6"/>
  <c r="CX11" i="6"/>
  <c r="CW11" i="6"/>
  <c r="CV11" i="6"/>
  <c r="CU11" i="6"/>
  <c r="CT11" i="6"/>
  <c r="CS11" i="6"/>
  <c r="CR11" i="6"/>
  <c r="CQ11" i="6"/>
  <c r="CP11" i="6"/>
  <c r="CO11" i="6"/>
  <c r="CN11" i="6"/>
  <c r="CM11" i="6"/>
  <c r="CL11" i="6"/>
  <c r="CK11" i="6"/>
  <c r="CJ11" i="6"/>
  <c r="CI11" i="6"/>
  <c r="CH11" i="6"/>
  <c r="CG11" i="6"/>
  <c r="CF11" i="6"/>
  <c r="CE11" i="6"/>
  <c r="CD11" i="6"/>
  <c r="CC11" i="6"/>
  <c r="CB11" i="6"/>
  <c r="CA11" i="6"/>
  <c r="BZ11" i="6"/>
  <c r="BY11" i="6"/>
  <c r="BX11" i="6"/>
  <c r="BW11" i="6"/>
  <c r="BV11" i="6"/>
  <c r="BU11" i="6"/>
  <c r="BT11" i="6"/>
  <c r="BS11" i="6"/>
  <c r="BR11" i="6"/>
  <c r="BQ11" i="6"/>
  <c r="BP11" i="6"/>
  <c r="BO11" i="6"/>
  <c r="BN11" i="6"/>
  <c r="BM11" i="6"/>
  <c r="BL11" i="6"/>
  <c r="BK11" i="6"/>
  <c r="BJ11" i="6"/>
  <c r="BI11" i="6"/>
  <c r="BH11" i="6"/>
  <c r="BG11" i="6"/>
  <c r="BF11" i="6"/>
  <c r="BE11" i="6"/>
  <c r="BD11" i="6"/>
  <c r="BC11" i="6"/>
  <c r="BB11" i="6"/>
  <c r="BA11" i="6"/>
  <c r="AZ11" i="6"/>
  <c r="AY11" i="6"/>
  <c r="AX11" i="6"/>
  <c r="AW11" i="6"/>
  <c r="AV11" i="6"/>
  <c r="AU11" i="6"/>
  <c r="AT11" i="6"/>
  <c r="AS11" i="6"/>
  <c r="AR11" i="6"/>
  <c r="AQ11" i="6"/>
  <c r="AP11" i="6"/>
  <c r="AO11" i="6"/>
  <c r="AN11" i="6"/>
  <c r="AM11" i="6"/>
  <c r="AL11" i="6"/>
  <c r="AK11" i="6"/>
  <c r="AJ11" i="6"/>
  <c r="AI11" i="6"/>
  <c r="AH11" i="6"/>
  <c r="AG11" i="6"/>
  <c r="AF11" i="6"/>
  <c r="AE11" i="6"/>
  <c r="AD11" i="6"/>
  <c r="AC11" i="6"/>
  <c r="AB11" i="6"/>
  <c r="AA11" i="6"/>
  <c r="Z11" i="6"/>
  <c r="Y11" i="6"/>
  <c r="X11" i="6"/>
  <c r="W11" i="6"/>
  <c r="V11" i="6"/>
  <c r="U11" i="6"/>
  <c r="T11" i="6"/>
  <c r="S11" i="6"/>
  <c r="R11" i="6"/>
  <c r="Q11" i="6"/>
  <c r="P11" i="6"/>
  <c r="O11" i="6"/>
  <c r="N11" i="6"/>
  <c r="M11" i="6"/>
  <c r="L11" i="6"/>
  <c r="K11" i="6"/>
  <c r="J11" i="6"/>
  <c r="I11" i="6"/>
  <c r="H11" i="6"/>
  <c r="G11" i="6"/>
  <c r="F11" i="6"/>
  <c r="DA10" i="6"/>
  <c r="CZ10" i="6"/>
  <c r="CY10" i="6"/>
  <c r="CX10" i="6"/>
  <c r="CW10" i="6"/>
  <c r="CV10" i="6"/>
  <c r="CU10" i="6"/>
  <c r="CT10" i="6"/>
  <c r="CS10" i="6"/>
  <c r="CR10" i="6"/>
  <c r="CQ10" i="6"/>
  <c r="CP10" i="6"/>
  <c r="CO10" i="6"/>
  <c r="CN10" i="6"/>
  <c r="CM10" i="6"/>
  <c r="CL10" i="6"/>
  <c r="CK10" i="6"/>
  <c r="CJ10" i="6"/>
  <c r="CI10" i="6"/>
  <c r="CH10" i="6"/>
  <c r="CG10" i="6"/>
  <c r="CF10" i="6"/>
  <c r="CE10" i="6"/>
  <c r="CD10" i="6"/>
  <c r="CC10" i="6"/>
  <c r="CB10" i="6"/>
  <c r="CA10" i="6"/>
  <c r="BZ10" i="6"/>
  <c r="BY10" i="6"/>
  <c r="BX10" i="6"/>
  <c r="BW10" i="6"/>
  <c r="BV10" i="6"/>
  <c r="BU10" i="6"/>
  <c r="BT10" i="6"/>
  <c r="BS10" i="6"/>
  <c r="BR10" i="6"/>
  <c r="BQ10" i="6"/>
  <c r="BP10" i="6"/>
  <c r="BO10" i="6"/>
  <c r="BN10" i="6"/>
  <c r="BM10" i="6"/>
  <c r="BL10" i="6"/>
  <c r="BK10" i="6"/>
  <c r="BJ10" i="6"/>
  <c r="BI10" i="6"/>
  <c r="BH10" i="6"/>
  <c r="BG10" i="6"/>
  <c r="BF10" i="6"/>
  <c r="BE10" i="6"/>
  <c r="BD10" i="6"/>
  <c r="BC10" i="6"/>
  <c r="BB10" i="6"/>
  <c r="BA10" i="6"/>
  <c r="AZ10" i="6"/>
  <c r="AY10" i="6"/>
  <c r="AX10" i="6"/>
  <c r="AW10" i="6"/>
  <c r="AV10" i="6"/>
  <c r="AU10" i="6"/>
  <c r="AT10" i="6"/>
  <c r="AS10" i="6"/>
  <c r="AR10" i="6"/>
  <c r="AQ10" i="6"/>
  <c r="AP10" i="6"/>
  <c r="AO10" i="6"/>
  <c r="AN10" i="6"/>
  <c r="AM10" i="6"/>
  <c r="AL10" i="6"/>
  <c r="AK10" i="6"/>
  <c r="AJ10" i="6"/>
  <c r="AI10" i="6"/>
  <c r="AH10" i="6"/>
  <c r="AG10" i="6"/>
  <c r="AF10" i="6"/>
  <c r="AE10" i="6"/>
  <c r="AD10" i="6"/>
  <c r="AC10" i="6"/>
  <c r="AB10" i="6"/>
  <c r="AA10" i="6"/>
  <c r="Z10" i="6"/>
  <c r="Y10" i="6"/>
  <c r="X10" i="6"/>
  <c r="W10" i="6"/>
  <c r="V10" i="6"/>
  <c r="U10" i="6"/>
  <c r="T10" i="6"/>
  <c r="S10" i="6"/>
  <c r="R10" i="6"/>
  <c r="Q10" i="6"/>
  <c r="P10" i="6"/>
  <c r="O10" i="6"/>
  <c r="N10" i="6"/>
  <c r="M10" i="6"/>
  <c r="L10" i="6"/>
  <c r="K10" i="6"/>
  <c r="J10" i="6"/>
  <c r="I10" i="6"/>
  <c r="H10" i="6"/>
  <c r="G10" i="6"/>
  <c r="F10" i="6"/>
  <c r="DA9" i="6"/>
  <c r="CZ9" i="6"/>
  <c r="CY9" i="6"/>
  <c r="CX9" i="6"/>
  <c r="CW9" i="6"/>
  <c r="CV9" i="6"/>
  <c r="CU9" i="6"/>
  <c r="CT9" i="6"/>
  <c r="CS9" i="6"/>
  <c r="CR9" i="6"/>
  <c r="CQ9" i="6"/>
  <c r="CP9" i="6"/>
  <c r="CO9" i="6"/>
  <c r="CN9" i="6"/>
  <c r="CM9" i="6"/>
  <c r="CL9" i="6"/>
  <c r="CK9" i="6"/>
  <c r="CJ9" i="6"/>
  <c r="CI9" i="6"/>
  <c r="CH9" i="6"/>
  <c r="CG9" i="6"/>
  <c r="CF9" i="6"/>
  <c r="CE9" i="6"/>
  <c r="CD9" i="6"/>
  <c r="CC9" i="6"/>
  <c r="CB9" i="6"/>
  <c r="CA9" i="6"/>
  <c r="BZ9" i="6"/>
  <c r="BY9" i="6"/>
  <c r="BX9" i="6"/>
  <c r="BW9" i="6"/>
  <c r="BV9" i="6"/>
  <c r="BU9" i="6"/>
  <c r="BT9" i="6"/>
  <c r="BS9" i="6"/>
  <c r="BR9" i="6"/>
  <c r="BQ9" i="6"/>
  <c r="BP9" i="6"/>
  <c r="BO9" i="6"/>
  <c r="BN9" i="6"/>
  <c r="BM9" i="6"/>
  <c r="BL9" i="6"/>
  <c r="BK9" i="6"/>
  <c r="BJ9" i="6"/>
  <c r="BI9" i="6"/>
  <c r="BH9" i="6"/>
  <c r="BG9" i="6"/>
  <c r="BF9" i="6"/>
  <c r="BE9" i="6"/>
  <c r="BD9" i="6"/>
  <c r="BC9" i="6"/>
  <c r="BB9" i="6"/>
  <c r="BA9" i="6"/>
  <c r="AZ9" i="6"/>
  <c r="AY9" i="6"/>
  <c r="AX9" i="6"/>
  <c r="AW9" i="6"/>
  <c r="AV9" i="6"/>
  <c r="AU9" i="6"/>
  <c r="AT9" i="6"/>
  <c r="AS9" i="6"/>
  <c r="AR9" i="6"/>
  <c r="AQ9" i="6"/>
  <c r="AP9" i="6"/>
  <c r="AO9" i="6"/>
  <c r="AN9" i="6"/>
  <c r="AM9" i="6"/>
  <c r="AL9" i="6"/>
  <c r="AK9" i="6"/>
  <c r="AJ9" i="6"/>
  <c r="AI9" i="6"/>
  <c r="AH9" i="6"/>
  <c r="AG9" i="6"/>
  <c r="AF9" i="6"/>
  <c r="AE9" i="6"/>
  <c r="AD9" i="6"/>
  <c r="AC9" i="6"/>
  <c r="AB9" i="6"/>
  <c r="AA9" i="6"/>
  <c r="Z9" i="6"/>
  <c r="Y9" i="6"/>
  <c r="X9" i="6"/>
  <c r="W9" i="6"/>
  <c r="V9" i="6"/>
  <c r="U9" i="6"/>
  <c r="T9" i="6"/>
  <c r="S9" i="6"/>
  <c r="R9" i="6"/>
  <c r="Q9" i="6"/>
  <c r="P9" i="6"/>
  <c r="O9" i="6"/>
  <c r="N9" i="6"/>
  <c r="M9" i="6"/>
  <c r="L9" i="6"/>
  <c r="K9" i="6"/>
  <c r="J9" i="6"/>
  <c r="I9" i="6"/>
  <c r="H9" i="6"/>
  <c r="G9" i="6"/>
  <c r="F9" i="6"/>
  <c r="DA8" i="6"/>
  <c r="CZ8" i="6"/>
  <c r="CY8" i="6"/>
  <c r="CX8" i="6"/>
  <c r="CW8" i="6"/>
  <c r="CV8" i="6"/>
  <c r="CU8" i="6"/>
  <c r="CT8" i="6"/>
  <c r="CS8" i="6"/>
  <c r="CR8" i="6"/>
  <c r="CQ8" i="6"/>
  <c r="CP8" i="6"/>
  <c r="CO8" i="6"/>
  <c r="CN8" i="6"/>
  <c r="CM8" i="6"/>
  <c r="CL8" i="6"/>
  <c r="CK8" i="6"/>
  <c r="CJ8" i="6"/>
  <c r="CI8" i="6"/>
  <c r="CH8" i="6"/>
  <c r="CG8" i="6"/>
  <c r="CF8" i="6"/>
  <c r="CE8" i="6"/>
  <c r="CD8" i="6"/>
  <c r="CC8" i="6"/>
  <c r="CB8" i="6"/>
  <c r="CA8" i="6"/>
  <c r="BZ8" i="6"/>
  <c r="BY8" i="6"/>
  <c r="BX8" i="6"/>
  <c r="BW8" i="6"/>
  <c r="BV8" i="6"/>
  <c r="BU8" i="6"/>
  <c r="BT8" i="6"/>
  <c r="BS8" i="6"/>
  <c r="BR8" i="6"/>
  <c r="BQ8" i="6"/>
  <c r="BP8" i="6"/>
  <c r="BO8" i="6"/>
  <c r="BN8" i="6"/>
  <c r="BM8" i="6"/>
  <c r="BL8" i="6"/>
  <c r="BK8" i="6"/>
  <c r="BJ8" i="6"/>
  <c r="BI8" i="6"/>
  <c r="BH8" i="6"/>
  <c r="BG8" i="6"/>
  <c r="BF8" i="6"/>
  <c r="BE8" i="6"/>
  <c r="BD8" i="6"/>
  <c r="BC8" i="6"/>
  <c r="BB8" i="6"/>
  <c r="BA8" i="6"/>
  <c r="AZ8" i="6"/>
  <c r="AY8" i="6"/>
  <c r="AX8" i="6"/>
  <c r="AW8" i="6"/>
  <c r="AV8" i="6"/>
  <c r="AU8" i="6"/>
  <c r="AT8" i="6"/>
  <c r="AS8" i="6"/>
  <c r="AR8" i="6"/>
  <c r="AQ8" i="6"/>
  <c r="AP8" i="6"/>
  <c r="AO8" i="6"/>
  <c r="AN8" i="6"/>
  <c r="AM8" i="6"/>
  <c r="AL8" i="6"/>
  <c r="AK8" i="6"/>
  <c r="AJ8" i="6"/>
  <c r="AI8" i="6"/>
  <c r="AH8" i="6"/>
  <c r="AG8" i="6"/>
  <c r="AF8" i="6"/>
  <c r="AE8" i="6"/>
  <c r="AD8" i="6"/>
  <c r="AC8" i="6"/>
  <c r="AB8" i="6"/>
  <c r="AA8" i="6"/>
  <c r="Z8" i="6"/>
  <c r="Y8" i="6"/>
  <c r="X8" i="6"/>
  <c r="W8" i="6"/>
  <c r="V8" i="6"/>
  <c r="U8" i="6"/>
  <c r="T8" i="6"/>
  <c r="S8" i="6"/>
  <c r="R8" i="6"/>
  <c r="Q8" i="6"/>
  <c r="P8" i="6"/>
  <c r="O8" i="6"/>
  <c r="N8" i="6"/>
  <c r="M8" i="6"/>
  <c r="L8" i="6"/>
  <c r="K8" i="6"/>
  <c r="J8" i="6"/>
  <c r="I8" i="6"/>
  <c r="H8" i="6"/>
  <c r="G8" i="6"/>
  <c r="F8" i="6"/>
  <c r="DA7" i="6"/>
  <c r="CZ7" i="6"/>
  <c r="CY7" i="6"/>
  <c r="CX7" i="6"/>
  <c r="CW7" i="6"/>
  <c r="CV7" i="6"/>
  <c r="CU7" i="6"/>
  <c r="CT7" i="6"/>
  <c r="CS7" i="6"/>
  <c r="CR7" i="6"/>
  <c r="CQ7" i="6"/>
  <c r="CP7" i="6"/>
  <c r="CO7" i="6"/>
  <c r="CN7" i="6"/>
  <c r="CM7" i="6"/>
  <c r="CL7" i="6"/>
  <c r="CK7" i="6"/>
  <c r="CJ7" i="6"/>
  <c r="CI7" i="6"/>
  <c r="CH7" i="6"/>
  <c r="CG7" i="6"/>
  <c r="CF7" i="6"/>
  <c r="CE7" i="6"/>
  <c r="CD7" i="6"/>
  <c r="CC7" i="6"/>
  <c r="CB7" i="6"/>
  <c r="CA7" i="6"/>
  <c r="BZ7" i="6"/>
  <c r="BY7" i="6"/>
  <c r="BX7" i="6"/>
  <c r="BW7" i="6"/>
  <c r="BV7" i="6"/>
  <c r="BU7" i="6"/>
  <c r="BT7" i="6"/>
  <c r="BS7" i="6"/>
  <c r="BR7" i="6"/>
  <c r="BQ7" i="6"/>
  <c r="BP7" i="6"/>
  <c r="BO7" i="6"/>
  <c r="BN7" i="6"/>
  <c r="BM7" i="6"/>
  <c r="BL7" i="6"/>
  <c r="BK7" i="6"/>
  <c r="BJ7" i="6"/>
  <c r="BI7" i="6"/>
  <c r="BH7" i="6"/>
  <c r="BG7" i="6"/>
  <c r="BF7" i="6"/>
  <c r="BE7" i="6"/>
  <c r="BD7" i="6"/>
  <c r="BC7" i="6"/>
  <c r="BB7" i="6"/>
  <c r="BA7" i="6"/>
  <c r="AZ7" i="6"/>
  <c r="AY7" i="6"/>
  <c r="AX7" i="6"/>
  <c r="AW7" i="6"/>
  <c r="AV7" i="6"/>
  <c r="AU7" i="6"/>
  <c r="AT7" i="6"/>
  <c r="AS7" i="6"/>
  <c r="AR7" i="6"/>
  <c r="AQ7" i="6"/>
  <c r="AP7" i="6"/>
  <c r="AO7" i="6"/>
  <c r="AN7" i="6"/>
  <c r="AM7" i="6"/>
  <c r="AL7" i="6"/>
  <c r="AK7" i="6"/>
  <c r="AJ7" i="6"/>
  <c r="AI7" i="6"/>
  <c r="AH7" i="6"/>
  <c r="AG7" i="6"/>
  <c r="AF7" i="6"/>
  <c r="AE7" i="6"/>
  <c r="AD7" i="6"/>
  <c r="AC7" i="6"/>
  <c r="AB7" i="6"/>
  <c r="AA7" i="6"/>
  <c r="Z7" i="6"/>
  <c r="Y7" i="6"/>
  <c r="X7" i="6"/>
  <c r="W7" i="6"/>
  <c r="V7" i="6"/>
  <c r="U7" i="6"/>
  <c r="T7" i="6"/>
  <c r="S7" i="6"/>
  <c r="R7" i="6"/>
  <c r="Q7" i="6"/>
  <c r="P7" i="6"/>
  <c r="O7" i="6"/>
  <c r="N7" i="6"/>
  <c r="M7" i="6"/>
  <c r="L7" i="6"/>
  <c r="K7" i="6"/>
  <c r="J7" i="6"/>
  <c r="I7" i="6"/>
  <c r="H7" i="6"/>
  <c r="G7" i="6"/>
  <c r="F7" i="6"/>
  <c r="DA6" i="6"/>
  <c r="CZ6" i="6"/>
  <c r="CY6" i="6"/>
  <c r="CX6" i="6"/>
  <c r="CW6" i="6"/>
  <c r="CV6" i="6"/>
  <c r="CU6" i="6"/>
  <c r="CT6" i="6"/>
  <c r="CS6" i="6"/>
  <c r="CR6" i="6"/>
  <c r="CQ6" i="6"/>
  <c r="CP6" i="6"/>
  <c r="CO6" i="6"/>
  <c r="CN6" i="6"/>
  <c r="CM6" i="6"/>
  <c r="CL6" i="6"/>
  <c r="CK6" i="6"/>
  <c r="CJ6" i="6"/>
  <c r="CI6" i="6"/>
  <c r="CH6" i="6"/>
  <c r="CG6" i="6"/>
  <c r="CF6" i="6"/>
  <c r="CE6" i="6"/>
  <c r="CD6" i="6"/>
  <c r="CC6" i="6"/>
  <c r="CB6" i="6"/>
  <c r="CA6" i="6"/>
  <c r="BZ6" i="6"/>
  <c r="BY6" i="6"/>
  <c r="BX6" i="6"/>
  <c r="BW6" i="6"/>
  <c r="BV6" i="6"/>
  <c r="BU6" i="6"/>
  <c r="BT6" i="6"/>
  <c r="BS6" i="6"/>
  <c r="BR6" i="6"/>
  <c r="BQ6" i="6"/>
  <c r="BP6" i="6"/>
  <c r="BO6" i="6"/>
  <c r="BN6" i="6"/>
  <c r="BM6" i="6"/>
  <c r="BL6" i="6"/>
  <c r="BK6" i="6"/>
  <c r="BJ6" i="6"/>
  <c r="BI6" i="6"/>
  <c r="BH6" i="6"/>
  <c r="BG6" i="6"/>
  <c r="BF6" i="6"/>
  <c r="BE6" i="6"/>
  <c r="BD6" i="6"/>
  <c r="BC6" i="6"/>
  <c r="BB6" i="6"/>
  <c r="BA6" i="6"/>
  <c r="AZ6" i="6"/>
  <c r="AY6" i="6"/>
  <c r="AX6" i="6"/>
  <c r="AW6" i="6"/>
  <c r="AV6" i="6"/>
  <c r="AU6" i="6"/>
  <c r="AT6" i="6"/>
  <c r="AS6" i="6"/>
  <c r="AR6" i="6"/>
  <c r="AQ6" i="6"/>
  <c r="AP6" i="6"/>
  <c r="AO6" i="6"/>
  <c r="AN6" i="6"/>
  <c r="AM6" i="6"/>
  <c r="AL6" i="6"/>
  <c r="AK6" i="6"/>
  <c r="AJ6" i="6"/>
  <c r="AI6" i="6"/>
  <c r="AH6" i="6"/>
  <c r="AG6" i="6"/>
  <c r="AF6" i="6"/>
  <c r="AE6" i="6"/>
  <c r="AD6" i="6"/>
  <c r="AC6" i="6"/>
  <c r="AB6" i="6"/>
  <c r="AA6" i="6"/>
  <c r="Z6" i="6"/>
  <c r="Y6" i="6"/>
  <c r="X6" i="6"/>
  <c r="W6" i="6"/>
  <c r="V6" i="6"/>
  <c r="U6" i="6"/>
  <c r="T6" i="6"/>
  <c r="S6" i="6"/>
  <c r="R6" i="6"/>
  <c r="Q6" i="6"/>
  <c r="P6" i="6"/>
  <c r="O6" i="6"/>
  <c r="N6" i="6"/>
  <c r="M6" i="6"/>
  <c r="L6" i="6"/>
  <c r="K6" i="6"/>
  <c r="J6" i="6"/>
  <c r="I6" i="6"/>
  <c r="H6" i="6"/>
  <c r="G6" i="6"/>
  <c r="F6" i="6"/>
  <c r="DA5" i="6"/>
  <c r="CZ5" i="6"/>
  <c r="CY5" i="6"/>
  <c r="CX5" i="6"/>
  <c r="CW5" i="6"/>
  <c r="CV5" i="6"/>
  <c r="CU5" i="6"/>
  <c r="CT5" i="6"/>
  <c r="CS5" i="6"/>
  <c r="CR5" i="6"/>
  <c r="CQ5" i="6"/>
  <c r="CP5" i="6"/>
  <c r="CO5" i="6"/>
  <c r="CN5" i="6"/>
  <c r="CM5" i="6"/>
  <c r="CL5" i="6"/>
  <c r="CK5" i="6"/>
  <c r="CJ5" i="6"/>
  <c r="CI5" i="6"/>
  <c r="CH5" i="6"/>
  <c r="CG5" i="6"/>
  <c r="CF5" i="6"/>
  <c r="CE5" i="6"/>
  <c r="CD5" i="6"/>
  <c r="CC5" i="6"/>
  <c r="CB5" i="6"/>
  <c r="CA5" i="6"/>
  <c r="BZ5" i="6"/>
  <c r="BY5" i="6"/>
  <c r="BX5" i="6"/>
  <c r="BW5" i="6"/>
  <c r="BV5" i="6"/>
  <c r="BU5" i="6"/>
  <c r="BT5" i="6"/>
  <c r="BS5" i="6"/>
  <c r="BR5" i="6"/>
  <c r="BQ5" i="6"/>
  <c r="BP5" i="6"/>
  <c r="BO5" i="6"/>
  <c r="BN5" i="6"/>
  <c r="BM5" i="6"/>
  <c r="BL5" i="6"/>
  <c r="BK5" i="6"/>
  <c r="BJ5" i="6"/>
  <c r="BI5" i="6"/>
  <c r="BH5" i="6"/>
  <c r="BG5" i="6"/>
  <c r="BF5" i="6"/>
  <c r="BE5" i="6"/>
  <c r="BD5" i="6"/>
  <c r="BC5" i="6"/>
  <c r="BB5" i="6"/>
  <c r="BA5" i="6"/>
  <c r="AZ5" i="6"/>
  <c r="AY5" i="6"/>
  <c r="AX5" i="6"/>
  <c r="AW5" i="6"/>
  <c r="AV5" i="6"/>
  <c r="AU5" i="6"/>
  <c r="AT5" i="6"/>
  <c r="AS5" i="6"/>
  <c r="AR5" i="6"/>
  <c r="AQ5" i="6"/>
  <c r="AP5" i="6"/>
  <c r="AO5" i="6"/>
  <c r="AN5" i="6"/>
  <c r="AM5" i="6"/>
  <c r="AL5" i="6"/>
  <c r="AK5" i="6"/>
  <c r="AJ5" i="6"/>
  <c r="AI5" i="6"/>
  <c r="AH5" i="6"/>
  <c r="AG5" i="6"/>
  <c r="AF5" i="6"/>
  <c r="AE5" i="6"/>
  <c r="AD5" i="6"/>
  <c r="AC5" i="6"/>
  <c r="AB5" i="6"/>
  <c r="AA5" i="6"/>
  <c r="Z5" i="6"/>
  <c r="Y5" i="6"/>
  <c r="X5" i="6"/>
  <c r="W5" i="6"/>
  <c r="V5" i="6"/>
  <c r="U5" i="6"/>
  <c r="T5" i="6"/>
  <c r="S5" i="6"/>
  <c r="R5" i="6"/>
  <c r="Q5" i="6"/>
  <c r="P5" i="6"/>
  <c r="O5" i="6"/>
  <c r="N5" i="6"/>
  <c r="M5" i="6"/>
  <c r="L5" i="6"/>
  <c r="K5" i="6"/>
  <c r="J5" i="6"/>
  <c r="I5" i="6"/>
  <c r="H5" i="6"/>
  <c r="G5" i="6"/>
  <c r="F5" i="6"/>
  <c r="DA4" i="6"/>
  <c r="CZ4" i="6"/>
  <c r="CY4" i="6"/>
  <c r="CX4" i="6"/>
  <c r="CW4" i="6"/>
  <c r="CV4" i="6"/>
  <c r="CU4" i="6"/>
  <c r="CT4" i="6"/>
  <c r="CS4" i="6"/>
  <c r="CR4" i="6"/>
  <c r="CQ4" i="6"/>
  <c r="CP4" i="6"/>
  <c r="CO4" i="6"/>
  <c r="CN4" i="6"/>
  <c r="CM4" i="6"/>
  <c r="CL4" i="6"/>
  <c r="CK4" i="6"/>
  <c r="CJ4" i="6"/>
  <c r="CI4" i="6"/>
  <c r="CH4" i="6"/>
  <c r="CG4" i="6"/>
  <c r="CF4" i="6"/>
  <c r="CE4" i="6"/>
  <c r="CD4" i="6"/>
  <c r="CC4" i="6"/>
  <c r="CB4" i="6"/>
  <c r="CA4" i="6"/>
  <c r="BZ4" i="6"/>
  <c r="BY4" i="6"/>
  <c r="BX4" i="6"/>
  <c r="BW4" i="6"/>
  <c r="BV4" i="6"/>
  <c r="BU4" i="6"/>
  <c r="BT4" i="6"/>
  <c r="BS4" i="6"/>
  <c r="BR4" i="6"/>
  <c r="BQ4" i="6"/>
  <c r="BP4" i="6"/>
  <c r="BO4" i="6"/>
  <c r="BN4" i="6"/>
  <c r="BM4" i="6"/>
  <c r="BL4" i="6"/>
  <c r="BK4" i="6"/>
  <c r="BJ4" i="6"/>
  <c r="BI4" i="6"/>
  <c r="BH4" i="6"/>
  <c r="BG4" i="6"/>
  <c r="BF4" i="6"/>
  <c r="BE4" i="6"/>
  <c r="BD4" i="6"/>
  <c r="BC4" i="6"/>
  <c r="BB4" i="6"/>
  <c r="BA4" i="6"/>
  <c r="AZ4" i="6"/>
  <c r="AY4" i="6"/>
  <c r="AX4" i="6"/>
  <c r="AW4" i="6"/>
  <c r="AV4" i="6"/>
  <c r="AU4" i="6"/>
  <c r="AT4" i="6"/>
  <c r="AS4" i="6"/>
  <c r="AR4" i="6"/>
  <c r="AQ4" i="6"/>
  <c r="AP4" i="6"/>
  <c r="AO4" i="6"/>
  <c r="AN4" i="6"/>
  <c r="AM4" i="6"/>
  <c r="AL4" i="6"/>
  <c r="AK4" i="6"/>
  <c r="AJ4" i="6"/>
  <c r="AI4" i="6"/>
  <c r="AH4" i="6"/>
  <c r="AG4" i="6"/>
  <c r="AF4" i="6"/>
  <c r="AE4" i="6"/>
  <c r="AD4" i="6"/>
  <c r="AC4" i="6"/>
  <c r="AB4" i="6"/>
  <c r="AA4" i="6"/>
  <c r="Z4" i="6"/>
  <c r="Y4" i="6"/>
  <c r="X4" i="6"/>
  <c r="W4" i="6"/>
  <c r="V4" i="6"/>
  <c r="U4" i="6"/>
  <c r="T4" i="6"/>
  <c r="S4" i="6"/>
  <c r="R4" i="6"/>
  <c r="Q4" i="6"/>
  <c r="P4" i="6"/>
  <c r="O4" i="6"/>
  <c r="N4" i="6"/>
  <c r="M4" i="6"/>
  <c r="L4" i="6"/>
  <c r="K4" i="6"/>
  <c r="J4" i="6"/>
  <c r="I4" i="6"/>
  <c r="H4" i="6"/>
  <c r="G4" i="6"/>
  <c r="F4" i="6"/>
  <c r="DA3" i="6"/>
  <c r="CZ3" i="6"/>
  <c r="CY3" i="6"/>
  <c r="CX3" i="6"/>
  <c r="CW3" i="6"/>
  <c r="CV3" i="6"/>
  <c r="CU3" i="6"/>
  <c r="CT3" i="6"/>
  <c r="CS3" i="6"/>
  <c r="CR3" i="6"/>
  <c r="CQ3" i="6"/>
  <c r="CP3" i="6"/>
  <c r="CO3" i="6"/>
  <c r="CN3" i="6"/>
  <c r="CM3" i="6"/>
  <c r="CL3" i="6"/>
  <c r="CK3" i="6"/>
  <c r="CJ3" i="6"/>
  <c r="CI3" i="6"/>
  <c r="CH3" i="6"/>
  <c r="CG3" i="6"/>
  <c r="CF3" i="6"/>
  <c r="CE3" i="6"/>
  <c r="CD3" i="6"/>
  <c r="CC3" i="6"/>
  <c r="CB3" i="6"/>
  <c r="CA3" i="6"/>
  <c r="BZ3" i="6"/>
  <c r="BY3" i="6"/>
  <c r="BX3" i="6"/>
  <c r="BW3" i="6"/>
  <c r="BV3" i="6"/>
  <c r="BU3" i="6"/>
  <c r="BT3" i="6"/>
  <c r="BS3" i="6"/>
  <c r="BR3" i="6"/>
  <c r="BQ3" i="6"/>
  <c r="BP3" i="6"/>
  <c r="BO3" i="6"/>
  <c r="BN3" i="6"/>
  <c r="BM3" i="6"/>
  <c r="BL3" i="6"/>
  <c r="BK3" i="6"/>
  <c r="BJ3" i="6"/>
  <c r="BI3" i="6"/>
  <c r="BH3" i="6"/>
  <c r="BG3" i="6"/>
  <c r="BF3" i="6"/>
  <c r="BE3" i="6"/>
  <c r="BD3" i="6"/>
  <c r="BC3" i="6"/>
  <c r="BB3" i="6"/>
  <c r="BA3" i="6"/>
  <c r="AZ3" i="6"/>
  <c r="AY3" i="6"/>
  <c r="AX3" i="6"/>
  <c r="AW3" i="6"/>
  <c r="AV3" i="6"/>
  <c r="AU3" i="6"/>
  <c r="AT3" i="6"/>
  <c r="AS3" i="6"/>
  <c r="AR3" i="6"/>
  <c r="AQ3" i="6"/>
  <c r="AP3" i="6"/>
  <c r="AO3" i="6"/>
  <c r="AN3" i="6"/>
  <c r="AM3" i="6"/>
  <c r="AL3" i="6"/>
  <c r="AK3" i="6"/>
  <c r="AJ3" i="6"/>
  <c r="AI3" i="6"/>
  <c r="AH3" i="6"/>
  <c r="AG3" i="6"/>
  <c r="AF3" i="6"/>
  <c r="AE3" i="6"/>
  <c r="AD3" i="6"/>
  <c r="AC3" i="6"/>
  <c r="AB3" i="6"/>
  <c r="AA3" i="6"/>
  <c r="Z3" i="6"/>
  <c r="Y3" i="6"/>
  <c r="X3" i="6"/>
  <c r="W3" i="6"/>
  <c r="V3" i="6"/>
  <c r="U3" i="6"/>
  <c r="T3" i="6"/>
  <c r="S3" i="6"/>
  <c r="R3" i="6"/>
  <c r="Q3" i="6"/>
  <c r="P3" i="6"/>
  <c r="O3" i="6"/>
  <c r="N3" i="6"/>
  <c r="M3" i="6"/>
  <c r="L3" i="6"/>
  <c r="K3" i="6"/>
  <c r="J3" i="6"/>
  <c r="I3" i="6"/>
  <c r="H3" i="6"/>
  <c r="G3" i="6"/>
  <c r="F3" i="6"/>
  <c r="DA2" i="6"/>
  <c r="CZ2" i="6"/>
  <c r="CY2" i="6"/>
  <c r="CX2" i="6"/>
  <c r="CW2" i="6"/>
  <c r="CV2" i="6"/>
  <c r="CU2" i="6"/>
  <c r="CT2" i="6"/>
  <c r="CS2" i="6"/>
  <c r="CR2" i="6"/>
  <c r="CQ2" i="6"/>
  <c r="CP2" i="6"/>
  <c r="CO2" i="6"/>
  <c r="CN2" i="6"/>
  <c r="CM2" i="6"/>
  <c r="CL2" i="6"/>
  <c r="CK2" i="6"/>
  <c r="CJ2" i="6"/>
  <c r="CI2" i="6"/>
  <c r="CH2" i="6"/>
  <c r="CG2" i="6"/>
  <c r="CF2" i="6"/>
  <c r="CE2" i="6"/>
  <c r="CD2" i="6"/>
  <c r="CC2" i="6"/>
  <c r="CB2" i="6"/>
  <c r="CA2" i="6"/>
  <c r="BZ2" i="6"/>
  <c r="BY2" i="6"/>
  <c r="BX2" i="6"/>
  <c r="BW2" i="6"/>
  <c r="BV2" i="6"/>
  <c r="BU2" i="6"/>
  <c r="BT2" i="6"/>
  <c r="BS2" i="6"/>
  <c r="BR2" i="6"/>
  <c r="BQ2" i="6"/>
  <c r="BP2" i="6"/>
  <c r="BO2" i="6"/>
  <c r="BN2" i="6"/>
  <c r="BM2" i="6"/>
  <c r="BL2" i="6"/>
  <c r="BK2" i="6"/>
  <c r="BJ2" i="6"/>
  <c r="BI2" i="6"/>
  <c r="BH2" i="6"/>
  <c r="BG2" i="6"/>
  <c r="BF2" i="6"/>
  <c r="BE2" i="6"/>
  <c r="BD2" i="6"/>
  <c r="BC2" i="6"/>
  <c r="BB2" i="6"/>
  <c r="BA2" i="6"/>
  <c r="AZ2" i="6"/>
  <c r="AY2" i="6"/>
  <c r="AX2" i="6"/>
  <c r="AW2" i="6"/>
  <c r="AV2" i="6"/>
  <c r="AU2" i="6"/>
  <c r="AT2" i="6"/>
  <c r="AS2" i="6"/>
  <c r="AR2" i="6"/>
  <c r="AQ2" i="6"/>
  <c r="AP2" i="6"/>
  <c r="AO2" i="6"/>
  <c r="AN2" i="6"/>
  <c r="AM2" i="6"/>
  <c r="AL2" i="6"/>
  <c r="AK2" i="6"/>
  <c r="AJ2" i="6"/>
  <c r="AI2" i="6"/>
  <c r="AH2" i="6"/>
  <c r="AG2" i="6"/>
  <c r="AF2" i="6"/>
  <c r="AE2" i="6"/>
  <c r="AD2" i="6"/>
  <c r="AC2" i="6"/>
  <c r="AB2" i="6"/>
  <c r="AA2" i="6"/>
  <c r="Z2" i="6"/>
  <c r="Y2" i="6"/>
  <c r="X2" i="6"/>
  <c r="W2" i="6"/>
  <c r="V2" i="6"/>
  <c r="U2" i="6"/>
  <c r="T2" i="6"/>
  <c r="S2" i="6"/>
  <c r="R2" i="6"/>
  <c r="Q2" i="6"/>
  <c r="P2" i="6"/>
  <c r="O2" i="6"/>
  <c r="N2" i="6"/>
  <c r="M2" i="6"/>
  <c r="L2" i="6"/>
  <c r="K2" i="6"/>
  <c r="J2" i="6"/>
  <c r="I2" i="6"/>
  <c r="H2" i="6"/>
  <c r="G2" i="6"/>
  <c r="F2" i="6"/>
  <c r="B8" i="1" l="1"/>
  <c r="E11" i="5" l="1"/>
  <c r="I11" i="5"/>
  <c r="J11" i="5"/>
  <c r="H11" i="5"/>
  <c r="G11" i="5"/>
  <c r="F11" i="5"/>
  <c r="E2" i="4" l="1"/>
  <c r="E2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C3" i="2"/>
  <c r="AD3" i="2"/>
  <c r="AE3" i="2"/>
  <c r="AF3" i="2"/>
  <c r="AG3" i="2"/>
  <c r="AH3" i="2"/>
  <c r="AI3" i="2"/>
  <c r="AJ3" i="2"/>
  <c r="AK3" i="2"/>
  <c r="AL3" i="2"/>
  <c r="AM3" i="2"/>
  <c r="AN3" i="2"/>
  <c r="AO3" i="2"/>
  <c r="AP3" i="2"/>
  <c r="AQ3" i="2"/>
  <c r="AR3" i="2"/>
  <c r="AS3" i="2"/>
  <c r="AT3" i="2"/>
  <c r="AU3" i="2"/>
  <c r="AV3" i="2"/>
  <c r="AW3" i="2"/>
  <c r="AX3" i="2"/>
  <c r="AY3" i="2"/>
  <c r="AZ3" i="2"/>
  <c r="BA3" i="2"/>
  <c r="BB3" i="2"/>
  <c r="BC3" i="2"/>
  <c r="BD3" i="2"/>
  <c r="BE3" i="2"/>
  <c r="BF3" i="2"/>
  <c r="BG3" i="2"/>
  <c r="BH3" i="2"/>
  <c r="BI3" i="2"/>
  <c r="BJ3" i="2"/>
  <c r="BK3" i="2"/>
  <c r="BL3" i="2"/>
  <c r="BM3" i="2"/>
  <c r="BN3" i="2"/>
  <c r="BO3" i="2"/>
  <c r="BP3" i="2"/>
  <c r="BQ3" i="2"/>
  <c r="BR3" i="2"/>
  <c r="BS3" i="2"/>
  <c r="BT3" i="2"/>
  <c r="BU3" i="2"/>
  <c r="BV3" i="2"/>
  <c r="BW3" i="2"/>
  <c r="BX3" i="2"/>
  <c r="BY3" i="2"/>
  <c r="BZ3" i="2"/>
  <c r="CA3" i="2"/>
  <c r="CB3" i="2"/>
  <c r="CC3" i="2"/>
  <c r="CD3" i="2"/>
  <c r="CE3" i="2"/>
  <c r="CF3" i="2"/>
  <c r="CG3" i="2"/>
  <c r="CH3" i="2"/>
  <c r="CI3" i="2"/>
  <c r="CJ3" i="2"/>
  <c r="CK3" i="2"/>
  <c r="CL3" i="2"/>
  <c r="CM3" i="2"/>
  <c r="CN3" i="2"/>
  <c r="CO3" i="2"/>
  <c r="CP3" i="2"/>
  <c r="CQ3" i="2"/>
  <c r="CR3" i="2"/>
  <c r="CS3" i="2"/>
  <c r="CT3" i="2"/>
  <c r="CU3" i="2"/>
  <c r="CV3" i="2"/>
  <c r="CW3" i="2"/>
  <c r="CX3" i="2"/>
  <c r="CY3" i="2"/>
  <c r="CZ3" i="2"/>
  <c r="DA3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G4" i="2"/>
  <c r="AH4" i="2"/>
  <c r="AI4" i="2"/>
  <c r="AJ4" i="2"/>
  <c r="AK4" i="2"/>
  <c r="AL4" i="2"/>
  <c r="AM4" i="2"/>
  <c r="AN4" i="2"/>
  <c r="AO4" i="2"/>
  <c r="AP4" i="2"/>
  <c r="AQ4" i="2"/>
  <c r="AR4" i="2"/>
  <c r="AS4" i="2"/>
  <c r="AT4" i="2"/>
  <c r="AU4" i="2"/>
  <c r="AV4" i="2"/>
  <c r="AW4" i="2"/>
  <c r="AX4" i="2"/>
  <c r="AY4" i="2"/>
  <c r="AZ4" i="2"/>
  <c r="BA4" i="2"/>
  <c r="BB4" i="2"/>
  <c r="BC4" i="2"/>
  <c r="BD4" i="2"/>
  <c r="BE4" i="2"/>
  <c r="BF4" i="2"/>
  <c r="BG4" i="2"/>
  <c r="BH4" i="2"/>
  <c r="BI4" i="2"/>
  <c r="BJ4" i="2"/>
  <c r="BK4" i="2"/>
  <c r="BL4" i="2"/>
  <c r="BM4" i="2"/>
  <c r="BN4" i="2"/>
  <c r="BO4" i="2"/>
  <c r="BP4" i="2"/>
  <c r="BQ4" i="2"/>
  <c r="BR4" i="2"/>
  <c r="BS4" i="2"/>
  <c r="BT4" i="2"/>
  <c r="BU4" i="2"/>
  <c r="BV4" i="2"/>
  <c r="BW4" i="2"/>
  <c r="BX4" i="2"/>
  <c r="BY4" i="2"/>
  <c r="BZ4" i="2"/>
  <c r="CA4" i="2"/>
  <c r="CB4" i="2"/>
  <c r="CC4" i="2"/>
  <c r="CD4" i="2"/>
  <c r="CE4" i="2"/>
  <c r="CF4" i="2"/>
  <c r="CG4" i="2"/>
  <c r="CH4" i="2"/>
  <c r="CI4" i="2"/>
  <c r="CJ4" i="2"/>
  <c r="CK4" i="2"/>
  <c r="CL4" i="2"/>
  <c r="CM4" i="2"/>
  <c r="CN4" i="2"/>
  <c r="CO4" i="2"/>
  <c r="CP4" i="2"/>
  <c r="CQ4" i="2"/>
  <c r="CR4" i="2"/>
  <c r="CS4" i="2"/>
  <c r="CT4" i="2"/>
  <c r="CU4" i="2"/>
  <c r="CV4" i="2"/>
  <c r="CW4" i="2"/>
  <c r="CX4" i="2"/>
  <c r="CY4" i="2"/>
  <c r="CZ4" i="2"/>
  <c r="DA4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AO5" i="2"/>
  <c r="AP5" i="2"/>
  <c r="AQ5" i="2"/>
  <c r="AR5" i="2"/>
  <c r="AS5" i="2"/>
  <c r="AT5" i="2"/>
  <c r="AU5" i="2"/>
  <c r="AV5" i="2"/>
  <c r="AW5" i="2"/>
  <c r="AX5" i="2"/>
  <c r="AY5" i="2"/>
  <c r="AZ5" i="2"/>
  <c r="BA5" i="2"/>
  <c r="BB5" i="2"/>
  <c r="BC5" i="2"/>
  <c r="BD5" i="2"/>
  <c r="BE5" i="2"/>
  <c r="BF5" i="2"/>
  <c r="BG5" i="2"/>
  <c r="BH5" i="2"/>
  <c r="BI5" i="2"/>
  <c r="BJ5" i="2"/>
  <c r="BK5" i="2"/>
  <c r="BL5" i="2"/>
  <c r="BM5" i="2"/>
  <c r="BN5" i="2"/>
  <c r="BO5" i="2"/>
  <c r="BP5" i="2"/>
  <c r="BQ5" i="2"/>
  <c r="BR5" i="2"/>
  <c r="BS5" i="2"/>
  <c r="BT5" i="2"/>
  <c r="BU5" i="2"/>
  <c r="BV5" i="2"/>
  <c r="BW5" i="2"/>
  <c r="BX5" i="2"/>
  <c r="BY5" i="2"/>
  <c r="BZ5" i="2"/>
  <c r="CA5" i="2"/>
  <c r="CB5" i="2"/>
  <c r="CC5" i="2"/>
  <c r="CD5" i="2"/>
  <c r="CE5" i="2"/>
  <c r="CF5" i="2"/>
  <c r="CG5" i="2"/>
  <c r="CH5" i="2"/>
  <c r="CI5" i="2"/>
  <c r="CJ5" i="2"/>
  <c r="CK5" i="2"/>
  <c r="CL5" i="2"/>
  <c r="CM5" i="2"/>
  <c r="CN5" i="2"/>
  <c r="CO5" i="2"/>
  <c r="CP5" i="2"/>
  <c r="CQ5" i="2"/>
  <c r="CR5" i="2"/>
  <c r="CS5" i="2"/>
  <c r="CT5" i="2"/>
  <c r="CU5" i="2"/>
  <c r="CV5" i="2"/>
  <c r="CW5" i="2"/>
  <c r="CX5" i="2"/>
  <c r="CY5" i="2"/>
  <c r="CZ5" i="2"/>
  <c r="DA5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G6" i="2"/>
  <c r="AH6" i="2"/>
  <c r="AI6" i="2"/>
  <c r="AJ6" i="2"/>
  <c r="AK6" i="2"/>
  <c r="AL6" i="2"/>
  <c r="AM6" i="2"/>
  <c r="AN6" i="2"/>
  <c r="AO6" i="2"/>
  <c r="AP6" i="2"/>
  <c r="AQ6" i="2"/>
  <c r="AR6" i="2"/>
  <c r="AS6" i="2"/>
  <c r="AT6" i="2"/>
  <c r="AU6" i="2"/>
  <c r="AV6" i="2"/>
  <c r="AW6" i="2"/>
  <c r="AX6" i="2"/>
  <c r="AY6" i="2"/>
  <c r="AZ6" i="2"/>
  <c r="BA6" i="2"/>
  <c r="BB6" i="2"/>
  <c r="BC6" i="2"/>
  <c r="BD6" i="2"/>
  <c r="BE6" i="2"/>
  <c r="BF6" i="2"/>
  <c r="BG6" i="2"/>
  <c r="BH6" i="2"/>
  <c r="BI6" i="2"/>
  <c r="BJ6" i="2"/>
  <c r="BK6" i="2"/>
  <c r="BL6" i="2"/>
  <c r="BM6" i="2"/>
  <c r="BN6" i="2"/>
  <c r="BO6" i="2"/>
  <c r="BP6" i="2"/>
  <c r="BQ6" i="2"/>
  <c r="BR6" i="2"/>
  <c r="BS6" i="2"/>
  <c r="BT6" i="2"/>
  <c r="BU6" i="2"/>
  <c r="BV6" i="2"/>
  <c r="BW6" i="2"/>
  <c r="BX6" i="2"/>
  <c r="BY6" i="2"/>
  <c r="BZ6" i="2"/>
  <c r="CA6" i="2"/>
  <c r="CB6" i="2"/>
  <c r="CC6" i="2"/>
  <c r="CD6" i="2"/>
  <c r="CE6" i="2"/>
  <c r="CF6" i="2"/>
  <c r="CG6" i="2"/>
  <c r="CH6" i="2"/>
  <c r="CI6" i="2"/>
  <c r="CJ6" i="2"/>
  <c r="CK6" i="2"/>
  <c r="CL6" i="2"/>
  <c r="CM6" i="2"/>
  <c r="CN6" i="2"/>
  <c r="CO6" i="2"/>
  <c r="CP6" i="2"/>
  <c r="CQ6" i="2"/>
  <c r="CR6" i="2"/>
  <c r="CS6" i="2"/>
  <c r="CT6" i="2"/>
  <c r="CU6" i="2"/>
  <c r="CV6" i="2"/>
  <c r="CW6" i="2"/>
  <c r="CX6" i="2"/>
  <c r="CY6" i="2"/>
  <c r="CZ6" i="2"/>
  <c r="DA6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G7" i="2"/>
  <c r="AH7" i="2"/>
  <c r="AI7" i="2"/>
  <c r="AJ7" i="2"/>
  <c r="AK7" i="2"/>
  <c r="AL7" i="2"/>
  <c r="AM7" i="2"/>
  <c r="AN7" i="2"/>
  <c r="AO7" i="2"/>
  <c r="AP7" i="2"/>
  <c r="AQ7" i="2"/>
  <c r="AR7" i="2"/>
  <c r="AS7" i="2"/>
  <c r="AT7" i="2"/>
  <c r="AU7" i="2"/>
  <c r="AV7" i="2"/>
  <c r="AW7" i="2"/>
  <c r="AX7" i="2"/>
  <c r="AY7" i="2"/>
  <c r="AZ7" i="2"/>
  <c r="BA7" i="2"/>
  <c r="BB7" i="2"/>
  <c r="BC7" i="2"/>
  <c r="BD7" i="2"/>
  <c r="BE7" i="2"/>
  <c r="BF7" i="2"/>
  <c r="BG7" i="2"/>
  <c r="BH7" i="2"/>
  <c r="BI7" i="2"/>
  <c r="BJ7" i="2"/>
  <c r="BK7" i="2"/>
  <c r="BL7" i="2"/>
  <c r="BM7" i="2"/>
  <c r="BN7" i="2"/>
  <c r="BO7" i="2"/>
  <c r="BP7" i="2"/>
  <c r="BQ7" i="2"/>
  <c r="BR7" i="2"/>
  <c r="BS7" i="2"/>
  <c r="BT7" i="2"/>
  <c r="BU7" i="2"/>
  <c r="BV7" i="2"/>
  <c r="BW7" i="2"/>
  <c r="BX7" i="2"/>
  <c r="BY7" i="2"/>
  <c r="BZ7" i="2"/>
  <c r="CA7" i="2"/>
  <c r="CB7" i="2"/>
  <c r="CC7" i="2"/>
  <c r="CD7" i="2"/>
  <c r="CE7" i="2"/>
  <c r="CF7" i="2"/>
  <c r="CG7" i="2"/>
  <c r="CH7" i="2"/>
  <c r="CI7" i="2"/>
  <c r="CJ7" i="2"/>
  <c r="CK7" i="2"/>
  <c r="CL7" i="2"/>
  <c r="CM7" i="2"/>
  <c r="CN7" i="2"/>
  <c r="CO7" i="2"/>
  <c r="CP7" i="2"/>
  <c r="CQ7" i="2"/>
  <c r="CR7" i="2"/>
  <c r="CS7" i="2"/>
  <c r="CT7" i="2"/>
  <c r="CU7" i="2"/>
  <c r="CV7" i="2"/>
  <c r="CW7" i="2"/>
  <c r="CX7" i="2"/>
  <c r="CY7" i="2"/>
  <c r="CZ7" i="2"/>
  <c r="DA7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G8" i="2"/>
  <c r="AH8" i="2"/>
  <c r="AI8" i="2"/>
  <c r="AJ8" i="2"/>
  <c r="AK8" i="2"/>
  <c r="AL8" i="2"/>
  <c r="AM8" i="2"/>
  <c r="AN8" i="2"/>
  <c r="AO8" i="2"/>
  <c r="AP8" i="2"/>
  <c r="AQ8" i="2"/>
  <c r="AR8" i="2"/>
  <c r="AS8" i="2"/>
  <c r="AT8" i="2"/>
  <c r="AU8" i="2"/>
  <c r="AV8" i="2"/>
  <c r="AW8" i="2"/>
  <c r="AX8" i="2"/>
  <c r="AY8" i="2"/>
  <c r="AZ8" i="2"/>
  <c r="BA8" i="2"/>
  <c r="BB8" i="2"/>
  <c r="BC8" i="2"/>
  <c r="BD8" i="2"/>
  <c r="BE8" i="2"/>
  <c r="BF8" i="2"/>
  <c r="BG8" i="2"/>
  <c r="BH8" i="2"/>
  <c r="BI8" i="2"/>
  <c r="BJ8" i="2"/>
  <c r="BK8" i="2"/>
  <c r="BL8" i="2"/>
  <c r="BM8" i="2"/>
  <c r="BN8" i="2"/>
  <c r="BO8" i="2"/>
  <c r="BP8" i="2"/>
  <c r="BQ8" i="2"/>
  <c r="BR8" i="2"/>
  <c r="BS8" i="2"/>
  <c r="BT8" i="2"/>
  <c r="BU8" i="2"/>
  <c r="BV8" i="2"/>
  <c r="BW8" i="2"/>
  <c r="BX8" i="2"/>
  <c r="BY8" i="2"/>
  <c r="BZ8" i="2"/>
  <c r="CA8" i="2"/>
  <c r="CB8" i="2"/>
  <c r="CC8" i="2"/>
  <c r="CD8" i="2"/>
  <c r="CE8" i="2"/>
  <c r="CF8" i="2"/>
  <c r="CG8" i="2"/>
  <c r="CH8" i="2"/>
  <c r="CI8" i="2"/>
  <c r="CJ8" i="2"/>
  <c r="CK8" i="2"/>
  <c r="CL8" i="2"/>
  <c r="CM8" i="2"/>
  <c r="CN8" i="2"/>
  <c r="CO8" i="2"/>
  <c r="CP8" i="2"/>
  <c r="CQ8" i="2"/>
  <c r="CR8" i="2"/>
  <c r="CS8" i="2"/>
  <c r="CT8" i="2"/>
  <c r="CU8" i="2"/>
  <c r="CV8" i="2"/>
  <c r="CW8" i="2"/>
  <c r="CX8" i="2"/>
  <c r="CY8" i="2"/>
  <c r="CZ8" i="2"/>
  <c r="DA8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G9" i="2"/>
  <c r="AH9" i="2"/>
  <c r="AI9" i="2"/>
  <c r="AJ9" i="2"/>
  <c r="AK9" i="2"/>
  <c r="AL9" i="2"/>
  <c r="AM9" i="2"/>
  <c r="AN9" i="2"/>
  <c r="AO9" i="2"/>
  <c r="AP9" i="2"/>
  <c r="AQ9" i="2"/>
  <c r="AR9" i="2"/>
  <c r="AS9" i="2"/>
  <c r="AT9" i="2"/>
  <c r="AU9" i="2"/>
  <c r="AV9" i="2"/>
  <c r="AW9" i="2"/>
  <c r="AX9" i="2"/>
  <c r="AY9" i="2"/>
  <c r="AZ9" i="2"/>
  <c r="BA9" i="2"/>
  <c r="BB9" i="2"/>
  <c r="BC9" i="2"/>
  <c r="BD9" i="2"/>
  <c r="BE9" i="2"/>
  <c r="BF9" i="2"/>
  <c r="BG9" i="2"/>
  <c r="BH9" i="2"/>
  <c r="BI9" i="2"/>
  <c r="BJ9" i="2"/>
  <c r="BK9" i="2"/>
  <c r="BL9" i="2"/>
  <c r="BM9" i="2"/>
  <c r="BN9" i="2"/>
  <c r="BO9" i="2"/>
  <c r="BP9" i="2"/>
  <c r="BQ9" i="2"/>
  <c r="BR9" i="2"/>
  <c r="BS9" i="2"/>
  <c r="BT9" i="2"/>
  <c r="BU9" i="2"/>
  <c r="BV9" i="2"/>
  <c r="BW9" i="2"/>
  <c r="BX9" i="2"/>
  <c r="BY9" i="2"/>
  <c r="BZ9" i="2"/>
  <c r="CA9" i="2"/>
  <c r="CB9" i="2"/>
  <c r="CC9" i="2"/>
  <c r="CD9" i="2"/>
  <c r="CE9" i="2"/>
  <c r="CF9" i="2"/>
  <c r="CG9" i="2"/>
  <c r="CH9" i="2"/>
  <c r="CI9" i="2"/>
  <c r="CJ9" i="2"/>
  <c r="CK9" i="2"/>
  <c r="CL9" i="2"/>
  <c r="CM9" i="2"/>
  <c r="CN9" i="2"/>
  <c r="CO9" i="2"/>
  <c r="CP9" i="2"/>
  <c r="CQ9" i="2"/>
  <c r="CR9" i="2"/>
  <c r="CS9" i="2"/>
  <c r="CT9" i="2"/>
  <c r="CU9" i="2"/>
  <c r="CV9" i="2"/>
  <c r="CW9" i="2"/>
  <c r="CX9" i="2"/>
  <c r="CY9" i="2"/>
  <c r="CZ9" i="2"/>
  <c r="DA9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AD10" i="2"/>
  <c r="AE10" i="2"/>
  <c r="AF10" i="2"/>
  <c r="AG10" i="2"/>
  <c r="AH10" i="2"/>
  <c r="AI10" i="2"/>
  <c r="AJ10" i="2"/>
  <c r="AK10" i="2"/>
  <c r="AL10" i="2"/>
  <c r="AM10" i="2"/>
  <c r="AN10" i="2"/>
  <c r="AO10" i="2"/>
  <c r="AP10" i="2"/>
  <c r="AQ10" i="2"/>
  <c r="AR10" i="2"/>
  <c r="AS10" i="2"/>
  <c r="AT10" i="2"/>
  <c r="AU10" i="2"/>
  <c r="AV10" i="2"/>
  <c r="AW10" i="2"/>
  <c r="AX10" i="2"/>
  <c r="AY10" i="2"/>
  <c r="AZ10" i="2"/>
  <c r="BA10" i="2"/>
  <c r="BB10" i="2"/>
  <c r="BC10" i="2"/>
  <c r="BD10" i="2"/>
  <c r="BE10" i="2"/>
  <c r="BF10" i="2"/>
  <c r="BG10" i="2"/>
  <c r="BH10" i="2"/>
  <c r="BI10" i="2"/>
  <c r="BJ10" i="2"/>
  <c r="BK10" i="2"/>
  <c r="BL10" i="2"/>
  <c r="BM10" i="2"/>
  <c r="BN10" i="2"/>
  <c r="BO10" i="2"/>
  <c r="BP10" i="2"/>
  <c r="BQ10" i="2"/>
  <c r="BR10" i="2"/>
  <c r="BS10" i="2"/>
  <c r="BT10" i="2"/>
  <c r="BU10" i="2"/>
  <c r="BV10" i="2"/>
  <c r="BW10" i="2"/>
  <c r="BX10" i="2"/>
  <c r="BY10" i="2"/>
  <c r="BZ10" i="2"/>
  <c r="CA10" i="2"/>
  <c r="CB10" i="2"/>
  <c r="CC10" i="2"/>
  <c r="CD10" i="2"/>
  <c r="CE10" i="2"/>
  <c r="CF10" i="2"/>
  <c r="CG10" i="2"/>
  <c r="CH10" i="2"/>
  <c r="CI10" i="2"/>
  <c r="CJ10" i="2"/>
  <c r="CK10" i="2"/>
  <c r="CL10" i="2"/>
  <c r="CM10" i="2"/>
  <c r="CN10" i="2"/>
  <c r="CO10" i="2"/>
  <c r="CP10" i="2"/>
  <c r="CQ10" i="2"/>
  <c r="CR10" i="2"/>
  <c r="CS10" i="2"/>
  <c r="CT10" i="2"/>
  <c r="CU10" i="2"/>
  <c r="CV10" i="2"/>
  <c r="CW10" i="2"/>
  <c r="CX10" i="2"/>
  <c r="CY10" i="2"/>
  <c r="CZ10" i="2"/>
  <c r="DA10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AG11" i="2"/>
  <c r="AH11" i="2"/>
  <c r="AI11" i="2"/>
  <c r="AJ11" i="2"/>
  <c r="AK11" i="2"/>
  <c r="AL11" i="2"/>
  <c r="AM11" i="2"/>
  <c r="AN11" i="2"/>
  <c r="AO11" i="2"/>
  <c r="AP11" i="2"/>
  <c r="AQ11" i="2"/>
  <c r="AR11" i="2"/>
  <c r="AS11" i="2"/>
  <c r="AT11" i="2"/>
  <c r="AU11" i="2"/>
  <c r="AV11" i="2"/>
  <c r="AW11" i="2"/>
  <c r="AX11" i="2"/>
  <c r="AY11" i="2"/>
  <c r="AZ11" i="2"/>
  <c r="BA11" i="2"/>
  <c r="BB11" i="2"/>
  <c r="BC11" i="2"/>
  <c r="BD11" i="2"/>
  <c r="BE11" i="2"/>
  <c r="BF11" i="2"/>
  <c r="BG11" i="2"/>
  <c r="BH11" i="2"/>
  <c r="BI11" i="2"/>
  <c r="BJ11" i="2"/>
  <c r="BK11" i="2"/>
  <c r="BL11" i="2"/>
  <c r="BM11" i="2"/>
  <c r="BN11" i="2"/>
  <c r="BO11" i="2"/>
  <c r="BP11" i="2"/>
  <c r="BQ11" i="2"/>
  <c r="BR11" i="2"/>
  <c r="BS11" i="2"/>
  <c r="BT11" i="2"/>
  <c r="BU11" i="2"/>
  <c r="BV11" i="2"/>
  <c r="BW11" i="2"/>
  <c r="BX11" i="2"/>
  <c r="BY11" i="2"/>
  <c r="BZ11" i="2"/>
  <c r="CA11" i="2"/>
  <c r="CB11" i="2"/>
  <c r="CC11" i="2"/>
  <c r="CD11" i="2"/>
  <c r="CE11" i="2"/>
  <c r="CF11" i="2"/>
  <c r="CG11" i="2"/>
  <c r="CH11" i="2"/>
  <c r="CI11" i="2"/>
  <c r="CJ11" i="2"/>
  <c r="CK11" i="2"/>
  <c r="CL11" i="2"/>
  <c r="CM11" i="2"/>
  <c r="CN11" i="2"/>
  <c r="CO11" i="2"/>
  <c r="CP11" i="2"/>
  <c r="CQ11" i="2"/>
  <c r="CR11" i="2"/>
  <c r="CS11" i="2"/>
  <c r="CT11" i="2"/>
  <c r="CU11" i="2"/>
  <c r="CV11" i="2"/>
  <c r="CW11" i="2"/>
  <c r="CX11" i="2"/>
  <c r="CY11" i="2"/>
  <c r="CZ11" i="2"/>
  <c r="DA11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G12" i="2"/>
  <c r="AH12" i="2"/>
  <c r="AI12" i="2"/>
  <c r="AJ12" i="2"/>
  <c r="AK12" i="2"/>
  <c r="AL12" i="2"/>
  <c r="AM12" i="2"/>
  <c r="AN12" i="2"/>
  <c r="AO12" i="2"/>
  <c r="AP12" i="2"/>
  <c r="AQ12" i="2"/>
  <c r="AR12" i="2"/>
  <c r="AS12" i="2"/>
  <c r="AT12" i="2"/>
  <c r="AU12" i="2"/>
  <c r="AV12" i="2"/>
  <c r="AW12" i="2"/>
  <c r="AX12" i="2"/>
  <c r="AY12" i="2"/>
  <c r="AZ12" i="2"/>
  <c r="BA12" i="2"/>
  <c r="BB12" i="2"/>
  <c r="BC12" i="2"/>
  <c r="BD12" i="2"/>
  <c r="BE12" i="2"/>
  <c r="BF12" i="2"/>
  <c r="BG12" i="2"/>
  <c r="BH12" i="2"/>
  <c r="BI12" i="2"/>
  <c r="BJ12" i="2"/>
  <c r="BK12" i="2"/>
  <c r="BL12" i="2"/>
  <c r="BM12" i="2"/>
  <c r="BN12" i="2"/>
  <c r="BO12" i="2"/>
  <c r="BP12" i="2"/>
  <c r="BQ12" i="2"/>
  <c r="BR12" i="2"/>
  <c r="BS12" i="2"/>
  <c r="BT12" i="2"/>
  <c r="BU12" i="2"/>
  <c r="BV12" i="2"/>
  <c r="BW12" i="2"/>
  <c r="BX12" i="2"/>
  <c r="BY12" i="2"/>
  <c r="BZ12" i="2"/>
  <c r="CA12" i="2"/>
  <c r="CB12" i="2"/>
  <c r="CC12" i="2"/>
  <c r="CD12" i="2"/>
  <c r="CE12" i="2"/>
  <c r="CF12" i="2"/>
  <c r="CG12" i="2"/>
  <c r="CH12" i="2"/>
  <c r="CI12" i="2"/>
  <c r="CJ12" i="2"/>
  <c r="CK12" i="2"/>
  <c r="CL12" i="2"/>
  <c r="CM12" i="2"/>
  <c r="CN12" i="2"/>
  <c r="CO12" i="2"/>
  <c r="CP12" i="2"/>
  <c r="CQ12" i="2"/>
  <c r="CR12" i="2"/>
  <c r="CS12" i="2"/>
  <c r="CT12" i="2"/>
  <c r="CU12" i="2"/>
  <c r="CV12" i="2"/>
  <c r="CW12" i="2"/>
  <c r="CX12" i="2"/>
  <c r="CY12" i="2"/>
  <c r="CZ12" i="2"/>
  <c r="DA12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AH13" i="2"/>
  <c r="AI13" i="2"/>
  <c r="AJ13" i="2"/>
  <c r="AK13" i="2"/>
  <c r="AL13" i="2"/>
  <c r="AM13" i="2"/>
  <c r="AN13" i="2"/>
  <c r="AO13" i="2"/>
  <c r="AP13" i="2"/>
  <c r="AQ13" i="2"/>
  <c r="AR13" i="2"/>
  <c r="AS13" i="2"/>
  <c r="AT13" i="2"/>
  <c r="AU13" i="2"/>
  <c r="AV13" i="2"/>
  <c r="AW13" i="2"/>
  <c r="AX13" i="2"/>
  <c r="AY13" i="2"/>
  <c r="AZ13" i="2"/>
  <c r="BA13" i="2"/>
  <c r="BB13" i="2"/>
  <c r="BC13" i="2"/>
  <c r="BD13" i="2"/>
  <c r="BE13" i="2"/>
  <c r="BF13" i="2"/>
  <c r="BG13" i="2"/>
  <c r="BH13" i="2"/>
  <c r="BI13" i="2"/>
  <c r="BJ13" i="2"/>
  <c r="BK13" i="2"/>
  <c r="BL13" i="2"/>
  <c r="BM13" i="2"/>
  <c r="BN13" i="2"/>
  <c r="BO13" i="2"/>
  <c r="BP13" i="2"/>
  <c r="BQ13" i="2"/>
  <c r="BR13" i="2"/>
  <c r="BS13" i="2"/>
  <c r="BT13" i="2"/>
  <c r="BU13" i="2"/>
  <c r="BV13" i="2"/>
  <c r="BW13" i="2"/>
  <c r="BX13" i="2"/>
  <c r="BY13" i="2"/>
  <c r="BZ13" i="2"/>
  <c r="CA13" i="2"/>
  <c r="CB13" i="2"/>
  <c r="CC13" i="2"/>
  <c r="CD13" i="2"/>
  <c r="CE13" i="2"/>
  <c r="CF13" i="2"/>
  <c r="CG13" i="2"/>
  <c r="CH13" i="2"/>
  <c r="CI13" i="2"/>
  <c r="CJ13" i="2"/>
  <c r="CK13" i="2"/>
  <c r="CL13" i="2"/>
  <c r="CM13" i="2"/>
  <c r="CN13" i="2"/>
  <c r="CO13" i="2"/>
  <c r="CP13" i="2"/>
  <c r="CQ13" i="2"/>
  <c r="CR13" i="2"/>
  <c r="CS13" i="2"/>
  <c r="CT13" i="2"/>
  <c r="CU13" i="2"/>
  <c r="CV13" i="2"/>
  <c r="CW13" i="2"/>
  <c r="CX13" i="2"/>
  <c r="CY13" i="2"/>
  <c r="CZ13" i="2"/>
  <c r="DA13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AH14" i="2"/>
  <c r="AI14" i="2"/>
  <c r="AJ14" i="2"/>
  <c r="AK14" i="2"/>
  <c r="AL14" i="2"/>
  <c r="AM14" i="2"/>
  <c r="AN14" i="2"/>
  <c r="AO14" i="2"/>
  <c r="AP14" i="2"/>
  <c r="AQ14" i="2"/>
  <c r="AR14" i="2"/>
  <c r="AS14" i="2"/>
  <c r="AT14" i="2"/>
  <c r="AU14" i="2"/>
  <c r="AV14" i="2"/>
  <c r="AW14" i="2"/>
  <c r="AX14" i="2"/>
  <c r="AY14" i="2"/>
  <c r="AZ14" i="2"/>
  <c r="BA14" i="2"/>
  <c r="BB14" i="2"/>
  <c r="BC14" i="2"/>
  <c r="BD14" i="2"/>
  <c r="BE14" i="2"/>
  <c r="BF14" i="2"/>
  <c r="BG14" i="2"/>
  <c r="BH14" i="2"/>
  <c r="BI14" i="2"/>
  <c r="BJ14" i="2"/>
  <c r="BK14" i="2"/>
  <c r="BL14" i="2"/>
  <c r="BM14" i="2"/>
  <c r="BN14" i="2"/>
  <c r="BO14" i="2"/>
  <c r="BP14" i="2"/>
  <c r="BQ14" i="2"/>
  <c r="BR14" i="2"/>
  <c r="BS14" i="2"/>
  <c r="BT14" i="2"/>
  <c r="BU14" i="2"/>
  <c r="BV14" i="2"/>
  <c r="BW14" i="2"/>
  <c r="BX14" i="2"/>
  <c r="BY14" i="2"/>
  <c r="BZ14" i="2"/>
  <c r="CA14" i="2"/>
  <c r="CB14" i="2"/>
  <c r="CC14" i="2"/>
  <c r="CD14" i="2"/>
  <c r="CE14" i="2"/>
  <c r="CF14" i="2"/>
  <c r="CG14" i="2"/>
  <c r="CH14" i="2"/>
  <c r="CI14" i="2"/>
  <c r="CJ14" i="2"/>
  <c r="CK14" i="2"/>
  <c r="CL14" i="2"/>
  <c r="CM14" i="2"/>
  <c r="CN14" i="2"/>
  <c r="CO14" i="2"/>
  <c r="CP14" i="2"/>
  <c r="CQ14" i="2"/>
  <c r="CR14" i="2"/>
  <c r="CS14" i="2"/>
  <c r="CT14" i="2"/>
  <c r="CU14" i="2"/>
  <c r="CV14" i="2"/>
  <c r="CW14" i="2"/>
  <c r="CX14" i="2"/>
  <c r="CY14" i="2"/>
  <c r="CZ14" i="2"/>
  <c r="DA14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G15" i="2"/>
  <c r="AH15" i="2"/>
  <c r="AI15" i="2"/>
  <c r="AJ15" i="2"/>
  <c r="AK15" i="2"/>
  <c r="AL15" i="2"/>
  <c r="AM15" i="2"/>
  <c r="AN15" i="2"/>
  <c r="AO15" i="2"/>
  <c r="AP15" i="2"/>
  <c r="AQ15" i="2"/>
  <c r="AR15" i="2"/>
  <c r="AS15" i="2"/>
  <c r="AT15" i="2"/>
  <c r="AU15" i="2"/>
  <c r="AV15" i="2"/>
  <c r="AW15" i="2"/>
  <c r="AX15" i="2"/>
  <c r="AY15" i="2"/>
  <c r="AZ15" i="2"/>
  <c r="BA15" i="2"/>
  <c r="BB15" i="2"/>
  <c r="BC15" i="2"/>
  <c r="BD15" i="2"/>
  <c r="BE15" i="2"/>
  <c r="BF15" i="2"/>
  <c r="BG15" i="2"/>
  <c r="BH15" i="2"/>
  <c r="BI15" i="2"/>
  <c r="BJ15" i="2"/>
  <c r="BK15" i="2"/>
  <c r="BL15" i="2"/>
  <c r="BM15" i="2"/>
  <c r="BN15" i="2"/>
  <c r="BO15" i="2"/>
  <c r="BP15" i="2"/>
  <c r="BQ15" i="2"/>
  <c r="BR15" i="2"/>
  <c r="BS15" i="2"/>
  <c r="BT15" i="2"/>
  <c r="BU15" i="2"/>
  <c r="BV15" i="2"/>
  <c r="BW15" i="2"/>
  <c r="BX15" i="2"/>
  <c r="BY15" i="2"/>
  <c r="BZ15" i="2"/>
  <c r="CA15" i="2"/>
  <c r="CB15" i="2"/>
  <c r="CC15" i="2"/>
  <c r="CD15" i="2"/>
  <c r="CE15" i="2"/>
  <c r="CF15" i="2"/>
  <c r="CG15" i="2"/>
  <c r="CH15" i="2"/>
  <c r="CI15" i="2"/>
  <c r="CJ15" i="2"/>
  <c r="CK15" i="2"/>
  <c r="CL15" i="2"/>
  <c r="CM15" i="2"/>
  <c r="CN15" i="2"/>
  <c r="CO15" i="2"/>
  <c r="CP15" i="2"/>
  <c r="CQ15" i="2"/>
  <c r="CR15" i="2"/>
  <c r="CS15" i="2"/>
  <c r="CT15" i="2"/>
  <c r="CU15" i="2"/>
  <c r="CV15" i="2"/>
  <c r="CW15" i="2"/>
  <c r="CX15" i="2"/>
  <c r="CY15" i="2"/>
  <c r="CZ15" i="2"/>
  <c r="DA15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G16" i="2"/>
  <c r="AH16" i="2"/>
  <c r="AI16" i="2"/>
  <c r="AJ16" i="2"/>
  <c r="AK16" i="2"/>
  <c r="AL16" i="2"/>
  <c r="AM16" i="2"/>
  <c r="AN16" i="2"/>
  <c r="AO16" i="2"/>
  <c r="AP16" i="2"/>
  <c r="AQ16" i="2"/>
  <c r="AR16" i="2"/>
  <c r="AS16" i="2"/>
  <c r="AT16" i="2"/>
  <c r="AU16" i="2"/>
  <c r="AV16" i="2"/>
  <c r="AW16" i="2"/>
  <c r="AX16" i="2"/>
  <c r="AY16" i="2"/>
  <c r="AZ16" i="2"/>
  <c r="BA16" i="2"/>
  <c r="BB16" i="2"/>
  <c r="BC16" i="2"/>
  <c r="BD16" i="2"/>
  <c r="BE16" i="2"/>
  <c r="BF16" i="2"/>
  <c r="BG16" i="2"/>
  <c r="BH16" i="2"/>
  <c r="BI16" i="2"/>
  <c r="BJ16" i="2"/>
  <c r="BK16" i="2"/>
  <c r="BL16" i="2"/>
  <c r="BM16" i="2"/>
  <c r="BN16" i="2"/>
  <c r="BO16" i="2"/>
  <c r="BP16" i="2"/>
  <c r="BQ16" i="2"/>
  <c r="BR16" i="2"/>
  <c r="BS16" i="2"/>
  <c r="BT16" i="2"/>
  <c r="BU16" i="2"/>
  <c r="BV16" i="2"/>
  <c r="BW16" i="2"/>
  <c r="BX16" i="2"/>
  <c r="BY16" i="2"/>
  <c r="BZ16" i="2"/>
  <c r="CA16" i="2"/>
  <c r="CB16" i="2"/>
  <c r="CC16" i="2"/>
  <c r="CD16" i="2"/>
  <c r="CE16" i="2"/>
  <c r="CF16" i="2"/>
  <c r="CG16" i="2"/>
  <c r="CH16" i="2"/>
  <c r="CI16" i="2"/>
  <c r="CJ16" i="2"/>
  <c r="CK16" i="2"/>
  <c r="CL16" i="2"/>
  <c r="CM16" i="2"/>
  <c r="CN16" i="2"/>
  <c r="CO16" i="2"/>
  <c r="CP16" i="2"/>
  <c r="CQ16" i="2"/>
  <c r="CR16" i="2"/>
  <c r="CS16" i="2"/>
  <c r="CT16" i="2"/>
  <c r="CU16" i="2"/>
  <c r="CV16" i="2"/>
  <c r="CW16" i="2"/>
  <c r="CX16" i="2"/>
  <c r="CY16" i="2"/>
  <c r="CZ16" i="2"/>
  <c r="DA16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AG17" i="2"/>
  <c r="AH17" i="2"/>
  <c r="AI17" i="2"/>
  <c r="AJ17" i="2"/>
  <c r="AK17" i="2"/>
  <c r="AL17" i="2"/>
  <c r="AM17" i="2"/>
  <c r="AN17" i="2"/>
  <c r="AO17" i="2"/>
  <c r="AP17" i="2"/>
  <c r="AQ17" i="2"/>
  <c r="AR17" i="2"/>
  <c r="AS17" i="2"/>
  <c r="AT17" i="2"/>
  <c r="AU17" i="2"/>
  <c r="AV17" i="2"/>
  <c r="AW17" i="2"/>
  <c r="AX17" i="2"/>
  <c r="AY17" i="2"/>
  <c r="AZ17" i="2"/>
  <c r="BA17" i="2"/>
  <c r="BB17" i="2"/>
  <c r="BC17" i="2"/>
  <c r="BD17" i="2"/>
  <c r="BE17" i="2"/>
  <c r="BF17" i="2"/>
  <c r="BG17" i="2"/>
  <c r="BH17" i="2"/>
  <c r="BI17" i="2"/>
  <c r="BJ17" i="2"/>
  <c r="BK17" i="2"/>
  <c r="BL17" i="2"/>
  <c r="BM17" i="2"/>
  <c r="BN17" i="2"/>
  <c r="BO17" i="2"/>
  <c r="BP17" i="2"/>
  <c r="BQ17" i="2"/>
  <c r="BR17" i="2"/>
  <c r="BS17" i="2"/>
  <c r="BT17" i="2"/>
  <c r="BU17" i="2"/>
  <c r="BV17" i="2"/>
  <c r="BW17" i="2"/>
  <c r="BX17" i="2"/>
  <c r="BY17" i="2"/>
  <c r="BZ17" i="2"/>
  <c r="CA17" i="2"/>
  <c r="CB17" i="2"/>
  <c r="CC17" i="2"/>
  <c r="CD17" i="2"/>
  <c r="CE17" i="2"/>
  <c r="CF17" i="2"/>
  <c r="CG17" i="2"/>
  <c r="CH17" i="2"/>
  <c r="CI17" i="2"/>
  <c r="CJ17" i="2"/>
  <c r="CK17" i="2"/>
  <c r="CL17" i="2"/>
  <c r="CM17" i="2"/>
  <c r="CN17" i="2"/>
  <c r="CO17" i="2"/>
  <c r="CP17" i="2"/>
  <c r="CQ17" i="2"/>
  <c r="CR17" i="2"/>
  <c r="CS17" i="2"/>
  <c r="CT17" i="2"/>
  <c r="CU17" i="2"/>
  <c r="CV17" i="2"/>
  <c r="CW17" i="2"/>
  <c r="CX17" i="2"/>
  <c r="CY17" i="2"/>
  <c r="CZ17" i="2"/>
  <c r="DA17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Z18" i="2"/>
  <c r="AA18" i="2"/>
  <c r="AB18" i="2"/>
  <c r="AC18" i="2"/>
  <c r="AD18" i="2"/>
  <c r="AE18" i="2"/>
  <c r="AF18" i="2"/>
  <c r="AG18" i="2"/>
  <c r="AH18" i="2"/>
  <c r="AI18" i="2"/>
  <c r="AJ18" i="2"/>
  <c r="AK18" i="2"/>
  <c r="AL18" i="2"/>
  <c r="AM18" i="2"/>
  <c r="AN18" i="2"/>
  <c r="AO18" i="2"/>
  <c r="AP18" i="2"/>
  <c r="AQ18" i="2"/>
  <c r="AR18" i="2"/>
  <c r="AS18" i="2"/>
  <c r="AT18" i="2"/>
  <c r="AU18" i="2"/>
  <c r="AV18" i="2"/>
  <c r="AW18" i="2"/>
  <c r="AX18" i="2"/>
  <c r="AY18" i="2"/>
  <c r="AZ18" i="2"/>
  <c r="BA18" i="2"/>
  <c r="BB18" i="2"/>
  <c r="BC18" i="2"/>
  <c r="BD18" i="2"/>
  <c r="BE18" i="2"/>
  <c r="BF18" i="2"/>
  <c r="BG18" i="2"/>
  <c r="BH18" i="2"/>
  <c r="BI18" i="2"/>
  <c r="BJ18" i="2"/>
  <c r="BK18" i="2"/>
  <c r="BL18" i="2"/>
  <c r="BM18" i="2"/>
  <c r="BN18" i="2"/>
  <c r="BO18" i="2"/>
  <c r="BP18" i="2"/>
  <c r="BQ18" i="2"/>
  <c r="BR18" i="2"/>
  <c r="BS18" i="2"/>
  <c r="BT18" i="2"/>
  <c r="BU18" i="2"/>
  <c r="BV18" i="2"/>
  <c r="BW18" i="2"/>
  <c r="BX18" i="2"/>
  <c r="BY18" i="2"/>
  <c r="BZ18" i="2"/>
  <c r="CA18" i="2"/>
  <c r="CB18" i="2"/>
  <c r="CC18" i="2"/>
  <c r="CD18" i="2"/>
  <c r="CE18" i="2"/>
  <c r="CF18" i="2"/>
  <c r="CG18" i="2"/>
  <c r="CH18" i="2"/>
  <c r="CI18" i="2"/>
  <c r="CJ18" i="2"/>
  <c r="CK18" i="2"/>
  <c r="CL18" i="2"/>
  <c r="CM18" i="2"/>
  <c r="CN18" i="2"/>
  <c r="CO18" i="2"/>
  <c r="CP18" i="2"/>
  <c r="CQ18" i="2"/>
  <c r="CR18" i="2"/>
  <c r="CS18" i="2"/>
  <c r="CT18" i="2"/>
  <c r="CU18" i="2"/>
  <c r="CV18" i="2"/>
  <c r="CW18" i="2"/>
  <c r="CX18" i="2"/>
  <c r="CY18" i="2"/>
  <c r="CZ18" i="2"/>
  <c r="DA18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B19" i="2"/>
  <c r="AC19" i="2"/>
  <c r="AD19" i="2"/>
  <c r="AE19" i="2"/>
  <c r="AF19" i="2"/>
  <c r="AG19" i="2"/>
  <c r="AH19" i="2"/>
  <c r="AI19" i="2"/>
  <c r="AJ19" i="2"/>
  <c r="AK19" i="2"/>
  <c r="AL19" i="2"/>
  <c r="AM19" i="2"/>
  <c r="AN19" i="2"/>
  <c r="AO19" i="2"/>
  <c r="AP19" i="2"/>
  <c r="AQ19" i="2"/>
  <c r="AR19" i="2"/>
  <c r="AS19" i="2"/>
  <c r="AT19" i="2"/>
  <c r="AU19" i="2"/>
  <c r="AV19" i="2"/>
  <c r="AW19" i="2"/>
  <c r="AX19" i="2"/>
  <c r="AY19" i="2"/>
  <c r="AZ19" i="2"/>
  <c r="BA19" i="2"/>
  <c r="BB19" i="2"/>
  <c r="BC19" i="2"/>
  <c r="BD19" i="2"/>
  <c r="BE19" i="2"/>
  <c r="BF19" i="2"/>
  <c r="BG19" i="2"/>
  <c r="BH19" i="2"/>
  <c r="BI19" i="2"/>
  <c r="BJ19" i="2"/>
  <c r="BK19" i="2"/>
  <c r="BL19" i="2"/>
  <c r="BM19" i="2"/>
  <c r="BN19" i="2"/>
  <c r="BO19" i="2"/>
  <c r="BP19" i="2"/>
  <c r="BQ19" i="2"/>
  <c r="BR19" i="2"/>
  <c r="BS19" i="2"/>
  <c r="BT19" i="2"/>
  <c r="BU19" i="2"/>
  <c r="BV19" i="2"/>
  <c r="BW19" i="2"/>
  <c r="BX19" i="2"/>
  <c r="BY19" i="2"/>
  <c r="BZ19" i="2"/>
  <c r="CA19" i="2"/>
  <c r="CB19" i="2"/>
  <c r="CC19" i="2"/>
  <c r="CD19" i="2"/>
  <c r="CE19" i="2"/>
  <c r="CF19" i="2"/>
  <c r="CG19" i="2"/>
  <c r="CH19" i="2"/>
  <c r="CI19" i="2"/>
  <c r="CJ19" i="2"/>
  <c r="CK19" i="2"/>
  <c r="CL19" i="2"/>
  <c r="CM19" i="2"/>
  <c r="CN19" i="2"/>
  <c r="CO19" i="2"/>
  <c r="CP19" i="2"/>
  <c r="CQ19" i="2"/>
  <c r="CR19" i="2"/>
  <c r="CS19" i="2"/>
  <c r="CT19" i="2"/>
  <c r="CU19" i="2"/>
  <c r="CV19" i="2"/>
  <c r="CW19" i="2"/>
  <c r="CX19" i="2"/>
  <c r="CY19" i="2"/>
  <c r="CZ19" i="2"/>
  <c r="DA19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G20" i="2"/>
  <c r="AH20" i="2"/>
  <c r="AI20" i="2"/>
  <c r="AJ20" i="2"/>
  <c r="AK20" i="2"/>
  <c r="AL20" i="2"/>
  <c r="AM20" i="2"/>
  <c r="AN20" i="2"/>
  <c r="AO20" i="2"/>
  <c r="AP20" i="2"/>
  <c r="AQ20" i="2"/>
  <c r="AR20" i="2"/>
  <c r="AS20" i="2"/>
  <c r="AT20" i="2"/>
  <c r="AU20" i="2"/>
  <c r="AV20" i="2"/>
  <c r="AW20" i="2"/>
  <c r="AX20" i="2"/>
  <c r="AY20" i="2"/>
  <c r="AZ20" i="2"/>
  <c r="BA20" i="2"/>
  <c r="BB20" i="2"/>
  <c r="BC20" i="2"/>
  <c r="BD20" i="2"/>
  <c r="BE20" i="2"/>
  <c r="BF20" i="2"/>
  <c r="BG20" i="2"/>
  <c r="BH20" i="2"/>
  <c r="BI20" i="2"/>
  <c r="BJ20" i="2"/>
  <c r="BK20" i="2"/>
  <c r="BL20" i="2"/>
  <c r="BM20" i="2"/>
  <c r="BN20" i="2"/>
  <c r="BO20" i="2"/>
  <c r="BP20" i="2"/>
  <c r="BQ20" i="2"/>
  <c r="BR20" i="2"/>
  <c r="BS20" i="2"/>
  <c r="BT20" i="2"/>
  <c r="BU20" i="2"/>
  <c r="BV20" i="2"/>
  <c r="BW20" i="2"/>
  <c r="BX20" i="2"/>
  <c r="BY20" i="2"/>
  <c r="BZ20" i="2"/>
  <c r="CA20" i="2"/>
  <c r="CB20" i="2"/>
  <c r="CC20" i="2"/>
  <c r="CD20" i="2"/>
  <c r="CE20" i="2"/>
  <c r="CF20" i="2"/>
  <c r="CG20" i="2"/>
  <c r="CH20" i="2"/>
  <c r="CI20" i="2"/>
  <c r="CJ20" i="2"/>
  <c r="CK20" i="2"/>
  <c r="CL20" i="2"/>
  <c r="CM20" i="2"/>
  <c r="CN20" i="2"/>
  <c r="CO20" i="2"/>
  <c r="CP20" i="2"/>
  <c r="CQ20" i="2"/>
  <c r="CR20" i="2"/>
  <c r="CS20" i="2"/>
  <c r="CT20" i="2"/>
  <c r="CU20" i="2"/>
  <c r="CV20" i="2"/>
  <c r="CW20" i="2"/>
  <c r="CX20" i="2"/>
  <c r="CY20" i="2"/>
  <c r="CZ20" i="2"/>
  <c r="DA20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AB21" i="2"/>
  <c r="AC21" i="2"/>
  <c r="AD21" i="2"/>
  <c r="AE21" i="2"/>
  <c r="AF21" i="2"/>
  <c r="AG21" i="2"/>
  <c r="AH21" i="2"/>
  <c r="AI21" i="2"/>
  <c r="AJ21" i="2"/>
  <c r="AK21" i="2"/>
  <c r="AL21" i="2"/>
  <c r="AM21" i="2"/>
  <c r="AN21" i="2"/>
  <c r="AO21" i="2"/>
  <c r="AP21" i="2"/>
  <c r="AQ21" i="2"/>
  <c r="AR21" i="2"/>
  <c r="AS21" i="2"/>
  <c r="AT21" i="2"/>
  <c r="AU21" i="2"/>
  <c r="AV21" i="2"/>
  <c r="AW21" i="2"/>
  <c r="AX21" i="2"/>
  <c r="AY21" i="2"/>
  <c r="AZ21" i="2"/>
  <c r="BA21" i="2"/>
  <c r="BB21" i="2"/>
  <c r="BC21" i="2"/>
  <c r="BD21" i="2"/>
  <c r="BE21" i="2"/>
  <c r="BF21" i="2"/>
  <c r="BG21" i="2"/>
  <c r="BH21" i="2"/>
  <c r="BI21" i="2"/>
  <c r="BJ21" i="2"/>
  <c r="BK21" i="2"/>
  <c r="BL21" i="2"/>
  <c r="BM21" i="2"/>
  <c r="BN21" i="2"/>
  <c r="BO21" i="2"/>
  <c r="BP21" i="2"/>
  <c r="BQ21" i="2"/>
  <c r="BR21" i="2"/>
  <c r="BS21" i="2"/>
  <c r="BT21" i="2"/>
  <c r="BU21" i="2"/>
  <c r="BV21" i="2"/>
  <c r="BW21" i="2"/>
  <c r="BX21" i="2"/>
  <c r="BY21" i="2"/>
  <c r="BZ21" i="2"/>
  <c r="CA21" i="2"/>
  <c r="CB21" i="2"/>
  <c r="CC21" i="2"/>
  <c r="CD21" i="2"/>
  <c r="CE21" i="2"/>
  <c r="CF21" i="2"/>
  <c r="CG21" i="2"/>
  <c r="CH21" i="2"/>
  <c r="CI21" i="2"/>
  <c r="CJ21" i="2"/>
  <c r="CK21" i="2"/>
  <c r="CL21" i="2"/>
  <c r="CM21" i="2"/>
  <c r="CN21" i="2"/>
  <c r="CO21" i="2"/>
  <c r="CP21" i="2"/>
  <c r="CQ21" i="2"/>
  <c r="CR21" i="2"/>
  <c r="CS21" i="2"/>
  <c r="CT21" i="2"/>
  <c r="CU21" i="2"/>
  <c r="CV21" i="2"/>
  <c r="CW21" i="2"/>
  <c r="CX21" i="2"/>
  <c r="CY21" i="2"/>
  <c r="CZ21" i="2"/>
  <c r="DA21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Z22" i="2"/>
  <c r="AA22" i="2"/>
  <c r="AB22" i="2"/>
  <c r="AC22" i="2"/>
  <c r="AD22" i="2"/>
  <c r="AE22" i="2"/>
  <c r="AF22" i="2"/>
  <c r="AG22" i="2"/>
  <c r="AH22" i="2"/>
  <c r="AI22" i="2"/>
  <c r="AJ22" i="2"/>
  <c r="AK22" i="2"/>
  <c r="AL22" i="2"/>
  <c r="AM22" i="2"/>
  <c r="AN22" i="2"/>
  <c r="AO22" i="2"/>
  <c r="AP22" i="2"/>
  <c r="AQ22" i="2"/>
  <c r="AR22" i="2"/>
  <c r="AS22" i="2"/>
  <c r="AT22" i="2"/>
  <c r="AU22" i="2"/>
  <c r="AV22" i="2"/>
  <c r="AW22" i="2"/>
  <c r="AX22" i="2"/>
  <c r="AY22" i="2"/>
  <c r="AZ22" i="2"/>
  <c r="BA22" i="2"/>
  <c r="BB22" i="2"/>
  <c r="BC22" i="2"/>
  <c r="BD22" i="2"/>
  <c r="BE22" i="2"/>
  <c r="BF22" i="2"/>
  <c r="BG22" i="2"/>
  <c r="BH22" i="2"/>
  <c r="BI22" i="2"/>
  <c r="BJ22" i="2"/>
  <c r="BK22" i="2"/>
  <c r="BL22" i="2"/>
  <c r="BM22" i="2"/>
  <c r="BN22" i="2"/>
  <c r="BO22" i="2"/>
  <c r="BP22" i="2"/>
  <c r="BQ22" i="2"/>
  <c r="BR22" i="2"/>
  <c r="BS22" i="2"/>
  <c r="BT22" i="2"/>
  <c r="BU22" i="2"/>
  <c r="BV22" i="2"/>
  <c r="BW22" i="2"/>
  <c r="BX22" i="2"/>
  <c r="BY22" i="2"/>
  <c r="BZ22" i="2"/>
  <c r="CA22" i="2"/>
  <c r="CB22" i="2"/>
  <c r="CC22" i="2"/>
  <c r="CD22" i="2"/>
  <c r="CE22" i="2"/>
  <c r="CF22" i="2"/>
  <c r="CG22" i="2"/>
  <c r="CH22" i="2"/>
  <c r="CI22" i="2"/>
  <c r="CJ22" i="2"/>
  <c r="CK22" i="2"/>
  <c r="CL22" i="2"/>
  <c r="CM22" i="2"/>
  <c r="CN22" i="2"/>
  <c r="CO22" i="2"/>
  <c r="CP22" i="2"/>
  <c r="CQ22" i="2"/>
  <c r="CR22" i="2"/>
  <c r="CS22" i="2"/>
  <c r="CT22" i="2"/>
  <c r="CU22" i="2"/>
  <c r="CV22" i="2"/>
  <c r="CW22" i="2"/>
  <c r="CX22" i="2"/>
  <c r="CY22" i="2"/>
  <c r="CZ22" i="2"/>
  <c r="DA22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AB23" i="2"/>
  <c r="AC23" i="2"/>
  <c r="AD23" i="2"/>
  <c r="AE23" i="2"/>
  <c r="AF23" i="2"/>
  <c r="AG23" i="2"/>
  <c r="AH23" i="2"/>
  <c r="AI23" i="2"/>
  <c r="AJ23" i="2"/>
  <c r="AK23" i="2"/>
  <c r="AL23" i="2"/>
  <c r="AM23" i="2"/>
  <c r="AN23" i="2"/>
  <c r="AO23" i="2"/>
  <c r="AP23" i="2"/>
  <c r="AQ23" i="2"/>
  <c r="AR23" i="2"/>
  <c r="AS23" i="2"/>
  <c r="AT23" i="2"/>
  <c r="AU23" i="2"/>
  <c r="AV23" i="2"/>
  <c r="AW23" i="2"/>
  <c r="AX23" i="2"/>
  <c r="AY23" i="2"/>
  <c r="AZ23" i="2"/>
  <c r="BA23" i="2"/>
  <c r="BB23" i="2"/>
  <c r="BC23" i="2"/>
  <c r="BD23" i="2"/>
  <c r="BE23" i="2"/>
  <c r="BF23" i="2"/>
  <c r="BG23" i="2"/>
  <c r="BH23" i="2"/>
  <c r="BI23" i="2"/>
  <c r="BJ23" i="2"/>
  <c r="BK23" i="2"/>
  <c r="BL23" i="2"/>
  <c r="BM23" i="2"/>
  <c r="BN23" i="2"/>
  <c r="BO23" i="2"/>
  <c r="BP23" i="2"/>
  <c r="BQ23" i="2"/>
  <c r="BR23" i="2"/>
  <c r="BS23" i="2"/>
  <c r="BT23" i="2"/>
  <c r="BU23" i="2"/>
  <c r="BV23" i="2"/>
  <c r="BW23" i="2"/>
  <c r="BX23" i="2"/>
  <c r="BY23" i="2"/>
  <c r="BZ23" i="2"/>
  <c r="CA23" i="2"/>
  <c r="CB23" i="2"/>
  <c r="CC23" i="2"/>
  <c r="CD23" i="2"/>
  <c r="CE23" i="2"/>
  <c r="CF23" i="2"/>
  <c r="CG23" i="2"/>
  <c r="CH23" i="2"/>
  <c r="CI23" i="2"/>
  <c r="CJ23" i="2"/>
  <c r="CK23" i="2"/>
  <c r="CL23" i="2"/>
  <c r="CM23" i="2"/>
  <c r="CN23" i="2"/>
  <c r="CO23" i="2"/>
  <c r="CP23" i="2"/>
  <c r="CQ23" i="2"/>
  <c r="CR23" i="2"/>
  <c r="CS23" i="2"/>
  <c r="CT23" i="2"/>
  <c r="CU23" i="2"/>
  <c r="CV23" i="2"/>
  <c r="CW23" i="2"/>
  <c r="CX23" i="2"/>
  <c r="CY23" i="2"/>
  <c r="CZ23" i="2"/>
  <c r="DA23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G24" i="2"/>
  <c r="AH24" i="2"/>
  <c r="AI24" i="2"/>
  <c r="AJ24" i="2"/>
  <c r="AK24" i="2"/>
  <c r="AL24" i="2"/>
  <c r="AM24" i="2"/>
  <c r="AN24" i="2"/>
  <c r="AO24" i="2"/>
  <c r="AP24" i="2"/>
  <c r="AQ24" i="2"/>
  <c r="AR24" i="2"/>
  <c r="AS24" i="2"/>
  <c r="AT24" i="2"/>
  <c r="AU24" i="2"/>
  <c r="AV24" i="2"/>
  <c r="AW24" i="2"/>
  <c r="AX24" i="2"/>
  <c r="AY24" i="2"/>
  <c r="AZ24" i="2"/>
  <c r="BA24" i="2"/>
  <c r="BB24" i="2"/>
  <c r="BC24" i="2"/>
  <c r="BD24" i="2"/>
  <c r="BE24" i="2"/>
  <c r="BF24" i="2"/>
  <c r="BG24" i="2"/>
  <c r="BH24" i="2"/>
  <c r="BI24" i="2"/>
  <c r="BJ24" i="2"/>
  <c r="BK24" i="2"/>
  <c r="BL24" i="2"/>
  <c r="BM24" i="2"/>
  <c r="BN24" i="2"/>
  <c r="BO24" i="2"/>
  <c r="BP24" i="2"/>
  <c r="BQ24" i="2"/>
  <c r="BR24" i="2"/>
  <c r="BS24" i="2"/>
  <c r="BT24" i="2"/>
  <c r="BU24" i="2"/>
  <c r="BV24" i="2"/>
  <c r="BW24" i="2"/>
  <c r="BX24" i="2"/>
  <c r="BY24" i="2"/>
  <c r="BZ24" i="2"/>
  <c r="CA24" i="2"/>
  <c r="CB24" i="2"/>
  <c r="CC24" i="2"/>
  <c r="CD24" i="2"/>
  <c r="CE24" i="2"/>
  <c r="CF24" i="2"/>
  <c r="CG24" i="2"/>
  <c r="CH24" i="2"/>
  <c r="CI24" i="2"/>
  <c r="CJ24" i="2"/>
  <c r="CK24" i="2"/>
  <c r="CL24" i="2"/>
  <c r="CM24" i="2"/>
  <c r="CN24" i="2"/>
  <c r="CO24" i="2"/>
  <c r="CP24" i="2"/>
  <c r="CQ24" i="2"/>
  <c r="CR24" i="2"/>
  <c r="CS24" i="2"/>
  <c r="CT24" i="2"/>
  <c r="CU24" i="2"/>
  <c r="CV24" i="2"/>
  <c r="CW24" i="2"/>
  <c r="CX24" i="2"/>
  <c r="CY24" i="2"/>
  <c r="CZ24" i="2"/>
  <c r="DA24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Z25" i="2"/>
  <c r="AA25" i="2"/>
  <c r="AB25" i="2"/>
  <c r="AC25" i="2"/>
  <c r="AD25" i="2"/>
  <c r="AE25" i="2"/>
  <c r="AF25" i="2"/>
  <c r="AG25" i="2"/>
  <c r="AH25" i="2"/>
  <c r="AI25" i="2"/>
  <c r="AJ25" i="2"/>
  <c r="AK25" i="2"/>
  <c r="AL25" i="2"/>
  <c r="AM25" i="2"/>
  <c r="AN25" i="2"/>
  <c r="AO25" i="2"/>
  <c r="AP25" i="2"/>
  <c r="AQ25" i="2"/>
  <c r="AR25" i="2"/>
  <c r="AS25" i="2"/>
  <c r="AT25" i="2"/>
  <c r="AU25" i="2"/>
  <c r="AV25" i="2"/>
  <c r="AW25" i="2"/>
  <c r="AX25" i="2"/>
  <c r="AY25" i="2"/>
  <c r="AZ25" i="2"/>
  <c r="BA25" i="2"/>
  <c r="BB25" i="2"/>
  <c r="BC25" i="2"/>
  <c r="BD25" i="2"/>
  <c r="BE25" i="2"/>
  <c r="BF25" i="2"/>
  <c r="BG25" i="2"/>
  <c r="BH25" i="2"/>
  <c r="BI25" i="2"/>
  <c r="BJ25" i="2"/>
  <c r="BK25" i="2"/>
  <c r="BL25" i="2"/>
  <c r="BM25" i="2"/>
  <c r="BN25" i="2"/>
  <c r="BO25" i="2"/>
  <c r="BP25" i="2"/>
  <c r="BQ25" i="2"/>
  <c r="BR25" i="2"/>
  <c r="BS25" i="2"/>
  <c r="BT25" i="2"/>
  <c r="BU25" i="2"/>
  <c r="BV25" i="2"/>
  <c r="BW25" i="2"/>
  <c r="BX25" i="2"/>
  <c r="BY25" i="2"/>
  <c r="BZ25" i="2"/>
  <c r="CA25" i="2"/>
  <c r="CB25" i="2"/>
  <c r="CC25" i="2"/>
  <c r="CD25" i="2"/>
  <c r="CE25" i="2"/>
  <c r="CF25" i="2"/>
  <c r="CG25" i="2"/>
  <c r="CH25" i="2"/>
  <c r="CI25" i="2"/>
  <c r="CJ25" i="2"/>
  <c r="CK25" i="2"/>
  <c r="CL25" i="2"/>
  <c r="CM25" i="2"/>
  <c r="CN25" i="2"/>
  <c r="CO25" i="2"/>
  <c r="CP25" i="2"/>
  <c r="CQ25" i="2"/>
  <c r="CR25" i="2"/>
  <c r="CS25" i="2"/>
  <c r="CT25" i="2"/>
  <c r="CU25" i="2"/>
  <c r="CV25" i="2"/>
  <c r="CW25" i="2"/>
  <c r="CX25" i="2"/>
  <c r="CY25" i="2"/>
  <c r="CZ25" i="2"/>
  <c r="DA25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Z26" i="2"/>
  <c r="AA26" i="2"/>
  <c r="AB26" i="2"/>
  <c r="AC26" i="2"/>
  <c r="AD26" i="2"/>
  <c r="AE26" i="2"/>
  <c r="AF26" i="2"/>
  <c r="AG26" i="2"/>
  <c r="AH26" i="2"/>
  <c r="AI26" i="2"/>
  <c r="AJ26" i="2"/>
  <c r="AK26" i="2"/>
  <c r="AL26" i="2"/>
  <c r="AM26" i="2"/>
  <c r="AN26" i="2"/>
  <c r="AO26" i="2"/>
  <c r="AP26" i="2"/>
  <c r="AQ26" i="2"/>
  <c r="AR26" i="2"/>
  <c r="AS26" i="2"/>
  <c r="AT26" i="2"/>
  <c r="AU26" i="2"/>
  <c r="AV26" i="2"/>
  <c r="AW26" i="2"/>
  <c r="AX26" i="2"/>
  <c r="AY26" i="2"/>
  <c r="AZ26" i="2"/>
  <c r="BA26" i="2"/>
  <c r="BB26" i="2"/>
  <c r="BC26" i="2"/>
  <c r="BD26" i="2"/>
  <c r="BE26" i="2"/>
  <c r="BF26" i="2"/>
  <c r="BG26" i="2"/>
  <c r="BH26" i="2"/>
  <c r="BI26" i="2"/>
  <c r="BJ26" i="2"/>
  <c r="BK26" i="2"/>
  <c r="BL26" i="2"/>
  <c r="BM26" i="2"/>
  <c r="BN26" i="2"/>
  <c r="BO26" i="2"/>
  <c r="BP26" i="2"/>
  <c r="BQ26" i="2"/>
  <c r="BR26" i="2"/>
  <c r="BS26" i="2"/>
  <c r="BT26" i="2"/>
  <c r="BU26" i="2"/>
  <c r="BV26" i="2"/>
  <c r="BW26" i="2"/>
  <c r="BX26" i="2"/>
  <c r="BY26" i="2"/>
  <c r="BZ26" i="2"/>
  <c r="CA26" i="2"/>
  <c r="CB26" i="2"/>
  <c r="CC26" i="2"/>
  <c r="CD26" i="2"/>
  <c r="CE26" i="2"/>
  <c r="CF26" i="2"/>
  <c r="CG26" i="2"/>
  <c r="CH26" i="2"/>
  <c r="CI26" i="2"/>
  <c r="CJ26" i="2"/>
  <c r="CK26" i="2"/>
  <c r="CL26" i="2"/>
  <c r="CM26" i="2"/>
  <c r="CN26" i="2"/>
  <c r="CO26" i="2"/>
  <c r="CP26" i="2"/>
  <c r="CQ26" i="2"/>
  <c r="CR26" i="2"/>
  <c r="CS26" i="2"/>
  <c r="CT26" i="2"/>
  <c r="CU26" i="2"/>
  <c r="CV26" i="2"/>
  <c r="CW26" i="2"/>
  <c r="CX26" i="2"/>
  <c r="CY26" i="2"/>
  <c r="CZ26" i="2"/>
  <c r="DA26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Z27" i="2"/>
  <c r="AA27" i="2"/>
  <c r="AB27" i="2"/>
  <c r="AC27" i="2"/>
  <c r="AD27" i="2"/>
  <c r="AE27" i="2"/>
  <c r="AF27" i="2"/>
  <c r="AG27" i="2"/>
  <c r="AH27" i="2"/>
  <c r="AI27" i="2"/>
  <c r="AJ27" i="2"/>
  <c r="AK27" i="2"/>
  <c r="AL27" i="2"/>
  <c r="AM27" i="2"/>
  <c r="AN27" i="2"/>
  <c r="AO27" i="2"/>
  <c r="AP27" i="2"/>
  <c r="AQ27" i="2"/>
  <c r="AR27" i="2"/>
  <c r="AS27" i="2"/>
  <c r="AT27" i="2"/>
  <c r="AU27" i="2"/>
  <c r="AV27" i="2"/>
  <c r="AW27" i="2"/>
  <c r="AX27" i="2"/>
  <c r="AY27" i="2"/>
  <c r="AZ27" i="2"/>
  <c r="BA27" i="2"/>
  <c r="BB27" i="2"/>
  <c r="BC27" i="2"/>
  <c r="BD27" i="2"/>
  <c r="BE27" i="2"/>
  <c r="BF27" i="2"/>
  <c r="BG27" i="2"/>
  <c r="BH27" i="2"/>
  <c r="BI27" i="2"/>
  <c r="BJ27" i="2"/>
  <c r="BK27" i="2"/>
  <c r="BL27" i="2"/>
  <c r="BM27" i="2"/>
  <c r="BN27" i="2"/>
  <c r="BO27" i="2"/>
  <c r="BP27" i="2"/>
  <c r="BQ27" i="2"/>
  <c r="BR27" i="2"/>
  <c r="BS27" i="2"/>
  <c r="BT27" i="2"/>
  <c r="BU27" i="2"/>
  <c r="BV27" i="2"/>
  <c r="BW27" i="2"/>
  <c r="BX27" i="2"/>
  <c r="BY27" i="2"/>
  <c r="BZ27" i="2"/>
  <c r="CA27" i="2"/>
  <c r="CB27" i="2"/>
  <c r="CC27" i="2"/>
  <c r="CD27" i="2"/>
  <c r="CE27" i="2"/>
  <c r="CF27" i="2"/>
  <c r="CG27" i="2"/>
  <c r="CH27" i="2"/>
  <c r="CI27" i="2"/>
  <c r="CJ27" i="2"/>
  <c r="CK27" i="2"/>
  <c r="CL27" i="2"/>
  <c r="CM27" i="2"/>
  <c r="CN27" i="2"/>
  <c r="CO27" i="2"/>
  <c r="CP27" i="2"/>
  <c r="CQ27" i="2"/>
  <c r="CR27" i="2"/>
  <c r="CS27" i="2"/>
  <c r="CT27" i="2"/>
  <c r="CU27" i="2"/>
  <c r="CV27" i="2"/>
  <c r="CW27" i="2"/>
  <c r="CX27" i="2"/>
  <c r="CY27" i="2"/>
  <c r="CZ27" i="2"/>
  <c r="DA27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Z28" i="2"/>
  <c r="AA28" i="2"/>
  <c r="AB28" i="2"/>
  <c r="AC28" i="2"/>
  <c r="AD28" i="2"/>
  <c r="AE28" i="2"/>
  <c r="AF28" i="2"/>
  <c r="AG28" i="2"/>
  <c r="AH28" i="2"/>
  <c r="AI28" i="2"/>
  <c r="AJ28" i="2"/>
  <c r="AK28" i="2"/>
  <c r="AL28" i="2"/>
  <c r="AM28" i="2"/>
  <c r="AN28" i="2"/>
  <c r="AO28" i="2"/>
  <c r="AP28" i="2"/>
  <c r="AQ28" i="2"/>
  <c r="AR28" i="2"/>
  <c r="AS28" i="2"/>
  <c r="AT28" i="2"/>
  <c r="AU28" i="2"/>
  <c r="AV28" i="2"/>
  <c r="AW28" i="2"/>
  <c r="AX28" i="2"/>
  <c r="AY28" i="2"/>
  <c r="AZ28" i="2"/>
  <c r="BA28" i="2"/>
  <c r="BB28" i="2"/>
  <c r="BC28" i="2"/>
  <c r="BD28" i="2"/>
  <c r="BE28" i="2"/>
  <c r="BF28" i="2"/>
  <c r="BG28" i="2"/>
  <c r="BH28" i="2"/>
  <c r="BI28" i="2"/>
  <c r="BJ28" i="2"/>
  <c r="BK28" i="2"/>
  <c r="BL28" i="2"/>
  <c r="BM28" i="2"/>
  <c r="BN28" i="2"/>
  <c r="BO28" i="2"/>
  <c r="BP28" i="2"/>
  <c r="BQ28" i="2"/>
  <c r="BR28" i="2"/>
  <c r="BS28" i="2"/>
  <c r="BT28" i="2"/>
  <c r="BU28" i="2"/>
  <c r="BV28" i="2"/>
  <c r="BW28" i="2"/>
  <c r="BX28" i="2"/>
  <c r="BY28" i="2"/>
  <c r="BZ28" i="2"/>
  <c r="CA28" i="2"/>
  <c r="CB28" i="2"/>
  <c r="CC28" i="2"/>
  <c r="CD28" i="2"/>
  <c r="CE28" i="2"/>
  <c r="CF28" i="2"/>
  <c r="CG28" i="2"/>
  <c r="CH28" i="2"/>
  <c r="CI28" i="2"/>
  <c r="CJ28" i="2"/>
  <c r="CK28" i="2"/>
  <c r="CL28" i="2"/>
  <c r="CM28" i="2"/>
  <c r="CN28" i="2"/>
  <c r="CO28" i="2"/>
  <c r="CP28" i="2"/>
  <c r="CQ28" i="2"/>
  <c r="CR28" i="2"/>
  <c r="CS28" i="2"/>
  <c r="CT28" i="2"/>
  <c r="CU28" i="2"/>
  <c r="CV28" i="2"/>
  <c r="CW28" i="2"/>
  <c r="CX28" i="2"/>
  <c r="CY28" i="2"/>
  <c r="CZ28" i="2"/>
  <c r="DA28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Z29" i="2"/>
  <c r="AA29" i="2"/>
  <c r="AB29" i="2"/>
  <c r="AC29" i="2"/>
  <c r="AD29" i="2"/>
  <c r="AE29" i="2"/>
  <c r="AF29" i="2"/>
  <c r="AG29" i="2"/>
  <c r="AH29" i="2"/>
  <c r="AI29" i="2"/>
  <c r="AJ29" i="2"/>
  <c r="AK29" i="2"/>
  <c r="AL29" i="2"/>
  <c r="AM29" i="2"/>
  <c r="AN29" i="2"/>
  <c r="AO29" i="2"/>
  <c r="AP29" i="2"/>
  <c r="AQ29" i="2"/>
  <c r="AR29" i="2"/>
  <c r="AS29" i="2"/>
  <c r="AT29" i="2"/>
  <c r="AU29" i="2"/>
  <c r="AV29" i="2"/>
  <c r="AW29" i="2"/>
  <c r="AX29" i="2"/>
  <c r="AY29" i="2"/>
  <c r="AZ29" i="2"/>
  <c r="BA29" i="2"/>
  <c r="BB29" i="2"/>
  <c r="BC29" i="2"/>
  <c r="BD29" i="2"/>
  <c r="BE29" i="2"/>
  <c r="BF29" i="2"/>
  <c r="BG29" i="2"/>
  <c r="BH29" i="2"/>
  <c r="BI29" i="2"/>
  <c r="BJ29" i="2"/>
  <c r="BK29" i="2"/>
  <c r="BL29" i="2"/>
  <c r="BM29" i="2"/>
  <c r="BN29" i="2"/>
  <c r="BO29" i="2"/>
  <c r="BP29" i="2"/>
  <c r="BQ29" i="2"/>
  <c r="BR29" i="2"/>
  <c r="BS29" i="2"/>
  <c r="BT29" i="2"/>
  <c r="BU29" i="2"/>
  <c r="BV29" i="2"/>
  <c r="BW29" i="2"/>
  <c r="BX29" i="2"/>
  <c r="BY29" i="2"/>
  <c r="BZ29" i="2"/>
  <c r="CA29" i="2"/>
  <c r="CB29" i="2"/>
  <c r="CC29" i="2"/>
  <c r="CD29" i="2"/>
  <c r="CE29" i="2"/>
  <c r="CF29" i="2"/>
  <c r="CG29" i="2"/>
  <c r="CH29" i="2"/>
  <c r="CI29" i="2"/>
  <c r="CJ29" i="2"/>
  <c r="CK29" i="2"/>
  <c r="CL29" i="2"/>
  <c r="CM29" i="2"/>
  <c r="CN29" i="2"/>
  <c r="CO29" i="2"/>
  <c r="CP29" i="2"/>
  <c r="CQ29" i="2"/>
  <c r="CR29" i="2"/>
  <c r="CS29" i="2"/>
  <c r="CT29" i="2"/>
  <c r="CU29" i="2"/>
  <c r="CV29" i="2"/>
  <c r="CW29" i="2"/>
  <c r="CX29" i="2"/>
  <c r="CY29" i="2"/>
  <c r="CZ29" i="2"/>
  <c r="DA29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F30" i="2"/>
  <c r="AG30" i="2"/>
  <c r="AH30" i="2"/>
  <c r="AI30" i="2"/>
  <c r="AJ30" i="2"/>
  <c r="AK30" i="2"/>
  <c r="AL30" i="2"/>
  <c r="AM30" i="2"/>
  <c r="AN30" i="2"/>
  <c r="AO30" i="2"/>
  <c r="AP30" i="2"/>
  <c r="AQ30" i="2"/>
  <c r="AR30" i="2"/>
  <c r="AS30" i="2"/>
  <c r="AT30" i="2"/>
  <c r="AU30" i="2"/>
  <c r="AV30" i="2"/>
  <c r="AW30" i="2"/>
  <c r="AX30" i="2"/>
  <c r="AY30" i="2"/>
  <c r="AZ30" i="2"/>
  <c r="BA30" i="2"/>
  <c r="BB30" i="2"/>
  <c r="BC30" i="2"/>
  <c r="BD30" i="2"/>
  <c r="BE30" i="2"/>
  <c r="BF30" i="2"/>
  <c r="BG30" i="2"/>
  <c r="BH30" i="2"/>
  <c r="BI30" i="2"/>
  <c r="BJ30" i="2"/>
  <c r="BK30" i="2"/>
  <c r="BL30" i="2"/>
  <c r="BM30" i="2"/>
  <c r="BN30" i="2"/>
  <c r="BO30" i="2"/>
  <c r="BP30" i="2"/>
  <c r="BQ30" i="2"/>
  <c r="BR30" i="2"/>
  <c r="BS30" i="2"/>
  <c r="BT30" i="2"/>
  <c r="BU30" i="2"/>
  <c r="BV30" i="2"/>
  <c r="BW30" i="2"/>
  <c r="BX30" i="2"/>
  <c r="BY30" i="2"/>
  <c r="BZ30" i="2"/>
  <c r="CA30" i="2"/>
  <c r="CB30" i="2"/>
  <c r="CC30" i="2"/>
  <c r="CD30" i="2"/>
  <c r="CE30" i="2"/>
  <c r="CF30" i="2"/>
  <c r="CG30" i="2"/>
  <c r="CH30" i="2"/>
  <c r="CI30" i="2"/>
  <c r="CJ30" i="2"/>
  <c r="CK30" i="2"/>
  <c r="CL30" i="2"/>
  <c r="CM30" i="2"/>
  <c r="CN30" i="2"/>
  <c r="CO30" i="2"/>
  <c r="CP30" i="2"/>
  <c r="CQ30" i="2"/>
  <c r="CR30" i="2"/>
  <c r="CS30" i="2"/>
  <c r="CT30" i="2"/>
  <c r="CU30" i="2"/>
  <c r="CV30" i="2"/>
  <c r="CW30" i="2"/>
  <c r="CX30" i="2"/>
  <c r="CY30" i="2"/>
  <c r="CZ30" i="2"/>
  <c r="DA30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Z31" i="2"/>
  <c r="AA31" i="2"/>
  <c r="AB31" i="2"/>
  <c r="AC31" i="2"/>
  <c r="AD31" i="2"/>
  <c r="AE31" i="2"/>
  <c r="AF31" i="2"/>
  <c r="AG31" i="2"/>
  <c r="AH31" i="2"/>
  <c r="AI31" i="2"/>
  <c r="AJ31" i="2"/>
  <c r="AK31" i="2"/>
  <c r="AL31" i="2"/>
  <c r="AM31" i="2"/>
  <c r="AN31" i="2"/>
  <c r="AO31" i="2"/>
  <c r="AP31" i="2"/>
  <c r="AQ31" i="2"/>
  <c r="AR31" i="2"/>
  <c r="AS31" i="2"/>
  <c r="AT31" i="2"/>
  <c r="AU31" i="2"/>
  <c r="AV31" i="2"/>
  <c r="AW31" i="2"/>
  <c r="AX31" i="2"/>
  <c r="AY31" i="2"/>
  <c r="AZ31" i="2"/>
  <c r="BA31" i="2"/>
  <c r="BB31" i="2"/>
  <c r="BC31" i="2"/>
  <c r="BD31" i="2"/>
  <c r="BE31" i="2"/>
  <c r="BF31" i="2"/>
  <c r="BG31" i="2"/>
  <c r="BH31" i="2"/>
  <c r="BI31" i="2"/>
  <c r="BJ31" i="2"/>
  <c r="BK31" i="2"/>
  <c r="BL31" i="2"/>
  <c r="BM31" i="2"/>
  <c r="BN31" i="2"/>
  <c r="BO31" i="2"/>
  <c r="BP31" i="2"/>
  <c r="BQ31" i="2"/>
  <c r="BR31" i="2"/>
  <c r="BS31" i="2"/>
  <c r="BT31" i="2"/>
  <c r="BU31" i="2"/>
  <c r="BV31" i="2"/>
  <c r="BW31" i="2"/>
  <c r="BX31" i="2"/>
  <c r="BY31" i="2"/>
  <c r="BZ31" i="2"/>
  <c r="CA31" i="2"/>
  <c r="CB31" i="2"/>
  <c r="CC31" i="2"/>
  <c r="CD31" i="2"/>
  <c r="CE31" i="2"/>
  <c r="CF31" i="2"/>
  <c r="CG31" i="2"/>
  <c r="CH31" i="2"/>
  <c r="CI31" i="2"/>
  <c r="CJ31" i="2"/>
  <c r="CK31" i="2"/>
  <c r="CL31" i="2"/>
  <c r="CM31" i="2"/>
  <c r="CN31" i="2"/>
  <c r="CO31" i="2"/>
  <c r="CP31" i="2"/>
  <c r="CQ31" i="2"/>
  <c r="CR31" i="2"/>
  <c r="CS31" i="2"/>
  <c r="CT31" i="2"/>
  <c r="CU31" i="2"/>
  <c r="CV31" i="2"/>
  <c r="CW31" i="2"/>
  <c r="CX31" i="2"/>
  <c r="CY31" i="2"/>
  <c r="CZ31" i="2"/>
  <c r="DA31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AB32" i="2"/>
  <c r="AC32" i="2"/>
  <c r="AD32" i="2"/>
  <c r="AE32" i="2"/>
  <c r="AF32" i="2"/>
  <c r="AG32" i="2"/>
  <c r="AH32" i="2"/>
  <c r="AI32" i="2"/>
  <c r="AJ32" i="2"/>
  <c r="AK32" i="2"/>
  <c r="AL32" i="2"/>
  <c r="AM32" i="2"/>
  <c r="AN32" i="2"/>
  <c r="AO32" i="2"/>
  <c r="AP32" i="2"/>
  <c r="AQ32" i="2"/>
  <c r="AR32" i="2"/>
  <c r="AS32" i="2"/>
  <c r="AT32" i="2"/>
  <c r="AU32" i="2"/>
  <c r="AV32" i="2"/>
  <c r="AW32" i="2"/>
  <c r="AX32" i="2"/>
  <c r="AY32" i="2"/>
  <c r="AZ32" i="2"/>
  <c r="BA32" i="2"/>
  <c r="BB32" i="2"/>
  <c r="BC32" i="2"/>
  <c r="BD32" i="2"/>
  <c r="BE32" i="2"/>
  <c r="BF32" i="2"/>
  <c r="BG32" i="2"/>
  <c r="BH32" i="2"/>
  <c r="BI32" i="2"/>
  <c r="BJ32" i="2"/>
  <c r="BK32" i="2"/>
  <c r="BL32" i="2"/>
  <c r="BM32" i="2"/>
  <c r="BN32" i="2"/>
  <c r="BO32" i="2"/>
  <c r="BP32" i="2"/>
  <c r="BQ32" i="2"/>
  <c r="BR32" i="2"/>
  <c r="BS32" i="2"/>
  <c r="BT32" i="2"/>
  <c r="BU32" i="2"/>
  <c r="BV32" i="2"/>
  <c r="BW32" i="2"/>
  <c r="BX32" i="2"/>
  <c r="BY32" i="2"/>
  <c r="BZ32" i="2"/>
  <c r="CA32" i="2"/>
  <c r="CB32" i="2"/>
  <c r="CC32" i="2"/>
  <c r="CD32" i="2"/>
  <c r="CE32" i="2"/>
  <c r="CF32" i="2"/>
  <c r="CG32" i="2"/>
  <c r="CH32" i="2"/>
  <c r="CI32" i="2"/>
  <c r="CJ32" i="2"/>
  <c r="CK32" i="2"/>
  <c r="CL32" i="2"/>
  <c r="CM32" i="2"/>
  <c r="CN32" i="2"/>
  <c r="CO32" i="2"/>
  <c r="CP32" i="2"/>
  <c r="CQ32" i="2"/>
  <c r="CR32" i="2"/>
  <c r="CS32" i="2"/>
  <c r="CT32" i="2"/>
  <c r="CU32" i="2"/>
  <c r="CV32" i="2"/>
  <c r="CW32" i="2"/>
  <c r="CX32" i="2"/>
  <c r="CY32" i="2"/>
  <c r="CZ32" i="2"/>
  <c r="DA32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Z33" i="2"/>
  <c r="AA33" i="2"/>
  <c r="AB33" i="2"/>
  <c r="AC33" i="2"/>
  <c r="AD33" i="2"/>
  <c r="AE33" i="2"/>
  <c r="AF33" i="2"/>
  <c r="AG33" i="2"/>
  <c r="AH33" i="2"/>
  <c r="AI33" i="2"/>
  <c r="AJ33" i="2"/>
  <c r="AK33" i="2"/>
  <c r="AL33" i="2"/>
  <c r="AM33" i="2"/>
  <c r="AN33" i="2"/>
  <c r="AO33" i="2"/>
  <c r="AP33" i="2"/>
  <c r="AQ33" i="2"/>
  <c r="AR33" i="2"/>
  <c r="AS33" i="2"/>
  <c r="AT33" i="2"/>
  <c r="AU33" i="2"/>
  <c r="AV33" i="2"/>
  <c r="AW33" i="2"/>
  <c r="AX33" i="2"/>
  <c r="AY33" i="2"/>
  <c r="AZ33" i="2"/>
  <c r="BA33" i="2"/>
  <c r="BB33" i="2"/>
  <c r="BC33" i="2"/>
  <c r="BD33" i="2"/>
  <c r="BE33" i="2"/>
  <c r="BF33" i="2"/>
  <c r="BG33" i="2"/>
  <c r="BH33" i="2"/>
  <c r="BI33" i="2"/>
  <c r="BJ33" i="2"/>
  <c r="BK33" i="2"/>
  <c r="BL33" i="2"/>
  <c r="BM33" i="2"/>
  <c r="BN33" i="2"/>
  <c r="BO33" i="2"/>
  <c r="BP33" i="2"/>
  <c r="BQ33" i="2"/>
  <c r="BR33" i="2"/>
  <c r="BS33" i="2"/>
  <c r="BT33" i="2"/>
  <c r="BU33" i="2"/>
  <c r="BV33" i="2"/>
  <c r="BW33" i="2"/>
  <c r="BX33" i="2"/>
  <c r="BY33" i="2"/>
  <c r="BZ33" i="2"/>
  <c r="CA33" i="2"/>
  <c r="CB33" i="2"/>
  <c r="CC33" i="2"/>
  <c r="CD33" i="2"/>
  <c r="CE33" i="2"/>
  <c r="CF33" i="2"/>
  <c r="CG33" i="2"/>
  <c r="CH33" i="2"/>
  <c r="CI33" i="2"/>
  <c r="CJ33" i="2"/>
  <c r="CK33" i="2"/>
  <c r="CL33" i="2"/>
  <c r="CM33" i="2"/>
  <c r="CN33" i="2"/>
  <c r="CO33" i="2"/>
  <c r="CP33" i="2"/>
  <c r="CQ33" i="2"/>
  <c r="CR33" i="2"/>
  <c r="CS33" i="2"/>
  <c r="CT33" i="2"/>
  <c r="CU33" i="2"/>
  <c r="CV33" i="2"/>
  <c r="CW33" i="2"/>
  <c r="CX33" i="2"/>
  <c r="CY33" i="2"/>
  <c r="CZ33" i="2"/>
  <c r="DA33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Z34" i="2"/>
  <c r="AA34" i="2"/>
  <c r="AB34" i="2"/>
  <c r="AC34" i="2"/>
  <c r="AD34" i="2"/>
  <c r="AE34" i="2"/>
  <c r="AF34" i="2"/>
  <c r="AG34" i="2"/>
  <c r="AH34" i="2"/>
  <c r="AI34" i="2"/>
  <c r="AJ34" i="2"/>
  <c r="AK34" i="2"/>
  <c r="AL34" i="2"/>
  <c r="AM34" i="2"/>
  <c r="AN34" i="2"/>
  <c r="AO34" i="2"/>
  <c r="AP34" i="2"/>
  <c r="AQ34" i="2"/>
  <c r="AR34" i="2"/>
  <c r="AS34" i="2"/>
  <c r="AT34" i="2"/>
  <c r="AU34" i="2"/>
  <c r="AV34" i="2"/>
  <c r="AW34" i="2"/>
  <c r="AX34" i="2"/>
  <c r="AY34" i="2"/>
  <c r="AZ34" i="2"/>
  <c r="BA34" i="2"/>
  <c r="BB34" i="2"/>
  <c r="BC34" i="2"/>
  <c r="BD34" i="2"/>
  <c r="BE34" i="2"/>
  <c r="BF34" i="2"/>
  <c r="BG34" i="2"/>
  <c r="BH34" i="2"/>
  <c r="BI34" i="2"/>
  <c r="BJ34" i="2"/>
  <c r="BK34" i="2"/>
  <c r="BL34" i="2"/>
  <c r="BM34" i="2"/>
  <c r="BN34" i="2"/>
  <c r="BO34" i="2"/>
  <c r="BP34" i="2"/>
  <c r="BQ34" i="2"/>
  <c r="BR34" i="2"/>
  <c r="BS34" i="2"/>
  <c r="BT34" i="2"/>
  <c r="BU34" i="2"/>
  <c r="BV34" i="2"/>
  <c r="BW34" i="2"/>
  <c r="BX34" i="2"/>
  <c r="BY34" i="2"/>
  <c r="BZ34" i="2"/>
  <c r="CA34" i="2"/>
  <c r="CB34" i="2"/>
  <c r="CC34" i="2"/>
  <c r="CD34" i="2"/>
  <c r="CE34" i="2"/>
  <c r="CF34" i="2"/>
  <c r="CG34" i="2"/>
  <c r="CH34" i="2"/>
  <c r="CI34" i="2"/>
  <c r="CJ34" i="2"/>
  <c r="CK34" i="2"/>
  <c r="CL34" i="2"/>
  <c r="CM34" i="2"/>
  <c r="CN34" i="2"/>
  <c r="CO34" i="2"/>
  <c r="CP34" i="2"/>
  <c r="CQ34" i="2"/>
  <c r="CR34" i="2"/>
  <c r="CS34" i="2"/>
  <c r="CT34" i="2"/>
  <c r="CU34" i="2"/>
  <c r="CV34" i="2"/>
  <c r="CW34" i="2"/>
  <c r="CX34" i="2"/>
  <c r="CY34" i="2"/>
  <c r="CZ34" i="2"/>
  <c r="DA34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Z35" i="2"/>
  <c r="AA35" i="2"/>
  <c r="AB35" i="2"/>
  <c r="AC35" i="2"/>
  <c r="AD35" i="2"/>
  <c r="AE35" i="2"/>
  <c r="AF35" i="2"/>
  <c r="AG35" i="2"/>
  <c r="AH35" i="2"/>
  <c r="AI35" i="2"/>
  <c r="AJ35" i="2"/>
  <c r="AK35" i="2"/>
  <c r="AL35" i="2"/>
  <c r="AM35" i="2"/>
  <c r="AN35" i="2"/>
  <c r="AO35" i="2"/>
  <c r="AP35" i="2"/>
  <c r="AQ35" i="2"/>
  <c r="AR35" i="2"/>
  <c r="AS35" i="2"/>
  <c r="AT35" i="2"/>
  <c r="AU35" i="2"/>
  <c r="AV35" i="2"/>
  <c r="AW35" i="2"/>
  <c r="AX35" i="2"/>
  <c r="AY35" i="2"/>
  <c r="AZ35" i="2"/>
  <c r="BA35" i="2"/>
  <c r="BB35" i="2"/>
  <c r="BC35" i="2"/>
  <c r="BD35" i="2"/>
  <c r="BE35" i="2"/>
  <c r="BF35" i="2"/>
  <c r="BG35" i="2"/>
  <c r="BH35" i="2"/>
  <c r="BI35" i="2"/>
  <c r="BJ35" i="2"/>
  <c r="BK35" i="2"/>
  <c r="BL35" i="2"/>
  <c r="BM35" i="2"/>
  <c r="BN35" i="2"/>
  <c r="BO35" i="2"/>
  <c r="BP35" i="2"/>
  <c r="BQ35" i="2"/>
  <c r="BR35" i="2"/>
  <c r="BS35" i="2"/>
  <c r="BT35" i="2"/>
  <c r="BU35" i="2"/>
  <c r="BV35" i="2"/>
  <c r="BW35" i="2"/>
  <c r="BX35" i="2"/>
  <c r="BY35" i="2"/>
  <c r="BZ35" i="2"/>
  <c r="CA35" i="2"/>
  <c r="CB35" i="2"/>
  <c r="CC35" i="2"/>
  <c r="CD35" i="2"/>
  <c r="CE35" i="2"/>
  <c r="CF35" i="2"/>
  <c r="CG35" i="2"/>
  <c r="CH35" i="2"/>
  <c r="CI35" i="2"/>
  <c r="CJ35" i="2"/>
  <c r="CK35" i="2"/>
  <c r="CL35" i="2"/>
  <c r="CM35" i="2"/>
  <c r="CN35" i="2"/>
  <c r="CO35" i="2"/>
  <c r="CP35" i="2"/>
  <c r="CQ35" i="2"/>
  <c r="CR35" i="2"/>
  <c r="CS35" i="2"/>
  <c r="CT35" i="2"/>
  <c r="CU35" i="2"/>
  <c r="CV35" i="2"/>
  <c r="CW35" i="2"/>
  <c r="CX35" i="2"/>
  <c r="CY35" i="2"/>
  <c r="CZ35" i="2"/>
  <c r="DA35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Z36" i="2"/>
  <c r="AA36" i="2"/>
  <c r="AB36" i="2"/>
  <c r="AC36" i="2"/>
  <c r="AD36" i="2"/>
  <c r="AE36" i="2"/>
  <c r="AF36" i="2"/>
  <c r="AG36" i="2"/>
  <c r="AH36" i="2"/>
  <c r="AI36" i="2"/>
  <c r="AJ36" i="2"/>
  <c r="AK36" i="2"/>
  <c r="AL36" i="2"/>
  <c r="AM36" i="2"/>
  <c r="AN36" i="2"/>
  <c r="AO36" i="2"/>
  <c r="AP36" i="2"/>
  <c r="AQ36" i="2"/>
  <c r="AR36" i="2"/>
  <c r="AS36" i="2"/>
  <c r="AT36" i="2"/>
  <c r="AU36" i="2"/>
  <c r="AV36" i="2"/>
  <c r="AW36" i="2"/>
  <c r="AX36" i="2"/>
  <c r="AY36" i="2"/>
  <c r="AZ36" i="2"/>
  <c r="BA36" i="2"/>
  <c r="BB36" i="2"/>
  <c r="BC36" i="2"/>
  <c r="BD36" i="2"/>
  <c r="BE36" i="2"/>
  <c r="BF36" i="2"/>
  <c r="BG36" i="2"/>
  <c r="BH36" i="2"/>
  <c r="BI36" i="2"/>
  <c r="BJ36" i="2"/>
  <c r="BK36" i="2"/>
  <c r="BL36" i="2"/>
  <c r="BM36" i="2"/>
  <c r="BN36" i="2"/>
  <c r="BO36" i="2"/>
  <c r="BP36" i="2"/>
  <c r="BQ36" i="2"/>
  <c r="BR36" i="2"/>
  <c r="BS36" i="2"/>
  <c r="BT36" i="2"/>
  <c r="BU36" i="2"/>
  <c r="BV36" i="2"/>
  <c r="BW36" i="2"/>
  <c r="BX36" i="2"/>
  <c r="BY36" i="2"/>
  <c r="BZ36" i="2"/>
  <c r="CA36" i="2"/>
  <c r="CB36" i="2"/>
  <c r="CC36" i="2"/>
  <c r="CD36" i="2"/>
  <c r="CE36" i="2"/>
  <c r="CF36" i="2"/>
  <c r="CG36" i="2"/>
  <c r="CH36" i="2"/>
  <c r="CI36" i="2"/>
  <c r="CJ36" i="2"/>
  <c r="CK36" i="2"/>
  <c r="CL36" i="2"/>
  <c r="CM36" i="2"/>
  <c r="CN36" i="2"/>
  <c r="CO36" i="2"/>
  <c r="CP36" i="2"/>
  <c r="CQ36" i="2"/>
  <c r="CR36" i="2"/>
  <c r="CS36" i="2"/>
  <c r="CT36" i="2"/>
  <c r="CU36" i="2"/>
  <c r="CV36" i="2"/>
  <c r="CW36" i="2"/>
  <c r="CX36" i="2"/>
  <c r="CY36" i="2"/>
  <c r="CZ36" i="2"/>
  <c r="DA36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Z37" i="2"/>
  <c r="AA37" i="2"/>
  <c r="AB37" i="2"/>
  <c r="AC37" i="2"/>
  <c r="AD37" i="2"/>
  <c r="AE37" i="2"/>
  <c r="AF37" i="2"/>
  <c r="AG37" i="2"/>
  <c r="AH37" i="2"/>
  <c r="AI37" i="2"/>
  <c r="AJ37" i="2"/>
  <c r="AK37" i="2"/>
  <c r="AL37" i="2"/>
  <c r="AM37" i="2"/>
  <c r="AN37" i="2"/>
  <c r="AO37" i="2"/>
  <c r="AP37" i="2"/>
  <c r="AQ37" i="2"/>
  <c r="AR37" i="2"/>
  <c r="AS37" i="2"/>
  <c r="AT37" i="2"/>
  <c r="AU37" i="2"/>
  <c r="AV37" i="2"/>
  <c r="AW37" i="2"/>
  <c r="AX37" i="2"/>
  <c r="AY37" i="2"/>
  <c r="AZ37" i="2"/>
  <c r="BA37" i="2"/>
  <c r="BB37" i="2"/>
  <c r="BC37" i="2"/>
  <c r="BD37" i="2"/>
  <c r="BE37" i="2"/>
  <c r="BF37" i="2"/>
  <c r="BG37" i="2"/>
  <c r="BH37" i="2"/>
  <c r="BI37" i="2"/>
  <c r="BJ37" i="2"/>
  <c r="BK37" i="2"/>
  <c r="BL37" i="2"/>
  <c r="BM37" i="2"/>
  <c r="BN37" i="2"/>
  <c r="BO37" i="2"/>
  <c r="BP37" i="2"/>
  <c r="BQ37" i="2"/>
  <c r="BR37" i="2"/>
  <c r="BS37" i="2"/>
  <c r="BT37" i="2"/>
  <c r="BU37" i="2"/>
  <c r="BV37" i="2"/>
  <c r="BW37" i="2"/>
  <c r="BX37" i="2"/>
  <c r="BY37" i="2"/>
  <c r="BZ37" i="2"/>
  <c r="CA37" i="2"/>
  <c r="CB37" i="2"/>
  <c r="CC37" i="2"/>
  <c r="CD37" i="2"/>
  <c r="CE37" i="2"/>
  <c r="CF37" i="2"/>
  <c r="CG37" i="2"/>
  <c r="CH37" i="2"/>
  <c r="CI37" i="2"/>
  <c r="CJ37" i="2"/>
  <c r="CK37" i="2"/>
  <c r="CL37" i="2"/>
  <c r="CM37" i="2"/>
  <c r="CN37" i="2"/>
  <c r="CO37" i="2"/>
  <c r="CP37" i="2"/>
  <c r="CQ37" i="2"/>
  <c r="CR37" i="2"/>
  <c r="CS37" i="2"/>
  <c r="CT37" i="2"/>
  <c r="CU37" i="2"/>
  <c r="CV37" i="2"/>
  <c r="CW37" i="2"/>
  <c r="CX37" i="2"/>
  <c r="CY37" i="2"/>
  <c r="CZ37" i="2"/>
  <c r="DA37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Z38" i="2"/>
  <c r="AA38" i="2"/>
  <c r="AB38" i="2"/>
  <c r="AC38" i="2"/>
  <c r="AD38" i="2"/>
  <c r="AE38" i="2"/>
  <c r="AF38" i="2"/>
  <c r="AG38" i="2"/>
  <c r="AH38" i="2"/>
  <c r="AI38" i="2"/>
  <c r="AJ38" i="2"/>
  <c r="AK38" i="2"/>
  <c r="AL38" i="2"/>
  <c r="AM38" i="2"/>
  <c r="AN38" i="2"/>
  <c r="AO38" i="2"/>
  <c r="AP38" i="2"/>
  <c r="AQ38" i="2"/>
  <c r="AR38" i="2"/>
  <c r="AS38" i="2"/>
  <c r="AT38" i="2"/>
  <c r="AU38" i="2"/>
  <c r="AV38" i="2"/>
  <c r="AW38" i="2"/>
  <c r="AX38" i="2"/>
  <c r="AY38" i="2"/>
  <c r="AZ38" i="2"/>
  <c r="BA38" i="2"/>
  <c r="BB38" i="2"/>
  <c r="BC38" i="2"/>
  <c r="BD38" i="2"/>
  <c r="BE38" i="2"/>
  <c r="BF38" i="2"/>
  <c r="BG38" i="2"/>
  <c r="BH38" i="2"/>
  <c r="BI38" i="2"/>
  <c r="BJ38" i="2"/>
  <c r="BK38" i="2"/>
  <c r="BL38" i="2"/>
  <c r="BM38" i="2"/>
  <c r="BN38" i="2"/>
  <c r="BO38" i="2"/>
  <c r="BP38" i="2"/>
  <c r="BQ38" i="2"/>
  <c r="BR38" i="2"/>
  <c r="BS38" i="2"/>
  <c r="BT38" i="2"/>
  <c r="BU38" i="2"/>
  <c r="BV38" i="2"/>
  <c r="BW38" i="2"/>
  <c r="BX38" i="2"/>
  <c r="BY38" i="2"/>
  <c r="BZ38" i="2"/>
  <c r="CA38" i="2"/>
  <c r="CB38" i="2"/>
  <c r="CC38" i="2"/>
  <c r="CD38" i="2"/>
  <c r="CE38" i="2"/>
  <c r="CF38" i="2"/>
  <c r="CG38" i="2"/>
  <c r="CH38" i="2"/>
  <c r="CI38" i="2"/>
  <c r="CJ38" i="2"/>
  <c r="CK38" i="2"/>
  <c r="CL38" i="2"/>
  <c r="CM38" i="2"/>
  <c r="CN38" i="2"/>
  <c r="CO38" i="2"/>
  <c r="CP38" i="2"/>
  <c r="CQ38" i="2"/>
  <c r="CR38" i="2"/>
  <c r="CS38" i="2"/>
  <c r="CT38" i="2"/>
  <c r="CU38" i="2"/>
  <c r="CV38" i="2"/>
  <c r="CW38" i="2"/>
  <c r="CX38" i="2"/>
  <c r="CY38" i="2"/>
  <c r="CZ38" i="2"/>
  <c r="DA38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Z39" i="2"/>
  <c r="AA39" i="2"/>
  <c r="AB39" i="2"/>
  <c r="AC39" i="2"/>
  <c r="AD39" i="2"/>
  <c r="AE39" i="2"/>
  <c r="AF39" i="2"/>
  <c r="AG39" i="2"/>
  <c r="AH39" i="2"/>
  <c r="AI39" i="2"/>
  <c r="AJ39" i="2"/>
  <c r="AK39" i="2"/>
  <c r="AL39" i="2"/>
  <c r="AM39" i="2"/>
  <c r="AN39" i="2"/>
  <c r="AO39" i="2"/>
  <c r="AP39" i="2"/>
  <c r="AQ39" i="2"/>
  <c r="AR39" i="2"/>
  <c r="AS39" i="2"/>
  <c r="AT39" i="2"/>
  <c r="AU39" i="2"/>
  <c r="AV39" i="2"/>
  <c r="AW39" i="2"/>
  <c r="AX39" i="2"/>
  <c r="AY39" i="2"/>
  <c r="AZ39" i="2"/>
  <c r="BA39" i="2"/>
  <c r="BB39" i="2"/>
  <c r="BC39" i="2"/>
  <c r="BD39" i="2"/>
  <c r="BE39" i="2"/>
  <c r="BF39" i="2"/>
  <c r="BG39" i="2"/>
  <c r="BH39" i="2"/>
  <c r="BI39" i="2"/>
  <c r="BJ39" i="2"/>
  <c r="BK39" i="2"/>
  <c r="BL39" i="2"/>
  <c r="BM39" i="2"/>
  <c r="BN39" i="2"/>
  <c r="BO39" i="2"/>
  <c r="BP39" i="2"/>
  <c r="BQ39" i="2"/>
  <c r="BR39" i="2"/>
  <c r="BS39" i="2"/>
  <c r="BT39" i="2"/>
  <c r="BU39" i="2"/>
  <c r="BV39" i="2"/>
  <c r="BW39" i="2"/>
  <c r="BX39" i="2"/>
  <c r="BY39" i="2"/>
  <c r="BZ39" i="2"/>
  <c r="CA39" i="2"/>
  <c r="CB39" i="2"/>
  <c r="CC39" i="2"/>
  <c r="CD39" i="2"/>
  <c r="CE39" i="2"/>
  <c r="CF39" i="2"/>
  <c r="CG39" i="2"/>
  <c r="CH39" i="2"/>
  <c r="CI39" i="2"/>
  <c r="CJ39" i="2"/>
  <c r="CK39" i="2"/>
  <c r="CL39" i="2"/>
  <c r="CM39" i="2"/>
  <c r="CN39" i="2"/>
  <c r="CO39" i="2"/>
  <c r="CP39" i="2"/>
  <c r="CQ39" i="2"/>
  <c r="CR39" i="2"/>
  <c r="CS39" i="2"/>
  <c r="CT39" i="2"/>
  <c r="CU39" i="2"/>
  <c r="CV39" i="2"/>
  <c r="CW39" i="2"/>
  <c r="CX39" i="2"/>
  <c r="CY39" i="2"/>
  <c r="CZ39" i="2"/>
  <c r="DA39" i="2"/>
  <c r="F40" i="2"/>
  <c r="G40" i="2"/>
  <c r="H40" i="2"/>
  <c r="I40" i="2"/>
  <c r="J40" i="2"/>
  <c r="K40" i="2"/>
  <c r="L40" i="2"/>
  <c r="M40" i="2"/>
  <c r="N40" i="2"/>
  <c r="O40" i="2"/>
  <c r="P40" i="2"/>
  <c r="Q40" i="2"/>
  <c r="R40" i="2"/>
  <c r="S40" i="2"/>
  <c r="T40" i="2"/>
  <c r="U40" i="2"/>
  <c r="V40" i="2"/>
  <c r="W40" i="2"/>
  <c r="X40" i="2"/>
  <c r="Y40" i="2"/>
  <c r="Z40" i="2"/>
  <c r="AA40" i="2"/>
  <c r="AB40" i="2"/>
  <c r="AC40" i="2"/>
  <c r="AD40" i="2"/>
  <c r="AE40" i="2"/>
  <c r="AF40" i="2"/>
  <c r="AG40" i="2"/>
  <c r="AH40" i="2"/>
  <c r="AI40" i="2"/>
  <c r="AJ40" i="2"/>
  <c r="AK40" i="2"/>
  <c r="AL40" i="2"/>
  <c r="AM40" i="2"/>
  <c r="AN40" i="2"/>
  <c r="AO40" i="2"/>
  <c r="AP40" i="2"/>
  <c r="AQ40" i="2"/>
  <c r="AR40" i="2"/>
  <c r="AS40" i="2"/>
  <c r="AT40" i="2"/>
  <c r="AU40" i="2"/>
  <c r="AV40" i="2"/>
  <c r="AW40" i="2"/>
  <c r="AX40" i="2"/>
  <c r="AY40" i="2"/>
  <c r="AZ40" i="2"/>
  <c r="BA40" i="2"/>
  <c r="BB40" i="2"/>
  <c r="BC40" i="2"/>
  <c r="BD40" i="2"/>
  <c r="BE40" i="2"/>
  <c r="BF40" i="2"/>
  <c r="BG40" i="2"/>
  <c r="BH40" i="2"/>
  <c r="BI40" i="2"/>
  <c r="BJ40" i="2"/>
  <c r="BK40" i="2"/>
  <c r="BL40" i="2"/>
  <c r="BM40" i="2"/>
  <c r="BN40" i="2"/>
  <c r="BO40" i="2"/>
  <c r="BP40" i="2"/>
  <c r="BQ40" i="2"/>
  <c r="BR40" i="2"/>
  <c r="BS40" i="2"/>
  <c r="BT40" i="2"/>
  <c r="BU40" i="2"/>
  <c r="BV40" i="2"/>
  <c r="BW40" i="2"/>
  <c r="BX40" i="2"/>
  <c r="BY40" i="2"/>
  <c r="BZ40" i="2"/>
  <c r="CA40" i="2"/>
  <c r="CB40" i="2"/>
  <c r="CC40" i="2"/>
  <c r="CD40" i="2"/>
  <c r="CE40" i="2"/>
  <c r="CF40" i="2"/>
  <c r="CG40" i="2"/>
  <c r="CH40" i="2"/>
  <c r="CI40" i="2"/>
  <c r="CJ40" i="2"/>
  <c r="CK40" i="2"/>
  <c r="CL40" i="2"/>
  <c r="CM40" i="2"/>
  <c r="CN40" i="2"/>
  <c r="CO40" i="2"/>
  <c r="CP40" i="2"/>
  <c r="CQ40" i="2"/>
  <c r="CR40" i="2"/>
  <c r="CS40" i="2"/>
  <c r="CT40" i="2"/>
  <c r="CU40" i="2"/>
  <c r="CV40" i="2"/>
  <c r="CW40" i="2"/>
  <c r="CX40" i="2"/>
  <c r="CY40" i="2"/>
  <c r="CZ40" i="2"/>
  <c r="DA40" i="2"/>
  <c r="F41" i="2"/>
  <c r="G41" i="2"/>
  <c r="H41" i="2"/>
  <c r="I41" i="2"/>
  <c r="J41" i="2"/>
  <c r="K41" i="2"/>
  <c r="L41" i="2"/>
  <c r="M41" i="2"/>
  <c r="N41" i="2"/>
  <c r="O41" i="2"/>
  <c r="P41" i="2"/>
  <c r="Q41" i="2"/>
  <c r="R41" i="2"/>
  <c r="S41" i="2"/>
  <c r="T41" i="2"/>
  <c r="U41" i="2"/>
  <c r="V41" i="2"/>
  <c r="W41" i="2"/>
  <c r="X41" i="2"/>
  <c r="Y41" i="2"/>
  <c r="Z41" i="2"/>
  <c r="AA41" i="2"/>
  <c r="AB41" i="2"/>
  <c r="AC41" i="2"/>
  <c r="AD41" i="2"/>
  <c r="AE41" i="2"/>
  <c r="AF41" i="2"/>
  <c r="AG41" i="2"/>
  <c r="AH41" i="2"/>
  <c r="AI41" i="2"/>
  <c r="AJ41" i="2"/>
  <c r="AK41" i="2"/>
  <c r="AL41" i="2"/>
  <c r="AM41" i="2"/>
  <c r="AN41" i="2"/>
  <c r="AO41" i="2"/>
  <c r="AP41" i="2"/>
  <c r="AQ41" i="2"/>
  <c r="AR41" i="2"/>
  <c r="AS41" i="2"/>
  <c r="AT41" i="2"/>
  <c r="AU41" i="2"/>
  <c r="AV41" i="2"/>
  <c r="AW41" i="2"/>
  <c r="AX41" i="2"/>
  <c r="AY41" i="2"/>
  <c r="AZ41" i="2"/>
  <c r="BA41" i="2"/>
  <c r="BB41" i="2"/>
  <c r="BC41" i="2"/>
  <c r="BD41" i="2"/>
  <c r="BE41" i="2"/>
  <c r="BF41" i="2"/>
  <c r="BG41" i="2"/>
  <c r="BH41" i="2"/>
  <c r="BI41" i="2"/>
  <c r="BJ41" i="2"/>
  <c r="BK41" i="2"/>
  <c r="BL41" i="2"/>
  <c r="BM41" i="2"/>
  <c r="BN41" i="2"/>
  <c r="BO41" i="2"/>
  <c r="BP41" i="2"/>
  <c r="BQ41" i="2"/>
  <c r="BR41" i="2"/>
  <c r="BS41" i="2"/>
  <c r="BT41" i="2"/>
  <c r="BU41" i="2"/>
  <c r="BV41" i="2"/>
  <c r="BW41" i="2"/>
  <c r="BX41" i="2"/>
  <c r="BY41" i="2"/>
  <c r="BZ41" i="2"/>
  <c r="CA41" i="2"/>
  <c r="CB41" i="2"/>
  <c r="CC41" i="2"/>
  <c r="CD41" i="2"/>
  <c r="CE41" i="2"/>
  <c r="CF41" i="2"/>
  <c r="CG41" i="2"/>
  <c r="CH41" i="2"/>
  <c r="CI41" i="2"/>
  <c r="CJ41" i="2"/>
  <c r="CK41" i="2"/>
  <c r="CL41" i="2"/>
  <c r="CM41" i="2"/>
  <c r="CN41" i="2"/>
  <c r="CO41" i="2"/>
  <c r="CP41" i="2"/>
  <c r="CQ41" i="2"/>
  <c r="CR41" i="2"/>
  <c r="CS41" i="2"/>
  <c r="CT41" i="2"/>
  <c r="CU41" i="2"/>
  <c r="CV41" i="2"/>
  <c r="CW41" i="2"/>
  <c r="CX41" i="2"/>
  <c r="CY41" i="2"/>
  <c r="CZ41" i="2"/>
  <c r="DA41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Z42" i="2"/>
  <c r="AA42" i="2"/>
  <c r="AB42" i="2"/>
  <c r="AC42" i="2"/>
  <c r="AD42" i="2"/>
  <c r="AE42" i="2"/>
  <c r="AF42" i="2"/>
  <c r="AG42" i="2"/>
  <c r="AH42" i="2"/>
  <c r="AI42" i="2"/>
  <c r="AJ42" i="2"/>
  <c r="AK42" i="2"/>
  <c r="AL42" i="2"/>
  <c r="AM42" i="2"/>
  <c r="AN42" i="2"/>
  <c r="AO42" i="2"/>
  <c r="AP42" i="2"/>
  <c r="AQ42" i="2"/>
  <c r="AR42" i="2"/>
  <c r="AS42" i="2"/>
  <c r="AT42" i="2"/>
  <c r="AU42" i="2"/>
  <c r="AV42" i="2"/>
  <c r="AW42" i="2"/>
  <c r="AX42" i="2"/>
  <c r="AY42" i="2"/>
  <c r="AZ42" i="2"/>
  <c r="BA42" i="2"/>
  <c r="BB42" i="2"/>
  <c r="BC42" i="2"/>
  <c r="BD42" i="2"/>
  <c r="BE42" i="2"/>
  <c r="BF42" i="2"/>
  <c r="BG42" i="2"/>
  <c r="BH42" i="2"/>
  <c r="BI42" i="2"/>
  <c r="BJ42" i="2"/>
  <c r="BK42" i="2"/>
  <c r="BL42" i="2"/>
  <c r="BM42" i="2"/>
  <c r="BN42" i="2"/>
  <c r="BO42" i="2"/>
  <c r="BP42" i="2"/>
  <c r="BQ42" i="2"/>
  <c r="BR42" i="2"/>
  <c r="BS42" i="2"/>
  <c r="BT42" i="2"/>
  <c r="BU42" i="2"/>
  <c r="BV42" i="2"/>
  <c r="BW42" i="2"/>
  <c r="BX42" i="2"/>
  <c r="BY42" i="2"/>
  <c r="BZ42" i="2"/>
  <c r="CA42" i="2"/>
  <c r="CB42" i="2"/>
  <c r="CC42" i="2"/>
  <c r="CD42" i="2"/>
  <c r="CE42" i="2"/>
  <c r="CF42" i="2"/>
  <c r="CG42" i="2"/>
  <c r="CH42" i="2"/>
  <c r="CI42" i="2"/>
  <c r="CJ42" i="2"/>
  <c r="CK42" i="2"/>
  <c r="CL42" i="2"/>
  <c r="CM42" i="2"/>
  <c r="CN42" i="2"/>
  <c r="CO42" i="2"/>
  <c r="CP42" i="2"/>
  <c r="CQ42" i="2"/>
  <c r="CR42" i="2"/>
  <c r="CS42" i="2"/>
  <c r="CT42" i="2"/>
  <c r="CU42" i="2"/>
  <c r="CV42" i="2"/>
  <c r="CW42" i="2"/>
  <c r="CX42" i="2"/>
  <c r="CY42" i="2"/>
  <c r="CZ42" i="2"/>
  <c r="DA42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AG43" i="2"/>
  <c r="AH43" i="2"/>
  <c r="AI43" i="2"/>
  <c r="AJ43" i="2"/>
  <c r="AK43" i="2"/>
  <c r="AL43" i="2"/>
  <c r="AM43" i="2"/>
  <c r="AN43" i="2"/>
  <c r="AO43" i="2"/>
  <c r="AP43" i="2"/>
  <c r="AQ43" i="2"/>
  <c r="AR43" i="2"/>
  <c r="AS43" i="2"/>
  <c r="AT43" i="2"/>
  <c r="AU43" i="2"/>
  <c r="AV43" i="2"/>
  <c r="AW43" i="2"/>
  <c r="AX43" i="2"/>
  <c r="AY43" i="2"/>
  <c r="AZ43" i="2"/>
  <c r="BA43" i="2"/>
  <c r="BB43" i="2"/>
  <c r="BC43" i="2"/>
  <c r="BD43" i="2"/>
  <c r="BE43" i="2"/>
  <c r="BF43" i="2"/>
  <c r="BG43" i="2"/>
  <c r="BH43" i="2"/>
  <c r="BI43" i="2"/>
  <c r="BJ43" i="2"/>
  <c r="BK43" i="2"/>
  <c r="BL43" i="2"/>
  <c r="BM43" i="2"/>
  <c r="BN43" i="2"/>
  <c r="BO43" i="2"/>
  <c r="BP43" i="2"/>
  <c r="BQ43" i="2"/>
  <c r="BR43" i="2"/>
  <c r="BS43" i="2"/>
  <c r="BT43" i="2"/>
  <c r="BU43" i="2"/>
  <c r="BV43" i="2"/>
  <c r="BW43" i="2"/>
  <c r="BX43" i="2"/>
  <c r="BY43" i="2"/>
  <c r="BZ43" i="2"/>
  <c r="CA43" i="2"/>
  <c r="CB43" i="2"/>
  <c r="CC43" i="2"/>
  <c r="CD43" i="2"/>
  <c r="CE43" i="2"/>
  <c r="CF43" i="2"/>
  <c r="CG43" i="2"/>
  <c r="CH43" i="2"/>
  <c r="CI43" i="2"/>
  <c r="CJ43" i="2"/>
  <c r="CK43" i="2"/>
  <c r="CL43" i="2"/>
  <c r="CM43" i="2"/>
  <c r="CN43" i="2"/>
  <c r="CO43" i="2"/>
  <c r="CP43" i="2"/>
  <c r="CQ43" i="2"/>
  <c r="CR43" i="2"/>
  <c r="CS43" i="2"/>
  <c r="CT43" i="2"/>
  <c r="CU43" i="2"/>
  <c r="CV43" i="2"/>
  <c r="CW43" i="2"/>
  <c r="CX43" i="2"/>
  <c r="CY43" i="2"/>
  <c r="CZ43" i="2"/>
  <c r="DA43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Z44" i="2"/>
  <c r="AA44" i="2"/>
  <c r="AB44" i="2"/>
  <c r="AC44" i="2"/>
  <c r="AD44" i="2"/>
  <c r="AE44" i="2"/>
  <c r="AF44" i="2"/>
  <c r="AG44" i="2"/>
  <c r="AH44" i="2"/>
  <c r="AI44" i="2"/>
  <c r="AJ44" i="2"/>
  <c r="AK44" i="2"/>
  <c r="AL44" i="2"/>
  <c r="AM44" i="2"/>
  <c r="AN44" i="2"/>
  <c r="AO44" i="2"/>
  <c r="AP44" i="2"/>
  <c r="AQ44" i="2"/>
  <c r="AR44" i="2"/>
  <c r="AS44" i="2"/>
  <c r="AT44" i="2"/>
  <c r="AU44" i="2"/>
  <c r="AV44" i="2"/>
  <c r="AW44" i="2"/>
  <c r="AX44" i="2"/>
  <c r="AY44" i="2"/>
  <c r="AZ44" i="2"/>
  <c r="BA44" i="2"/>
  <c r="BB44" i="2"/>
  <c r="BC44" i="2"/>
  <c r="BD44" i="2"/>
  <c r="BE44" i="2"/>
  <c r="BF44" i="2"/>
  <c r="BG44" i="2"/>
  <c r="BH44" i="2"/>
  <c r="BI44" i="2"/>
  <c r="BJ44" i="2"/>
  <c r="BK44" i="2"/>
  <c r="BL44" i="2"/>
  <c r="BM44" i="2"/>
  <c r="BN44" i="2"/>
  <c r="BO44" i="2"/>
  <c r="BP44" i="2"/>
  <c r="BQ44" i="2"/>
  <c r="BR44" i="2"/>
  <c r="BS44" i="2"/>
  <c r="BT44" i="2"/>
  <c r="BU44" i="2"/>
  <c r="BV44" i="2"/>
  <c r="BW44" i="2"/>
  <c r="BX44" i="2"/>
  <c r="BY44" i="2"/>
  <c r="BZ44" i="2"/>
  <c r="CA44" i="2"/>
  <c r="CB44" i="2"/>
  <c r="CC44" i="2"/>
  <c r="CD44" i="2"/>
  <c r="CE44" i="2"/>
  <c r="CF44" i="2"/>
  <c r="CG44" i="2"/>
  <c r="CH44" i="2"/>
  <c r="CI44" i="2"/>
  <c r="CJ44" i="2"/>
  <c r="CK44" i="2"/>
  <c r="CL44" i="2"/>
  <c r="CM44" i="2"/>
  <c r="CN44" i="2"/>
  <c r="CO44" i="2"/>
  <c r="CP44" i="2"/>
  <c r="CQ44" i="2"/>
  <c r="CR44" i="2"/>
  <c r="CS44" i="2"/>
  <c r="CT44" i="2"/>
  <c r="CU44" i="2"/>
  <c r="CV44" i="2"/>
  <c r="CW44" i="2"/>
  <c r="CX44" i="2"/>
  <c r="CY44" i="2"/>
  <c r="CZ44" i="2"/>
  <c r="DA44" i="2"/>
  <c r="F45" i="2"/>
  <c r="G45" i="2"/>
  <c r="H45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Z45" i="2"/>
  <c r="AA45" i="2"/>
  <c r="AB45" i="2"/>
  <c r="AC45" i="2"/>
  <c r="AD45" i="2"/>
  <c r="AE45" i="2"/>
  <c r="AF45" i="2"/>
  <c r="AG45" i="2"/>
  <c r="AH45" i="2"/>
  <c r="AI45" i="2"/>
  <c r="AJ45" i="2"/>
  <c r="AK45" i="2"/>
  <c r="AL45" i="2"/>
  <c r="AM45" i="2"/>
  <c r="AN45" i="2"/>
  <c r="AO45" i="2"/>
  <c r="AP45" i="2"/>
  <c r="AQ45" i="2"/>
  <c r="AR45" i="2"/>
  <c r="AS45" i="2"/>
  <c r="AT45" i="2"/>
  <c r="AU45" i="2"/>
  <c r="AV45" i="2"/>
  <c r="AW45" i="2"/>
  <c r="AX45" i="2"/>
  <c r="AY45" i="2"/>
  <c r="AZ45" i="2"/>
  <c r="BA45" i="2"/>
  <c r="BB45" i="2"/>
  <c r="BC45" i="2"/>
  <c r="BD45" i="2"/>
  <c r="BE45" i="2"/>
  <c r="BF45" i="2"/>
  <c r="BG45" i="2"/>
  <c r="BH45" i="2"/>
  <c r="BI45" i="2"/>
  <c r="BJ45" i="2"/>
  <c r="BK45" i="2"/>
  <c r="BL45" i="2"/>
  <c r="BM45" i="2"/>
  <c r="BN45" i="2"/>
  <c r="BO45" i="2"/>
  <c r="BP45" i="2"/>
  <c r="BQ45" i="2"/>
  <c r="BR45" i="2"/>
  <c r="BS45" i="2"/>
  <c r="BT45" i="2"/>
  <c r="BU45" i="2"/>
  <c r="BV45" i="2"/>
  <c r="BW45" i="2"/>
  <c r="BX45" i="2"/>
  <c r="BY45" i="2"/>
  <c r="BZ45" i="2"/>
  <c r="CA45" i="2"/>
  <c r="CB45" i="2"/>
  <c r="CC45" i="2"/>
  <c r="CD45" i="2"/>
  <c r="CE45" i="2"/>
  <c r="CF45" i="2"/>
  <c r="CG45" i="2"/>
  <c r="CH45" i="2"/>
  <c r="CI45" i="2"/>
  <c r="CJ45" i="2"/>
  <c r="CK45" i="2"/>
  <c r="CL45" i="2"/>
  <c r="CM45" i="2"/>
  <c r="CN45" i="2"/>
  <c r="CO45" i="2"/>
  <c r="CP45" i="2"/>
  <c r="CQ45" i="2"/>
  <c r="CR45" i="2"/>
  <c r="CS45" i="2"/>
  <c r="CT45" i="2"/>
  <c r="CU45" i="2"/>
  <c r="CV45" i="2"/>
  <c r="CW45" i="2"/>
  <c r="CX45" i="2"/>
  <c r="CY45" i="2"/>
  <c r="CZ45" i="2"/>
  <c r="DA45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Z46" i="2"/>
  <c r="AA46" i="2"/>
  <c r="AB46" i="2"/>
  <c r="AC46" i="2"/>
  <c r="AD46" i="2"/>
  <c r="AE46" i="2"/>
  <c r="AF46" i="2"/>
  <c r="AG46" i="2"/>
  <c r="AH46" i="2"/>
  <c r="AI46" i="2"/>
  <c r="AJ46" i="2"/>
  <c r="AK46" i="2"/>
  <c r="AL46" i="2"/>
  <c r="AM46" i="2"/>
  <c r="AN46" i="2"/>
  <c r="AO46" i="2"/>
  <c r="AP46" i="2"/>
  <c r="AQ46" i="2"/>
  <c r="AR46" i="2"/>
  <c r="AS46" i="2"/>
  <c r="AT46" i="2"/>
  <c r="AU46" i="2"/>
  <c r="AV46" i="2"/>
  <c r="AW46" i="2"/>
  <c r="AX46" i="2"/>
  <c r="AY46" i="2"/>
  <c r="AZ46" i="2"/>
  <c r="BA46" i="2"/>
  <c r="BB46" i="2"/>
  <c r="BC46" i="2"/>
  <c r="BD46" i="2"/>
  <c r="BE46" i="2"/>
  <c r="BF46" i="2"/>
  <c r="BG46" i="2"/>
  <c r="BH46" i="2"/>
  <c r="BI46" i="2"/>
  <c r="BJ46" i="2"/>
  <c r="BK46" i="2"/>
  <c r="BL46" i="2"/>
  <c r="BM46" i="2"/>
  <c r="BN46" i="2"/>
  <c r="BO46" i="2"/>
  <c r="BP46" i="2"/>
  <c r="BQ46" i="2"/>
  <c r="BR46" i="2"/>
  <c r="BS46" i="2"/>
  <c r="BT46" i="2"/>
  <c r="BU46" i="2"/>
  <c r="BV46" i="2"/>
  <c r="BW46" i="2"/>
  <c r="BX46" i="2"/>
  <c r="BY46" i="2"/>
  <c r="BZ46" i="2"/>
  <c r="CA46" i="2"/>
  <c r="CB46" i="2"/>
  <c r="CC46" i="2"/>
  <c r="CD46" i="2"/>
  <c r="CE46" i="2"/>
  <c r="CF46" i="2"/>
  <c r="CG46" i="2"/>
  <c r="CH46" i="2"/>
  <c r="CI46" i="2"/>
  <c r="CJ46" i="2"/>
  <c r="CK46" i="2"/>
  <c r="CL46" i="2"/>
  <c r="CM46" i="2"/>
  <c r="CN46" i="2"/>
  <c r="CO46" i="2"/>
  <c r="CP46" i="2"/>
  <c r="CQ46" i="2"/>
  <c r="CR46" i="2"/>
  <c r="CS46" i="2"/>
  <c r="CT46" i="2"/>
  <c r="CU46" i="2"/>
  <c r="CV46" i="2"/>
  <c r="CW46" i="2"/>
  <c r="CX46" i="2"/>
  <c r="CY46" i="2"/>
  <c r="CZ46" i="2"/>
  <c r="DA46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Z47" i="2"/>
  <c r="AA47" i="2"/>
  <c r="AB47" i="2"/>
  <c r="AC47" i="2"/>
  <c r="AD47" i="2"/>
  <c r="AE47" i="2"/>
  <c r="AF47" i="2"/>
  <c r="AG47" i="2"/>
  <c r="AH47" i="2"/>
  <c r="AI47" i="2"/>
  <c r="AJ47" i="2"/>
  <c r="AK47" i="2"/>
  <c r="AL47" i="2"/>
  <c r="AM47" i="2"/>
  <c r="AN47" i="2"/>
  <c r="AO47" i="2"/>
  <c r="AP47" i="2"/>
  <c r="AQ47" i="2"/>
  <c r="AR47" i="2"/>
  <c r="AS47" i="2"/>
  <c r="AT47" i="2"/>
  <c r="AU47" i="2"/>
  <c r="AV47" i="2"/>
  <c r="AW47" i="2"/>
  <c r="AX47" i="2"/>
  <c r="AY47" i="2"/>
  <c r="AZ47" i="2"/>
  <c r="BA47" i="2"/>
  <c r="BB47" i="2"/>
  <c r="BC47" i="2"/>
  <c r="BD47" i="2"/>
  <c r="BE47" i="2"/>
  <c r="BF47" i="2"/>
  <c r="BG47" i="2"/>
  <c r="BH47" i="2"/>
  <c r="BI47" i="2"/>
  <c r="BJ47" i="2"/>
  <c r="BK47" i="2"/>
  <c r="BL47" i="2"/>
  <c r="BM47" i="2"/>
  <c r="BN47" i="2"/>
  <c r="BO47" i="2"/>
  <c r="BP47" i="2"/>
  <c r="BQ47" i="2"/>
  <c r="BR47" i="2"/>
  <c r="BS47" i="2"/>
  <c r="BT47" i="2"/>
  <c r="BU47" i="2"/>
  <c r="BV47" i="2"/>
  <c r="BW47" i="2"/>
  <c r="BX47" i="2"/>
  <c r="BY47" i="2"/>
  <c r="BZ47" i="2"/>
  <c r="CA47" i="2"/>
  <c r="CB47" i="2"/>
  <c r="CC47" i="2"/>
  <c r="CD47" i="2"/>
  <c r="CE47" i="2"/>
  <c r="CF47" i="2"/>
  <c r="CG47" i="2"/>
  <c r="CH47" i="2"/>
  <c r="CI47" i="2"/>
  <c r="CJ47" i="2"/>
  <c r="CK47" i="2"/>
  <c r="CL47" i="2"/>
  <c r="CM47" i="2"/>
  <c r="CN47" i="2"/>
  <c r="CO47" i="2"/>
  <c r="CP47" i="2"/>
  <c r="CQ47" i="2"/>
  <c r="CR47" i="2"/>
  <c r="CS47" i="2"/>
  <c r="CT47" i="2"/>
  <c r="CU47" i="2"/>
  <c r="CV47" i="2"/>
  <c r="CW47" i="2"/>
  <c r="CX47" i="2"/>
  <c r="CY47" i="2"/>
  <c r="CZ47" i="2"/>
  <c r="DA47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Z48" i="2"/>
  <c r="AA48" i="2"/>
  <c r="AB48" i="2"/>
  <c r="AC48" i="2"/>
  <c r="AD48" i="2"/>
  <c r="AE48" i="2"/>
  <c r="AF48" i="2"/>
  <c r="AG48" i="2"/>
  <c r="AH48" i="2"/>
  <c r="AI48" i="2"/>
  <c r="AJ48" i="2"/>
  <c r="AK48" i="2"/>
  <c r="AL48" i="2"/>
  <c r="AM48" i="2"/>
  <c r="AN48" i="2"/>
  <c r="AO48" i="2"/>
  <c r="AP48" i="2"/>
  <c r="AQ48" i="2"/>
  <c r="AR48" i="2"/>
  <c r="AS48" i="2"/>
  <c r="AT48" i="2"/>
  <c r="AU48" i="2"/>
  <c r="AV48" i="2"/>
  <c r="AW48" i="2"/>
  <c r="AX48" i="2"/>
  <c r="AY48" i="2"/>
  <c r="AZ48" i="2"/>
  <c r="BA48" i="2"/>
  <c r="BB48" i="2"/>
  <c r="BC48" i="2"/>
  <c r="BD48" i="2"/>
  <c r="BE48" i="2"/>
  <c r="BF48" i="2"/>
  <c r="BG48" i="2"/>
  <c r="BH48" i="2"/>
  <c r="BI48" i="2"/>
  <c r="BJ48" i="2"/>
  <c r="BK48" i="2"/>
  <c r="BL48" i="2"/>
  <c r="BM48" i="2"/>
  <c r="BN48" i="2"/>
  <c r="BO48" i="2"/>
  <c r="BP48" i="2"/>
  <c r="BQ48" i="2"/>
  <c r="BR48" i="2"/>
  <c r="BS48" i="2"/>
  <c r="BT48" i="2"/>
  <c r="BU48" i="2"/>
  <c r="BV48" i="2"/>
  <c r="BW48" i="2"/>
  <c r="BX48" i="2"/>
  <c r="BY48" i="2"/>
  <c r="BZ48" i="2"/>
  <c r="CA48" i="2"/>
  <c r="CB48" i="2"/>
  <c r="CC48" i="2"/>
  <c r="CD48" i="2"/>
  <c r="CE48" i="2"/>
  <c r="CF48" i="2"/>
  <c r="CG48" i="2"/>
  <c r="CH48" i="2"/>
  <c r="CI48" i="2"/>
  <c r="CJ48" i="2"/>
  <c r="CK48" i="2"/>
  <c r="CL48" i="2"/>
  <c r="CM48" i="2"/>
  <c r="CN48" i="2"/>
  <c r="CO48" i="2"/>
  <c r="CP48" i="2"/>
  <c r="CQ48" i="2"/>
  <c r="CR48" i="2"/>
  <c r="CS48" i="2"/>
  <c r="CT48" i="2"/>
  <c r="CU48" i="2"/>
  <c r="CV48" i="2"/>
  <c r="CW48" i="2"/>
  <c r="CX48" i="2"/>
  <c r="CY48" i="2"/>
  <c r="CZ48" i="2"/>
  <c r="DA48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Z49" i="2"/>
  <c r="AA49" i="2"/>
  <c r="AB49" i="2"/>
  <c r="AC49" i="2"/>
  <c r="AD49" i="2"/>
  <c r="AE49" i="2"/>
  <c r="AF49" i="2"/>
  <c r="AG49" i="2"/>
  <c r="AH49" i="2"/>
  <c r="AI49" i="2"/>
  <c r="AJ49" i="2"/>
  <c r="AK49" i="2"/>
  <c r="AL49" i="2"/>
  <c r="AM49" i="2"/>
  <c r="AN49" i="2"/>
  <c r="AO49" i="2"/>
  <c r="AP49" i="2"/>
  <c r="AQ49" i="2"/>
  <c r="AR49" i="2"/>
  <c r="AS49" i="2"/>
  <c r="AT49" i="2"/>
  <c r="AU49" i="2"/>
  <c r="AV49" i="2"/>
  <c r="AW49" i="2"/>
  <c r="AX49" i="2"/>
  <c r="AY49" i="2"/>
  <c r="AZ49" i="2"/>
  <c r="BA49" i="2"/>
  <c r="BB49" i="2"/>
  <c r="BC49" i="2"/>
  <c r="BD49" i="2"/>
  <c r="BE49" i="2"/>
  <c r="BF49" i="2"/>
  <c r="BG49" i="2"/>
  <c r="BH49" i="2"/>
  <c r="BI49" i="2"/>
  <c r="BJ49" i="2"/>
  <c r="BK49" i="2"/>
  <c r="BL49" i="2"/>
  <c r="BM49" i="2"/>
  <c r="BN49" i="2"/>
  <c r="BO49" i="2"/>
  <c r="BP49" i="2"/>
  <c r="BQ49" i="2"/>
  <c r="BR49" i="2"/>
  <c r="BS49" i="2"/>
  <c r="BT49" i="2"/>
  <c r="BU49" i="2"/>
  <c r="BV49" i="2"/>
  <c r="BW49" i="2"/>
  <c r="BX49" i="2"/>
  <c r="BY49" i="2"/>
  <c r="BZ49" i="2"/>
  <c r="CA49" i="2"/>
  <c r="CB49" i="2"/>
  <c r="CC49" i="2"/>
  <c r="CD49" i="2"/>
  <c r="CE49" i="2"/>
  <c r="CF49" i="2"/>
  <c r="CG49" i="2"/>
  <c r="CH49" i="2"/>
  <c r="CI49" i="2"/>
  <c r="CJ49" i="2"/>
  <c r="CK49" i="2"/>
  <c r="CL49" i="2"/>
  <c r="CM49" i="2"/>
  <c r="CN49" i="2"/>
  <c r="CO49" i="2"/>
  <c r="CP49" i="2"/>
  <c r="CQ49" i="2"/>
  <c r="CR49" i="2"/>
  <c r="CS49" i="2"/>
  <c r="CT49" i="2"/>
  <c r="CU49" i="2"/>
  <c r="CV49" i="2"/>
  <c r="CW49" i="2"/>
  <c r="CX49" i="2"/>
  <c r="CY49" i="2"/>
  <c r="CZ49" i="2"/>
  <c r="DA49" i="2"/>
  <c r="F50" i="2"/>
  <c r="G50" i="2"/>
  <c r="H50" i="2"/>
  <c r="I50" i="2"/>
  <c r="J50" i="2"/>
  <c r="K50" i="2"/>
  <c r="L50" i="2"/>
  <c r="M50" i="2"/>
  <c r="N50" i="2"/>
  <c r="O50" i="2"/>
  <c r="P50" i="2"/>
  <c r="Q50" i="2"/>
  <c r="R50" i="2"/>
  <c r="S50" i="2"/>
  <c r="T50" i="2"/>
  <c r="U50" i="2"/>
  <c r="V50" i="2"/>
  <c r="W50" i="2"/>
  <c r="X50" i="2"/>
  <c r="Y50" i="2"/>
  <c r="Z50" i="2"/>
  <c r="AA50" i="2"/>
  <c r="AB50" i="2"/>
  <c r="AC50" i="2"/>
  <c r="AD50" i="2"/>
  <c r="AE50" i="2"/>
  <c r="AF50" i="2"/>
  <c r="AG50" i="2"/>
  <c r="AH50" i="2"/>
  <c r="AI50" i="2"/>
  <c r="AJ50" i="2"/>
  <c r="AK50" i="2"/>
  <c r="AL50" i="2"/>
  <c r="AM50" i="2"/>
  <c r="AN50" i="2"/>
  <c r="AO50" i="2"/>
  <c r="AP50" i="2"/>
  <c r="AQ50" i="2"/>
  <c r="AR50" i="2"/>
  <c r="AS50" i="2"/>
  <c r="AT50" i="2"/>
  <c r="AU50" i="2"/>
  <c r="AV50" i="2"/>
  <c r="AW50" i="2"/>
  <c r="AX50" i="2"/>
  <c r="AY50" i="2"/>
  <c r="AZ50" i="2"/>
  <c r="BA50" i="2"/>
  <c r="BB50" i="2"/>
  <c r="BC50" i="2"/>
  <c r="BD50" i="2"/>
  <c r="BE50" i="2"/>
  <c r="BF50" i="2"/>
  <c r="BG50" i="2"/>
  <c r="BH50" i="2"/>
  <c r="BI50" i="2"/>
  <c r="BJ50" i="2"/>
  <c r="BK50" i="2"/>
  <c r="BL50" i="2"/>
  <c r="BM50" i="2"/>
  <c r="BN50" i="2"/>
  <c r="BO50" i="2"/>
  <c r="BP50" i="2"/>
  <c r="BQ50" i="2"/>
  <c r="BR50" i="2"/>
  <c r="BS50" i="2"/>
  <c r="BT50" i="2"/>
  <c r="BU50" i="2"/>
  <c r="BV50" i="2"/>
  <c r="BW50" i="2"/>
  <c r="BX50" i="2"/>
  <c r="BY50" i="2"/>
  <c r="BZ50" i="2"/>
  <c r="CA50" i="2"/>
  <c r="CB50" i="2"/>
  <c r="CC50" i="2"/>
  <c r="CD50" i="2"/>
  <c r="CE50" i="2"/>
  <c r="CF50" i="2"/>
  <c r="CG50" i="2"/>
  <c r="CH50" i="2"/>
  <c r="CI50" i="2"/>
  <c r="CJ50" i="2"/>
  <c r="CK50" i="2"/>
  <c r="CL50" i="2"/>
  <c r="CM50" i="2"/>
  <c r="CN50" i="2"/>
  <c r="CO50" i="2"/>
  <c r="CP50" i="2"/>
  <c r="CQ50" i="2"/>
  <c r="CR50" i="2"/>
  <c r="CS50" i="2"/>
  <c r="CT50" i="2"/>
  <c r="CU50" i="2"/>
  <c r="CV50" i="2"/>
  <c r="CW50" i="2"/>
  <c r="CX50" i="2"/>
  <c r="CY50" i="2"/>
  <c r="CZ50" i="2"/>
  <c r="DA50" i="2"/>
  <c r="F51" i="2"/>
  <c r="G51" i="2"/>
  <c r="H51" i="2"/>
  <c r="I51" i="2"/>
  <c r="J51" i="2"/>
  <c r="K51" i="2"/>
  <c r="L51" i="2"/>
  <c r="M51" i="2"/>
  <c r="N51" i="2"/>
  <c r="O51" i="2"/>
  <c r="P51" i="2"/>
  <c r="Q51" i="2"/>
  <c r="R51" i="2"/>
  <c r="S51" i="2"/>
  <c r="T51" i="2"/>
  <c r="U51" i="2"/>
  <c r="V51" i="2"/>
  <c r="W51" i="2"/>
  <c r="X51" i="2"/>
  <c r="Y51" i="2"/>
  <c r="Z51" i="2"/>
  <c r="AA51" i="2"/>
  <c r="AB51" i="2"/>
  <c r="AC51" i="2"/>
  <c r="AD51" i="2"/>
  <c r="AE51" i="2"/>
  <c r="AF51" i="2"/>
  <c r="AG51" i="2"/>
  <c r="AH51" i="2"/>
  <c r="AI51" i="2"/>
  <c r="AJ51" i="2"/>
  <c r="AK51" i="2"/>
  <c r="AL51" i="2"/>
  <c r="AM51" i="2"/>
  <c r="AN51" i="2"/>
  <c r="AO51" i="2"/>
  <c r="AP51" i="2"/>
  <c r="AQ51" i="2"/>
  <c r="AR51" i="2"/>
  <c r="AS51" i="2"/>
  <c r="AT51" i="2"/>
  <c r="AU51" i="2"/>
  <c r="AV51" i="2"/>
  <c r="AW51" i="2"/>
  <c r="AX51" i="2"/>
  <c r="AY51" i="2"/>
  <c r="AZ51" i="2"/>
  <c r="BA51" i="2"/>
  <c r="BB51" i="2"/>
  <c r="BC51" i="2"/>
  <c r="BD51" i="2"/>
  <c r="BE51" i="2"/>
  <c r="BF51" i="2"/>
  <c r="BG51" i="2"/>
  <c r="BH51" i="2"/>
  <c r="BI51" i="2"/>
  <c r="BJ51" i="2"/>
  <c r="BK51" i="2"/>
  <c r="BL51" i="2"/>
  <c r="BM51" i="2"/>
  <c r="BN51" i="2"/>
  <c r="BO51" i="2"/>
  <c r="BP51" i="2"/>
  <c r="BQ51" i="2"/>
  <c r="BR51" i="2"/>
  <c r="BS51" i="2"/>
  <c r="BT51" i="2"/>
  <c r="BU51" i="2"/>
  <c r="BV51" i="2"/>
  <c r="BW51" i="2"/>
  <c r="BX51" i="2"/>
  <c r="BY51" i="2"/>
  <c r="BZ51" i="2"/>
  <c r="CA51" i="2"/>
  <c r="CB51" i="2"/>
  <c r="CC51" i="2"/>
  <c r="CD51" i="2"/>
  <c r="CE51" i="2"/>
  <c r="CF51" i="2"/>
  <c r="CG51" i="2"/>
  <c r="CH51" i="2"/>
  <c r="CI51" i="2"/>
  <c r="CJ51" i="2"/>
  <c r="CK51" i="2"/>
  <c r="CL51" i="2"/>
  <c r="CM51" i="2"/>
  <c r="CN51" i="2"/>
  <c r="CO51" i="2"/>
  <c r="CP51" i="2"/>
  <c r="CQ51" i="2"/>
  <c r="CR51" i="2"/>
  <c r="CS51" i="2"/>
  <c r="CT51" i="2"/>
  <c r="CU51" i="2"/>
  <c r="CV51" i="2"/>
  <c r="CW51" i="2"/>
  <c r="CX51" i="2"/>
  <c r="CY51" i="2"/>
  <c r="CZ51" i="2"/>
  <c r="DA51" i="2"/>
  <c r="F52" i="2"/>
  <c r="G52" i="2"/>
  <c r="H52" i="2"/>
  <c r="I52" i="2"/>
  <c r="J52" i="2"/>
  <c r="K52" i="2"/>
  <c r="L52" i="2"/>
  <c r="M52" i="2"/>
  <c r="N52" i="2"/>
  <c r="O52" i="2"/>
  <c r="P52" i="2"/>
  <c r="Q52" i="2"/>
  <c r="R52" i="2"/>
  <c r="S52" i="2"/>
  <c r="T52" i="2"/>
  <c r="U52" i="2"/>
  <c r="V52" i="2"/>
  <c r="W52" i="2"/>
  <c r="X52" i="2"/>
  <c r="Y52" i="2"/>
  <c r="Z52" i="2"/>
  <c r="AA52" i="2"/>
  <c r="AB52" i="2"/>
  <c r="AC52" i="2"/>
  <c r="AD52" i="2"/>
  <c r="AE52" i="2"/>
  <c r="AF52" i="2"/>
  <c r="AG52" i="2"/>
  <c r="AH52" i="2"/>
  <c r="AI52" i="2"/>
  <c r="AJ52" i="2"/>
  <c r="AK52" i="2"/>
  <c r="AL52" i="2"/>
  <c r="AM52" i="2"/>
  <c r="AN52" i="2"/>
  <c r="AO52" i="2"/>
  <c r="AP52" i="2"/>
  <c r="AQ52" i="2"/>
  <c r="AR52" i="2"/>
  <c r="AS52" i="2"/>
  <c r="AT52" i="2"/>
  <c r="AU52" i="2"/>
  <c r="AV52" i="2"/>
  <c r="AW52" i="2"/>
  <c r="AX52" i="2"/>
  <c r="AY52" i="2"/>
  <c r="AZ52" i="2"/>
  <c r="BA52" i="2"/>
  <c r="BB52" i="2"/>
  <c r="BC52" i="2"/>
  <c r="BD52" i="2"/>
  <c r="BE52" i="2"/>
  <c r="BF52" i="2"/>
  <c r="BG52" i="2"/>
  <c r="BH52" i="2"/>
  <c r="BI52" i="2"/>
  <c r="BJ52" i="2"/>
  <c r="BK52" i="2"/>
  <c r="BL52" i="2"/>
  <c r="BM52" i="2"/>
  <c r="BN52" i="2"/>
  <c r="BO52" i="2"/>
  <c r="BP52" i="2"/>
  <c r="BQ52" i="2"/>
  <c r="BR52" i="2"/>
  <c r="BS52" i="2"/>
  <c r="BT52" i="2"/>
  <c r="BU52" i="2"/>
  <c r="BV52" i="2"/>
  <c r="BW52" i="2"/>
  <c r="BX52" i="2"/>
  <c r="BY52" i="2"/>
  <c r="BZ52" i="2"/>
  <c r="CA52" i="2"/>
  <c r="CB52" i="2"/>
  <c r="CC52" i="2"/>
  <c r="CD52" i="2"/>
  <c r="CE52" i="2"/>
  <c r="CF52" i="2"/>
  <c r="CG52" i="2"/>
  <c r="CH52" i="2"/>
  <c r="CI52" i="2"/>
  <c r="CJ52" i="2"/>
  <c r="CK52" i="2"/>
  <c r="CL52" i="2"/>
  <c r="CM52" i="2"/>
  <c r="CN52" i="2"/>
  <c r="CO52" i="2"/>
  <c r="CP52" i="2"/>
  <c r="CQ52" i="2"/>
  <c r="CR52" i="2"/>
  <c r="CS52" i="2"/>
  <c r="CT52" i="2"/>
  <c r="CU52" i="2"/>
  <c r="CV52" i="2"/>
  <c r="CW52" i="2"/>
  <c r="CX52" i="2"/>
  <c r="CY52" i="2"/>
  <c r="CZ52" i="2"/>
  <c r="DA52" i="2"/>
  <c r="F53" i="2"/>
  <c r="G53" i="2"/>
  <c r="H53" i="2"/>
  <c r="I53" i="2"/>
  <c r="J53" i="2"/>
  <c r="K53" i="2"/>
  <c r="L53" i="2"/>
  <c r="M53" i="2"/>
  <c r="N53" i="2"/>
  <c r="O53" i="2"/>
  <c r="P53" i="2"/>
  <c r="Q53" i="2"/>
  <c r="R53" i="2"/>
  <c r="S53" i="2"/>
  <c r="T53" i="2"/>
  <c r="U53" i="2"/>
  <c r="V53" i="2"/>
  <c r="W53" i="2"/>
  <c r="X53" i="2"/>
  <c r="Y53" i="2"/>
  <c r="Z53" i="2"/>
  <c r="AA53" i="2"/>
  <c r="AB53" i="2"/>
  <c r="AC53" i="2"/>
  <c r="AD53" i="2"/>
  <c r="AE53" i="2"/>
  <c r="AF53" i="2"/>
  <c r="AG53" i="2"/>
  <c r="AH53" i="2"/>
  <c r="AI53" i="2"/>
  <c r="AJ53" i="2"/>
  <c r="AK53" i="2"/>
  <c r="AL53" i="2"/>
  <c r="AM53" i="2"/>
  <c r="AN53" i="2"/>
  <c r="AO53" i="2"/>
  <c r="AP53" i="2"/>
  <c r="AQ53" i="2"/>
  <c r="AR53" i="2"/>
  <c r="AS53" i="2"/>
  <c r="AT53" i="2"/>
  <c r="AU53" i="2"/>
  <c r="AV53" i="2"/>
  <c r="AW53" i="2"/>
  <c r="AX53" i="2"/>
  <c r="AY53" i="2"/>
  <c r="AZ53" i="2"/>
  <c r="BA53" i="2"/>
  <c r="BB53" i="2"/>
  <c r="BC53" i="2"/>
  <c r="BD53" i="2"/>
  <c r="BE53" i="2"/>
  <c r="BF53" i="2"/>
  <c r="BG53" i="2"/>
  <c r="BH53" i="2"/>
  <c r="BI53" i="2"/>
  <c r="BJ53" i="2"/>
  <c r="BK53" i="2"/>
  <c r="BL53" i="2"/>
  <c r="BM53" i="2"/>
  <c r="BN53" i="2"/>
  <c r="BO53" i="2"/>
  <c r="BP53" i="2"/>
  <c r="BQ53" i="2"/>
  <c r="BR53" i="2"/>
  <c r="BS53" i="2"/>
  <c r="BT53" i="2"/>
  <c r="BU53" i="2"/>
  <c r="BV53" i="2"/>
  <c r="BW53" i="2"/>
  <c r="BX53" i="2"/>
  <c r="BY53" i="2"/>
  <c r="BZ53" i="2"/>
  <c r="CA53" i="2"/>
  <c r="CB53" i="2"/>
  <c r="CC53" i="2"/>
  <c r="CD53" i="2"/>
  <c r="CE53" i="2"/>
  <c r="CF53" i="2"/>
  <c r="CG53" i="2"/>
  <c r="CH53" i="2"/>
  <c r="CI53" i="2"/>
  <c r="CJ53" i="2"/>
  <c r="CK53" i="2"/>
  <c r="CL53" i="2"/>
  <c r="CM53" i="2"/>
  <c r="CN53" i="2"/>
  <c r="CO53" i="2"/>
  <c r="CP53" i="2"/>
  <c r="CQ53" i="2"/>
  <c r="CR53" i="2"/>
  <c r="CS53" i="2"/>
  <c r="CT53" i="2"/>
  <c r="CU53" i="2"/>
  <c r="CV53" i="2"/>
  <c r="CW53" i="2"/>
  <c r="CX53" i="2"/>
  <c r="CY53" i="2"/>
  <c r="CZ53" i="2"/>
  <c r="DA53" i="2"/>
  <c r="F54" i="2"/>
  <c r="G54" i="2"/>
  <c r="H54" i="2"/>
  <c r="I54" i="2"/>
  <c r="J54" i="2"/>
  <c r="K54" i="2"/>
  <c r="L54" i="2"/>
  <c r="M54" i="2"/>
  <c r="N54" i="2"/>
  <c r="O54" i="2"/>
  <c r="P54" i="2"/>
  <c r="Q54" i="2"/>
  <c r="R54" i="2"/>
  <c r="S54" i="2"/>
  <c r="T54" i="2"/>
  <c r="U54" i="2"/>
  <c r="V54" i="2"/>
  <c r="W54" i="2"/>
  <c r="X54" i="2"/>
  <c r="Y54" i="2"/>
  <c r="Z54" i="2"/>
  <c r="AA54" i="2"/>
  <c r="AB54" i="2"/>
  <c r="AC54" i="2"/>
  <c r="AD54" i="2"/>
  <c r="AE54" i="2"/>
  <c r="AF54" i="2"/>
  <c r="AG54" i="2"/>
  <c r="AH54" i="2"/>
  <c r="AI54" i="2"/>
  <c r="AJ54" i="2"/>
  <c r="AK54" i="2"/>
  <c r="AL54" i="2"/>
  <c r="AM54" i="2"/>
  <c r="AN54" i="2"/>
  <c r="AO54" i="2"/>
  <c r="AP54" i="2"/>
  <c r="AQ54" i="2"/>
  <c r="AR54" i="2"/>
  <c r="AS54" i="2"/>
  <c r="AT54" i="2"/>
  <c r="AU54" i="2"/>
  <c r="AV54" i="2"/>
  <c r="AW54" i="2"/>
  <c r="AX54" i="2"/>
  <c r="AY54" i="2"/>
  <c r="AZ54" i="2"/>
  <c r="BA54" i="2"/>
  <c r="BB54" i="2"/>
  <c r="BC54" i="2"/>
  <c r="BD54" i="2"/>
  <c r="BE54" i="2"/>
  <c r="BF54" i="2"/>
  <c r="BG54" i="2"/>
  <c r="BH54" i="2"/>
  <c r="BI54" i="2"/>
  <c r="BJ54" i="2"/>
  <c r="BK54" i="2"/>
  <c r="BL54" i="2"/>
  <c r="BM54" i="2"/>
  <c r="BN54" i="2"/>
  <c r="BO54" i="2"/>
  <c r="BP54" i="2"/>
  <c r="BQ54" i="2"/>
  <c r="BR54" i="2"/>
  <c r="BS54" i="2"/>
  <c r="BT54" i="2"/>
  <c r="BU54" i="2"/>
  <c r="BV54" i="2"/>
  <c r="BW54" i="2"/>
  <c r="BX54" i="2"/>
  <c r="BY54" i="2"/>
  <c r="BZ54" i="2"/>
  <c r="CA54" i="2"/>
  <c r="CB54" i="2"/>
  <c r="CC54" i="2"/>
  <c r="CD54" i="2"/>
  <c r="CE54" i="2"/>
  <c r="CF54" i="2"/>
  <c r="CG54" i="2"/>
  <c r="CH54" i="2"/>
  <c r="CI54" i="2"/>
  <c r="CJ54" i="2"/>
  <c r="CK54" i="2"/>
  <c r="CL54" i="2"/>
  <c r="CM54" i="2"/>
  <c r="CN54" i="2"/>
  <c r="CO54" i="2"/>
  <c r="CP54" i="2"/>
  <c r="CQ54" i="2"/>
  <c r="CR54" i="2"/>
  <c r="CS54" i="2"/>
  <c r="CT54" i="2"/>
  <c r="CU54" i="2"/>
  <c r="CV54" i="2"/>
  <c r="CW54" i="2"/>
  <c r="CX54" i="2"/>
  <c r="CY54" i="2"/>
  <c r="CZ54" i="2"/>
  <c r="DA54" i="2"/>
  <c r="F55" i="2"/>
  <c r="G55" i="2"/>
  <c r="H55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Y55" i="2"/>
  <c r="Z55" i="2"/>
  <c r="AA55" i="2"/>
  <c r="AB55" i="2"/>
  <c r="AC55" i="2"/>
  <c r="AD55" i="2"/>
  <c r="AE55" i="2"/>
  <c r="AF55" i="2"/>
  <c r="AG55" i="2"/>
  <c r="AH55" i="2"/>
  <c r="AI55" i="2"/>
  <c r="AJ55" i="2"/>
  <c r="AK55" i="2"/>
  <c r="AL55" i="2"/>
  <c r="AM55" i="2"/>
  <c r="AN55" i="2"/>
  <c r="AO55" i="2"/>
  <c r="AP55" i="2"/>
  <c r="AQ55" i="2"/>
  <c r="AR55" i="2"/>
  <c r="AS55" i="2"/>
  <c r="AT55" i="2"/>
  <c r="AU55" i="2"/>
  <c r="AV55" i="2"/>
  <c r="AW55" i="2"/>
  <c r="AX55" i="2"/>
  <c r="AY55" i="2"/>
  <c r="AZ55" i="2"/>
  <c r="BA55" i="2"/>
  <c r="BB55" i="2"/>
  <c r="BC55" i="2"/>
  <c r="BD55" i="2"/>
  <c r="BE55" i="2"/>
  <c r="BF55" i="2"/>
  <c r="BG55" i="2"/>
  <c r="BH55" i="2"/>
  <c r="BI55" i="2"/>
  <c r="BJ55" i="2"/>
  <c r="BK55" i="2"/>
  <c r="BL55" i="2"/>
  <c r="BM55" i="2"/>
  <c r="BN55" i="2"/>
  <c r="BO55" i="2"/>
  <c r="BP55" i="2"/>
  <c r="BQ55" i="2"/>
  <c r="BR55" i="2"/>
  <c r="BS55" i="2"/>
  <c r="BT55" i="2"/>
  <c r="BU55" i="2"/>
  <c r="BV55" i="2"/>
  <c r="BW55" i="2"/>
  <c r="BX55" i="2"/>
  <c r="BY55" i="2"/>
  <c r="BZ55" i="2"/>
  <c r="CA55" i="2"/>
  <c r="CB55" i="2"/>
  <c r="CC55" i="2"/>
  <c r="CD55" i="2"/>
  <c r="CE55" i="2"/>
  <c r="CF55" i="2"/>
  <c r="CG55" i="2"/>
  <c r="CH55" i="2"/>
  <c r="CI55" i="2"/>
  <c r="CJ55" i="2"/>
  <c r="CK55" i="2"/>
  <c r="CL55" i="2"/>
  <c r="CM55" i="2"/>
  <c r="CN55" i="2"/>
  <c r="CO55" i="2"/>
  <c r="CP55" i="2"/>
  <c r="CQ55" i="2"/>
  <c r="CR55" i="2"/>
  <c r="CS55" i="2"/>
  <c r="CT55" i="2"/>
  <c r="CU55" i="2"/>
  <c r="CV55" i="2"/>
  <c r="CW55" i="2"/>
  <c r="CX55" i="2"/>
  <c r="CY55" i="2"/>
  <c r="CZ55" i="2"/>
  <c r="DA55" i="2"/>
  <c r="F56" i="2"/>
  <c r="G56" i="2"/>
  <c r="H56" i="2"/>
  <c r="I56" i="2"/>
  <c r="J56" i="2"/>
  <c r="K56" i="2"/>
  <c r="L56" i="2"/>
  <c r="M56" i="2"/>
  <c r="N56" i="2"/>
  <c r="O56" i="2"/>
  <c r="P56" i="2"/>
  <c r="Q56" i="2"/>
  <c r="R56" i="2"/>
  <c r="S56" i="2"/>
  <c r="T56" i="2"/>
  <c r="U56" i="2"/>
  <c r="V56" i="2"/>
  <c r="W56" i="2"/>
  <c r="X56" i="2"/>
  <c r="Y56" i="2"/>
  <c r="Z56" i="2"/>
  <c r="AA56" i="2"/>
  <c r="AB56" i="2"/>
  <c r="AC56" i="2"/>
  <c r="AD56" i="2"/>
  <c r="AE56" i="2"/>
  <c r="AF56" i="2"/>
  <c r="AG56" i="2"/>
  <c r="AH56" i="2"/>
  <c r="AI56" i="2"/>
  <c r="AJ56" i="2"/>
  <c r="AK56" i="2"/>
  <c r="AL56" i="2"/>
  <c r="AM56" i="2"/>
  <c r="AN56" i="2"/>
  <c r="AO56" i="2"/>
  <c r="AP56" i="2"/>
  <c r="AQ56" i="2"/>
  <c r="AR56" i="2"/>
  <c r="AS56" i="2"/>
  <c r="AT56" i="2"/>
  <c r="AU56" i="2"/>
  <c r="AV56" i="2"/>
  <c r="AW56" i="2"/>
  <c r="AX56" i="2"/>
  <c r="AY56" i="2"/>
  <c r="AZ56" i="2"/>
  <c r="BA56" i="2"/>
  <c r="BB56" i="2"/>
  <c r="BC56" i="2"/>
  <c r="BD56" i="2"/>
  <c r="BE56" i="2"/>
  <c r="BF56" i="2"/>
  <c r="BG56" i="2"/>
  <c r="BH56" i="2"/>
  <c r="BI56" i="2"/>
  <c r="BJ56" i="2"/>
  <c r="BK56" i="2"/>
  <c r="BL56" i="2"/>
  <c r="BM56" i="2"/>
  <c r="BN56" i="2"/>
  <c r="BO56" i="2"/>
  <c r="BP56" i="2"/>
  <c r="BQ56" i="2"/>
  <c r="BR56" i="2"/>
  <c r="BS56" i="2"/>
  <c r="BT56" i="2"/>
  <c r="BU56" i="2"/>
  <c r="BV56" i="2"/>
  <c r="BW56" i="2"/>
  <c r="BX56" i="2"/>
  <c r="BY56" i="2"/>
  <c r="BZ56" i="2"/>
  <c r="CA56" i="2"/>
  <c r="CB56" i="2"/>
  <c r="CC56" i="2"/>
  <c r="CD56" i="2"/>
  <c r="CE56" i="2"/>
  <c r="CF56" i="2"/>
  <c r="CG56" i="2"/>
  <c r="CH56" i="2"/>
  <c r="CI56" i="2"/>
  <c r="CJ56" i="2"/>
  <c r="CK56" i="2"/>
  <c r="CL56" i="2"/>
  <c r="CM56" i="2"/>
  <c r="CN56" i="2"/>
  <c r="CO56" i="2"/>
  <c r="CP56" i="2"/>
  <c r="CQ56" i="2"/>
  <c r="CR56" i="2"/>
  <c r="CS56" i="2"/>
  <c r="CT56" i="2"/>
  <c r="CU56" i="2"/>
  <c r="CV56" i="2"/>
  <c r="CW56" i="2"/>
  <c r="CX56" i="2"/>
  <c r="CY56" i="2"/>
  <c r="CZ56" i="2"/>
  <c r="DA56" i="2"/>
  <c r="F57" i="2"/>
  <c r="G57" i="2"/>
  <c r="H57" i="2"/>
  <c r="I57" i="2"/>
  <c r="J57" i="2"/>
  <c r="K57" i="2"/>
  <c r="L57" i="2"/>
  <c r="M57" i="2"/>
  <c r="N57" i="2"/>
  <c r="O57" i="2"/>
  <c r="P57" i="2"/>
  <c r="Q57" i="2"/>
  <c r="R57" i="2"/>
  <c r="S57" i="2"/>
  <c r="T57" i="2"/>
  <c r="U57" i="2"/>
  <c r="V57" i="2"/>
  <c r="W57" i="2"/>
  <c r="X57" i="2"/>
  <c r="Y57" i="2"/>
  <c r="Z57" i="2"/>
  <c r="AA57" i="2"/>
  <c r="AB57" i="2"/>
  <c r="AC57" i="2"/>
  <c r="AD57" i="2"/>
  <c r="AE57" i="2"/>
  <c r="AF57" i="2"/>
  <c r="AG57" i="2"/>
  <c r="AH57" i="2"/>
  <c r="AI57" i="2"/>
  <c r="AJ57" i="2"/>
  <c r="AK57" i="2"/>
  <c r="AL57" i="2"/>
  <c r="AM57" i="2"/>
  <c r="AN57" i="2"/>
  <c r="AO57" i="2"/>
  <c r="AP57" i="2"/>
  <c r="AQ57" i="2"/>
  <c r="AR57" i="2"/>
  <c r="AS57" i="2"/>
  <c r="AT57" i="2"/>
  <c r="AU57" i="2"/>
  <c r="AV57" i="2"/>
  <c r="AW57" i="2"/>
  <c r="AX57" i="2"/>
  <c r="AY57" i="2"/>
  <c r="AZ57" i="2"/>
  <c r="BA57" i="2"/>
  <c r="BB57" i="2"/>
  <c r="BC57" i="2"/>
  <c r="BD57" i="2"/>
  <c r="BE57" i="2"/>
  <c r="BF57" i="2"/>
  <c r="BG57" i="2"/>
  <c r="BH57" i="2"/>
  <c r="BI57" i="2"/>
  <c r="BJ57" i="2"/>
  <c r="BK57" i="2"/>
  <c r="BL57" i="2"/>
  <c r="BM57" i="2"/>
  <c r="BN57" i="2"/>
  <c r="BO57" i="2"/>
  <c r="BP57" i="2"/>
  <c r="BQ57" i="2"/>
  <c r="BR57" i="2"/>
  <c r="BS57" i="2"/>
  <c r="BT57" i="2"/>
  <c r="BU57" i="2"/>
  <c r="BV57" i="2"/>
  <c r="BW57" i="2"/>
  <c r="BX57" i="2"/>
  <c r="BY57" i="2"/>
  <c r="BZ57" i="2"/>
  <c r="CA57" i="2"/>
  <c r="CB57" i="2"/>
  <c r="CC57" i="2"/>
  <c r="CD57" i="2"/>
  <c r="CE57" i="2"/>
  <c r="CF57" i="2"/>
  <c r="CG57" i="2"/>
  <c r="CH57" i="2"/>
  <c r="CI57" i="2"/>
  <c r="CJ57" i="2"/>
  <c r="CK57" i="2"/>
  <c r="CL57" i="2"/>
  <c r="CM57" i="2"/>
  <c r="CN57" i="2"/>
  <c r="CO57" i="2"/>
  <c r="CP57" i="2"/>
  <c r="CQ57" i="2"/>
  <c r="CR57" i="2"/>
  <c r="CS57" i="2"/>
  <c r="CT57" i="2"/>
  <c r="CU57" i="2"/>
  <c r="CV57" i="2"/>
  <c r="CW57" i="2"/>
  <c r="CX57" i="2"/>
  <c r="CY57" i="2"/>
  <c r="CZ57" i="2"/>
  <c r="DA57" i="2"/>
  <c r="F58" i="2"/>
  <c r="G58" i="2"/>
  <c r="H58" i="2"/>
  <c r="I58" i="2"/>
  <c r="J58" i="2"/>
  <c r="K58" i="2"/>
  <c r="L58" i="2"/>
  <c r="M58" i="2"/>
  <c r="N58" i="2"/>
  <c r="O58" i="2"/>
  <c r="P58" i="2"/>
  <c r="Q58" i="2"/>
  <c r="R58" i="2"/>
  <c r="S58" i="2"/>
  <c r="T58" i="2"/>
  <c r="U58" i="2"/>
  <c r="V58" i="2"/>
  <c r="W58" i="2"/>
  <c r="X58" i="2"/>
  <c r="Y58" i="2"/>
  <c r="Z58" i="2"/>
  <c r="AA58" i="2"/>
  <c r="AB58" i="2"/>
  <c r="AC58" i="2"/>
  <c r="AD58" i="2"/>
  <c r="AE58" i="2"/>
  <c r="AF58" i="2"/>
  <c r="AG58" i="2"/>
  <c r="AH58" i="2"/>
  <c r="AI58" i="2"/>
  <c r="AJ58" i="2"/>
  <c r="AK58" i="2"/>
  <c r="AL58" i="2"/>
  <c r="AM58" i="2"/>
  <c r="AN58" i="2"/>
  <c r="AO58" i="2"/>
  <c r="AP58" i="2"/>
  <c r="AQ58" i="2"/>
  <c r="AR58" i="2"/>
  <c r="AS58" i="2"/>
  <c r="AT58" i="2"/>
  <c r="AU58" i="2"/>
  <c r="AV58" i="2"/>
  <c r="AW58" i="2"/>
  <c r="AX58" i="2"/>
  <c r="AY58" i="2"/>
  <c r="AZ58" i="2"/>
  <c r="BA58" i="2"/>
  <c r="BB58" i="2"/>
  <c r="BC58" i="2"/>
  <c r="BD58" i="2"/>
  <c r="BE58" i="2"/>
  <c r="BF58" i="2"/>
  <c r="BG58" i="2"/>
  <c r="BH58" i="2"/>
  <c r="BI58" i="2"/>
  <c r="BJ58" i="2"/>
  <c r="BK58" i="2"/>
  <c r="BL58" i="2"/>
  <c r="BM58" i="2"/>
  <c r="BN58" i="2"/>
  <c r="BO58" i="2"/>
  <c r="BP58" i="2"/>
  <c r="BQ58" i="2"/>
  <c r="BR58" i="2"/>
  <c r="BS58" i="2"/>
  <c r="BT58" i="2"/>
  <c r="BU58" i="2"/>
  <c r="BV58" i="2"/>
  <c r="BW58" i="2"/>
  <c r="BX58" i="2"/>
  <c r="BY58" i="2"/>
  <c r="BZ58" i="2"/>
  <c r="CA58" i="2"/>
  <c r="CB58" i="2"/>
  <c r="CC58" i="2"/>
  <c r="CD58" i="2"/>
  <c r="CE58" i="2"/>
  <c r="CF58" i="2"/>
  <c r="CG58" i="2"/>
  <c r="CH58" i="2"/>
  <c r="CI58" i="2"/>
  <c r="CJ58" i="2"/>
  <c r="CK58" i="2"/>
  <c r="CL58" i="2"/>
  <c r="CM58" i="2"/>
  <c r="CN58" i="2"/>
  <c r="CO58" i="2"/>
  <c r="CP58" i="2"/>
  <c r="CQ58" i="2"/>
  <c r="CR58" i="2"/>
  <c r="CS58" i="2"/>
  <c r="CT58" i="2"/>
  <c r="CU58" i="2"/>
  <c r="CV58" i="2"/>
  <c r="CW58" i="2"/>
  <c r="CX58" i="2"/>
  <c r="CY58" i="2"/>
  <c r="CZ58" i="2"/>
  <c r="DA58" i="2"/>
  <c r="F59" i="2"/>
  <c r="G59" i="2"/>
  <c r="H59" i="2"/>
  <c r="I59" i="2"/>
  <c r="J59" i="2"/>
  <c r="K59" i="2"/>
  <c r="L59" i="2"/>
  <c r="M59" i="2"/>
  <c r="N59" i="2"/>
  <c r="O59" i="2"/>
  <c r="P59" i="2"/>
  <c r="Q59" i="2"/>
  <c r="R59" i="2"/>
  <c r="S59" i="2"/>
  <c r="T59" i="2"/>
  <c r="U59" i="2"/>
  <c r="V59" i="2"/>
  <c r="W59" i="2"/>
  <c r="X59" i="2"/>
  <c r="Y59" i="2"/>
  <c r="Z59" i="2"/>
  <c r="AA59" i="2"/>
  <c r="AB59" i="2"/>
  <c r="AC59" i="2"/>
  <c r="AD59" i="2"/>
  <c r="AE59" i="2"/>
  <c r="AF59" i="2"/>
  <c r="AG59" i="2"/>
  <c r="AH59" i="2"/>
  <c r="AI59" i="2"/>
  <c r="AJ59" i="2"/>
  <c r="AK59" i="2"/>
  <c r="AL59" i="2"/>
  <c r="AM59" i="2"/>
  <c r="AN59" i="2"/>
  <c r="AO59" i="2"/>
  <c r="AP59" i="2"/>
  <c r="AQ59" i="2"/>
  <c r="AR59" i="2"/>
  <c r="AS59" i="2"/>
  <c r="AT59" i="2"/>
  <c r="AU59" i="2"/>
  <c r="AV59" i="2"/>
  <c r="AW59" i="2"/>
  <c r="AX59" i="2"/>
  <c r="AY59" i="2"/>
  <c r="AZ59" i="2"/>
  <c r="BA59" i="2"/>
  <c r="BB59" i="2"/>
  <c r="BC59" i="2"/>
  <c r="BD59" i="2"/>
  <c r="BE59" i="2"/>
  <c r="BF59" i="2"/>
  <c r="BG59" i="2"/>
  <c r="BH59" i="2"/>
  <c r="BI59" i="2"/>
  <c r="BJ59" i="2"/>
  <c r="BK59" i="2"/>
  <c r="BL59" i="2"/>
  <c r="BM59" i="2"/>
  <c r="BN59" i="2"/>
  <c r="BO59" i="2"/>
  <c r="BP59" i="2"/>
  <c r="BQ59" i="2"/>
  <c r="BR59" i="2"/>
  <c r="BS59" i="2"/>
  <c r="BT59" i="2"/>
  <c r="BU59" i="2"/>
  <c r="BV59" i="2"/>
  <c r="BW59" i="2"/>
  <c r="BX59" i="2"/>
  <c r="BY59" i="2"/>
  <c r="BZ59" i="2"/>
  <c r="CA59" i="2"/>
  <c r="CB59" i="2"/>
  <c r="CC59" i="2"/>
  <c r="CD59" i="2"/>
  <c r="CE59" i="2"/>
  <c r="CF59" i="2"/>
  <c r="CG59" i="2"/>
  <c r="CH59" i="2"/>
  <c r="CI59" i="2"/>
  <c r="CJ59" i="2"/>
  <c r="CK59" i="2"/>
  <c r="CL59" i="2"/>
  <c r="CM59" i="2"/>
  <c r="CN59" i="2"/>
  <c r="CO59" i="2"/>
  <c r="CP59" i="2"/>
  <c r="CQ59" i="2"/>
  <c r="CR59" i="2"/>
  <c r="CS59" i="2"/>
  <c r="CT59" i="2"/>
  <c r="CU59" i="2"/>
  <c r="CV59" i="2"/>
  <c r="CW59" i="2"/>
  <c r="CX59" i="2"/>
  <c r="CY59" i="2"/>
  <c r="CZ59" i="2"/>
  <c r="DA59" i="2"/>
  <c r="F60" i="2"/>
  <c r="G60" i="2"/>
  <c r="H60" i="2"/>
  <c r="I60" i="2"/>
  <c r="J60" i="2"/>
  <c r="K60" i="2"/>
  <c r="L60" i="2"/>
  <c r="M60" i="2"/>
  <c r="N60" i="2"/>
  <c r="O60" i="2"/>
  <c r="P60" i="2"/>
  <c r="Q60" i="2"/>
  <c r="R60" i="2"/>
  <c r="S60" i="2"/>
  <c r="T60" i="2"/>
  <c r="U60" i="2"/>
  <c r="V60" i="2"/>
  <c r="W60" i="2"/>
  <c r="X60" i="2"/>
  <c r="Y60" i="2"/>
  <c r="Z60" i="2"/>
  <c r="AA60" i="2"/>
  <c r="AB60" i="2"/>
  <c r="AC60" i="2"/>
  <c r="AD60" i="2"/>
  <c r="AE60" i="2"/>
  <c r="AF60" i="2"/>
  <c r="AG60" i="2"/>
  <c r="AH60" i="2"/>
  <c r="AI60" i="2"/>
  <c r="AJ60" i="2"/>
  <c r="AK60" i="2"/>
  <c r="AL60" i="2"/>
  <c r="AM60" i="2"/>
  <c r="AN60" i="2"/>
  <c r="AO60" i="2"/>
  <c r="AP60" i="2"/>
  <c r="AQ60" i="2"/>
  <c r="AR60" i="2"/>
  <c r="AS60" i="2"/>
  <c r="AT60" i="2"/>
  <c r="AU60" i="2"/>
  <c r="AV60" i="2"/>
  <c r="AW60" i="2"/>
  <c r="AX60" i="2"/>
  <c r="AY60" i="2"/>
  <c r="AZ60" i="2"/>
  <c r="BA60" i="2"/>
  <c r="BB60" i="2"/>
  <c r="BC60" i="2"/>
  <c r="BD60" i="2"/>
  <c r="BE60" i="2"/>
  <c r="BF60" i="2"/>
  <c r="BG60" i="2"/>
  <c r="BH60" i="2"/>
  <c r="BI60" i="2"/>
  <c r="BJ60" i="2"/>
  <c r="BK60" i="2"/>
  <c r="BL60" i="2"/>
  <c r="BM60" i="2"/>
  <c r="BN60" i="2"/>
  <c r="BO60" i="2"/>
  <c r="BP60" i="2"/>
  <c r="BQ60" i="2"/>
  <c r="BR60" i="2"/>
  <c r="BS60" i="2"/>
  <c r="BT60" i="2"/>
  <c r="BU60" i="2"/>
  <c r="BV60" i="2"/>
  <c r="BW60" i="2"/>
  <c r="BX60" i="2"/>
  <c r="BY60" i="2"/>
  <c r="BZ60" i="2"/>
  <c r="CA60" i="2"/>
  <c r="CB60" i="2"/>
  <c r="CC60" i="2"/>
  <c r="CD60" i="2"/>
  <c r="CE60" i="2"/>
  <c r="CF60" i="2"/>
  <c r="CG60" i="2"/>
  <c r="CH60" i="2"/>
  <c r="CI60" i="2"/>
  <c r="CJ60" i="2"/>
  <c r="CK60" i="2"/>
  <c r="CL60" i="2"/>
  <c r="CM60" i="2"/>
  <c r="CN60" i="2"/>
  <c r="CO60" i="2"/>
  <c r="CP60" i="2"/>
  <c r="CQ60" i="2"/>
  <c r="CR60" i="2"/>
  <c r="CS60" i="2"/>
  <c r="CT60" i="2"/>
  <c r="CU60" i="2"/>
  <c r="CV60" i="2"/>
  <c r="CW60" i="2"/>
  <c r="CX60" i="2"/>
  <c r="CY60" i="2"/>
  <c r="CZ60" i="2"/>
  <c r="DA60" i="2"/>
  <c r="F61" i="2"/>
  <c r="G61" i="2"/>
  <c r="H61" i="2"/>
  <c r="I61" i="2"/>
  <c r="J61" i="2"/>
  <c r="K61" i="2"/>
  <c r="L61" i="2"/>
  <c r="M61" i="2"/>
  <c r="N61" i="2"/>
  <c r="O61" i="2"/>
  <c r="P61" i="2"/>
  <c r="Q61" i="2"/>
  <c r="R61" i="2"/>
  <c r="S61" i="2"/>
  <c r="T61" i="2"/>
  <c r="U61" i="2"/>
  <c r="V61" i="2"/>
  <c r="W61" i="2"/>
  <c r="X61" i="2"/>
  <c r="Y61" i="2"/>
  <c r="Z61" i="2"/>
  <c r="AA61" i="2"/>
  <c r="AB61" i="2"/>
  <c r="AC61" i="2"/>
  <c r="AD61" i="2"/>
  <c r="AE61" i="2"/>
  <c r="AF61" i="2"/>
  <c r="AG61" i="2"/>
  <c r="AH61" i="2"/>
  <c r="AI61" i="2"/>
  <c r="AJ61" i="2"/>
  <c r="AK61" i="2"/>
  <c r="AL61" i="2"/>
  <c r="AM61" i="2"/>
  <c r="AN61" i="2"/>
  <c r="AO61" i="2"/>
  <c r="AP61" i="2"/>
  <c r="AQ61" i="2"/>
  <c r="AR61" i="2"/>
  <c r="AS61" i="2"/>
  <c r="AT61" i="2"/>
  <c r="AU61" i="2"/>
  <c r="AV61" i="2"/>
  <c r="AW61" i="2"/>
  <c r="AX61" i="2"/>
  <c r="AY61" i="2"/>
  <c r="AZ61" i="2"/>
  <c r="BA61" i="2"/>
  <c r="BB61" i="2"/>
  <c r="BC61" i="2"/>
  <c r="BD61" i="2"/>
  <c r="BE61" i="2"/>
  <c r="BF61" i="2"/>
  <c r="BG61" i="2"/>
  <c r="BH61" i="2"/>
  <c r="BI61" i="2"/>
  <c r="BJ61" i="2"/>
  <c r="BK61" i="2"/>
  <c r="BL61" i="2"/>
  <c r="BM61" i="2"/>
  <c r="BN61" i="2"/>
  <c r="BO61" i="2"/>
  <c r="BP61" i="2"/>
  <c r="BQ61" i="2"/>
  <c r="BR61" i="2"/>
  <c r="BS61" i="2"/>
  <c r="BT61" i="2"/>
  <c r="BU61" i="2"/>
  <c r="BV61" i="2"/>
  <c r="BW61" i="2"/>
  <c r="BX61" i="2"/>
  <c r="BY61" i="2"/>
  <c r="BZ61" i="2"/>
  <c r="CA61" i="2"/>
  <c r="CB61" i="2"/>
  <c r="CC61" i="2"/>
  <c r="CD61" i="2"/>
  <c r="CE61" i="2"/>
  <c r="CF61" i="2"/>
  <c r="CG61" i="2"/>
  <c r="CH61" i="2"/>
  <c r="CI61" i="2"/>
  <c r="CJ61" i="2"/>
  <c r="CK61" i="2"/>
  <c r="CL61" i="2"/>
  <c r="CM61" i="2"/>
  <c r="CN61" i="2"/>
  <c r="CO61" i="2"/>
  <c r="CP61" i="2"/>
  <c r="CQ61" i="2"/>
  <c r="CR61" i="2"/>
  <c r="CS61" i="2"/>
  <c r="CT61" i="2"/>
  <c r="CU61" i="2"/>
  <c r="CV61" i="2"/>
  <c r="CW61" i="2"/>
  <c r="CX61" i="2"/>
  <c r="CY61" i="2"/>
  <c r="CZ61" i="2"/>
  <c r="DA61" i="2"/>
  <c r="F62" i="2"/>
  <c r="G62" i="2"/>
  <c r="H62" i="2"/>
  <c r="I62" i="2"/>
  <c r="J62" i="2"/>
  <c r="K62" i="2"/>
  <c r="L62" i="2"/>
  <c r="M62" i="2"/>
  <c r="N62" i="2"/>
  <c r="O62" i="2"/>
  <c r="P62" i="2"/>
  <c r="Q62" i="2"/>
  <c r="R62" i="2"/>
  <c r="S62" i="2"/>
  <c r="T62" i="2"/>
  <c r="U62" i="2"/>
  <c r="V62" i="2"/>
  <c r="W62" i="2"/>
  <c r="X62" i="2"/>
  <c r="Y62" i="2"/>
  <c r="Z62" i="2"/>
  <c r="AA62" i="2"/>
  <c r="AB62" i="2"/>
  <c r="AC62" i="2"/>
  <c r="AD62" i="2"/>
  <c r="AE62" i="2"/>
  <c r="AF62" i="2"/>
  <c r="AG62" i="2"/>
  <c r="AH62" i="2"/>
  <c r="AI62" i="2"/>
  <c r="AJ62" i="2"/>
  <c r="AK62" i="2"/>
  <c r="AL62" i="2"/>
  <c r="AM62" i="2"/>
  <c r="AN62" i="2"/>
  <c r="AO62" i="2"/>
  <c r="AP62" i="2"/>
  <c r="AQ62" i="2"/>
  <c r="AR62" i="2"/>
  <c r="AS62" i="2"/>
  <c r="AT62" i="2"/>
  <c r="AU62" i="2"/>
  <c r="AV62" i="2"/>
  <c r="AW62" i="2"/>
  <c r="AX62" i="2"/>
  <c r="AY62" i="2"/>
  <c r="AZ62" i="2"/>
  <c r="BA62" i="2"/>
  <c r="BB62" i="2"/>
  <c r="BC62" i="2"/>
  <c r="BD62" i="2"/>
  <c r="BE62" i="2"/>
  <c r="BF62" i="2"/>
  <c r="BG62" i="2"/>
  <c r="BH62" i="2"/>
  <c r="BI62" i="2"/>
  <c r="BJ62" i="2"/>
  <c r="BK62" i="2"/>
  <c r="BL62" i="2"/>
  <c r="BM62" i="2"/>
  <c r="BN62" i="2"/>
  <c r="BO62" i="2"/>
  <c r="BP62" i="2"/>
  <c r="BQ62" i="2"/>
  <c r="BR62" i="2"/>
  <c r="BS62" i="2"/>
  <c r="BT62" i="2"/>
  <c r="BU62" i="2"/>
  <c r="BV62" i="2"/>
  <c r="BW62" i="2"/>
  <c r="BX62" i="2"/>
  <c r="BY62" i="2"/>
  <c r="BZ62" i="2"/>
  <c r="CA62" i="2"/>
  <c r="CB62" i="2"/>
  <c r="CC62" i="2"/>
  <c r="CD62" i="2"/>
  <c r="CE62" i="2"/>
  <c r="CF62" i="2"/>
  <c r="CG62" i="2"/>
  <c r="CH62" i="2"/>
  <c r="CI62" i="2"/>
  <c r="CJ62" i="2"/>
  <c r="CK62" i="2"/>
  <c r="CL62" i="2"/>
  <c r="CM62" i="2"/>
  <c r="CN62" i="2"/>
  <c r="CO62" i="2"/>
  <c r="CP62" i="2"/>
  <c r="CQ62" i="2"/>
  <c r="CR62" i="2"/>
  <c r="CS62" i="2"/>
  <c r="CT62" i="2"/>
  <c r="CU62" i="2"/>
  <c r="CV62" i="2"/>
  <c r="CW62" i="2"/>
  <c r="CX62" i="2"/>
  <c r="CY62" i="2"/>
  <c r="CZ62" i="2"/>
  <c r="DA62" i="2"/>
  <c r="F63" i="2"/>
  <c r="G63" i="2"/>
  <c r="H63" i="2"/>
  <c r="I63" i="2"/>
  <c r="J63" i="2"/>
  <c r="K63" i="2"/>
  <c r="L63" i="2"/>
  <c r="M63" i="2"/>
  <c r="N63" i="2"/>
  <c r="O63" i="2"/>
  <c r="P63" i="2"/>
  <c r="Q63" i="2"/>
  <c r="R63" i="2"/>
  <c r="S63" i="2"/>
  <c r="T63" i="2"/>
  <c r="U63" i="2"/>
  <c r="V63" i="2"/>
  <c r="W63" i="2"/>
  <c r="X63" i="2"/>
  <c r="Y63" i="2"/>
  <c r="Z63" i="2"/>
  <c r="AA63" i="2"/>
  <c r="AB63" i="2"/>
  <c r="AC63" i="2"/>
  <c r="AD63" i="2"/>
  <c r="AE63" i="2"/>
  <c r="AF63" i="2"/>
  <c r="AG63" i="2"/>
  <c r="AH63" i="2"/>
  <c r="AI63" i="2"/>
  <c r="AJ63" i="2"/>
  <c r="AK63" i="2"/>
  <c r="AL63" i="2"/>
  <c r="AM63" i="2"/>
  <c r="AN63" i="2"/>
  <c r="AO63" i="2"/>
  <c r="AP63" i="2"/>
  <c r="AQ63" i="2"/>
  <c r="AR63" i="2"/>
  <c r="AS63" i="2"/>
  <c r="AT63" i="2"/>
  <c r="AU63" i="2"/>
  <c r="AV63" i="2"/>
  <c r="AW63" i="2"/>
  <c r="AX63" i="2"/>
  <c r="AY63" i="2"/>
  <c r="AZ63" i="2"/>
  <c r="BA63" i="2"/>
  <c r="BB63" i="2"/>
  <c r="BC63" i="2"/>
  <c r="BD63" i="2"/>
  <c r="BE63" i="2"/>
  <c r="BF63" i="2"/>
  <c r="BG63" i="2"/>
  <c r="BH63" i="2"/>
  <c r="BI63" i="2"/>
  <c r="BJ63" i="2"/>
  <c r="BK63" i="2"/>
  <c r="BL63" i="2"/>
  <c r="BM63" i="2"/>
  <c r="BN63" i="2"/>
  <c r="BO63" i="2"/>
  <c r="BP63" i="2"/>
  <c r="BQ63" i="2"/>
  <c r="BR63" i="2"/>
  <c r="BS63" i="2"/>
  <c r="BT63" i="2"/>
  <c r="BU63" i="2"/>
  <c r="BV63" i="2"/>
  <c r="BW63" i="2"/>
  <c r="BX63" i="2"/>
  <c r="BY63" i="2"/>
  <c r="BZ63" i="2"/>
  <c r="CA63" i="2"/>
  <c r="CB63" i="2"/>
  <c r="CC63" i="2"/>
  <c r="CD63" i="2"/>
  <c r="CE63" i="2"/>
  <c r="CF63" i="2"/>
  <c r="CG63" i="2"/>
  <c r="CH63" i="2"/>
  <c r="CI63" i="2"/>
  <c r="CJ63" i="2"/>
  <c r="CK63" i="2"/>
  <c r="CL63" i="2"/>
  <c r="CM63" i="2"/>
  <c r="CN63" i="2"/>
  <c r="CO63" i="2"/>
  <c r="CP63" i="2"/>
  <c r="CQ63" i="2"/>
  <c r="CR63" i="2"/>
  <c r="CS63" i="2"/>
  <c r="CT63" i="2"/>
  <c r="CU63" i="2"/>
  <c r="CV63" i="2"/>
  <c r="CW63" i="2"/>
  <c r="CX63" i="2"/>
  <c r="CY63" i="2"/>
  <c r="CZ63" i="2"/>
  <c r="DA63" i="2"/>
  <c r="F64" i="2"/>
  <c r="G64" i="2"/>
  <c r="H64" i="2"/>
  <c r="I64" i="2"/>
  <c r="J64" i="2"/>
  <c r="K64" i="2"/>
  <c r="L64" i="2"/>
  <c r="M64" i="2"/>
  <c r="N64" i="2"/>
  <c r="O64" i="2"/>
  <c r="P64" i="2"/>
  <c r="Q64" i="2"/>
  <c r="R64" i="2"/>
  <c r="S64" i="2"/>
  <c r="T64" i="2"/>
  <c r="U64" i="2"/>
  <c r="V64" i="2"/>
  <c r="W64" i="2"/>
  <c r="X64" i="2"/>
  <c r="Y64" i="2"/>
  <c r="Z64" i="2"/>
  <c r="AA64" i="2"/>
  <c r="AB64" i="2"/>
  <c r="AC64" i="2"/>
  <c r="AD64" i="2"/>
  <c r="AE64" i="2"/>
  <c r="AF64" i="2"/>
  <c r="AG64" i="2"/>
  <c r="AH64" i="2"/>
  <c r="AI64" i="2"/>
  <c r="AJ64" i="2"/>
  <c r="AK64" i="2"/>
  <c r="AL64" i="2"/>
  <c r="AM64" i="2"/>
  <c r="AN64" i="2"/>
  <c r="AO64" i="2"/>
  <c r="AP64" i="2"/>
  <c r="AQ64" i="2"/>
  <c r="AR64" i="2"/>
  <c r="AS64" i="2"/>
  <c r="AT64" i="2"/>
  <c r="AU64" i="2"/>
  <c r="AV64" i="2"/>
  <c r="AW64" i="2"/>
  <c r="AX64" i="2"/>
  <c r="AY64" i="2"/>
  <c r="AZ64" i="2"/>
  <c r="BA64" i="2"/>
  <c r="BB64" i="2"/>
  <c r="BC64" i="2"/>
  <c r="BD64" i="2"/>
  <c r="BE64" i="2"/>
  <c r="BF64" i="2"/>
  <c r="BG64" i="2"/>
  <c r="BH64" i="2"/>
  <c r="BI64" i="2"/>
  <c r="BJ64" i="2"/>
  <c r="BK64" i="2"/>
  <c r="BL64" i="2"/>
  <c r="BM64" i="2"/>
  <c r="BN64" i="2"/>
  <c r="BO64" i="2"/>
  <c r="BP64" i="2"/>
  <c r="BQ64" i="2"/>
  <c r="BR64" i="2"/>
  <c r="BS64" i="2"/>
  <c r="BT64" i="2"/>
  <c r="BU64" i="2"/>
  <c r="BV64" i="2"/>
  <c r="BW64" i="2"/>
  <c r="BX64" i="2"/>
  <c r="BY64" i="2"/>
  <c r="BZ64" i="2"/>
  <c r="CA64" i="2"/>
  <c r="CB64" i="2"/>
  <c r="CC64" i="2"/>
  <c r="CD64" i="2"/>
  <c r="CE64" i="2"/>
  <c r="CF64" i="2"/>
  <c r="CG64" i="2"/>
  <c r="CH64" i="2"/>
  <c r="CI64" i="2"/>
  <c r="CJ64" i="2"/>
  <c r="CK64" i="2"/>
  <c r="CL64" i="2"/>
  <c r="CM64" i="2"/>
  <c r="CN64" i="2"/>
  <c r="CO64" i="2"/>
  <c r="CP64" i="2"/>
  <c r="CQ64" i="2"/>
  <c r="CR64" i="2"/>
  <c r="CS64" i="2"/>
  <c r="CT64" i="2"/>
  <c r="CU64" i="2"/>
  <c r="CV64" i="2"/>
  <c r="CW64" i="2"/>
  <c r="CX64" i="2"/>
  <c r="CY64" i="2"/>
  <c r="CZ64" i="2"/>
  <c r="DA64" i="2"/>
  <c r="F65" i="2"/>
  <c r="G65" i="2"/>
  <c r="H65" i="2"/>
  <c r="I65" i="2"/>
  <c r="J65" i="2"/>
  <c r="K65" i="2"/>
  <c r="L65" i="2"/>
  <c r="M65" i="2"/>
  <c r="N65" i="2"/>
  <c r="O65" i="2"/>
  <c r="P65" i="2"/>
  <c r="Q65" i="2"/>
  <c r="R65" i="2"/>
  <c r="S65" i="2"/>
  <c r="T65" i="2"/>
  <c r="U65" i="2"/>
  <c r="V65" i="2"/>
  <c r="W65" i="2"/>
  <c r="X65" i="2"/>
  <c r="Y65" i="2"/>
  <c r="Z65" i="2"/>
  <c r="AA65" i="2"/>
  <c r="AB65" i="2"/>
  <c r="AC65" i="2"/>
  <c r="AD65" i="2"/>
  <c r="AE65" i="2"/>
  <c r="AF65" i="2"/>
  <c r="AG65" i="2"/>
  <c r="AH65" i="2"/>
  <c r="AI65" i="2"/>
  <c r="AJ65" i="2"/>
  <c r="AK65" i="2"/>
  <c r="AL65" i="2"/>
  <c r="AM65" i="2"/>
  <c r="AN65" i="2"/>
  <c r="AO65" i="2"/>
  <c r="AP65" i="2"/>
  <c r="AQ65" i="2"/>
  <c r="AR65" i="2"/>
  <c r="AS65" i="2"/>
  <c r="AT65" i="2"/>
  <c r="AU65" i="2"/>
  <c r="AV65" i="2"/>
  <c r="AW65" i="2"/>
  <c r="AX65" i="2"/>
  <c r="AY65" i="2"/>
  <c r="AZ65" i="2"/>
  <c r="BA65" i="2"/>
  <c r="BB65" i="2"/>
  <c r="BC65" i="2"/>
  <c r="BD65" i="2"/>
  <c r="BE65" i="2"/>
  <c r="BF65" i="2"/>
  <c r="BG65" i="2"/>
  <c r="BH65" i="2"/>
  <c r="BI65" i="2"/>
  <c r="BJ65" i="2"/>
  <c r="BK65" i="2"/>
  <c r="BL65" i="2"/>
  <c r="BM65" i="2"/>
  <c r="BN65" i="2"/>
  <c r="BO65" i="2"/>
  <c r="BP65" i="2"/>
  <c r="BQ65" i="2"/>
  <c r="BR65" i="2"/>
  <c r="BS65" i="2"/>
  <c r="BT65" i="2"/>
  <c r="BU65" i="2"/>
  <c r="BV65" i="2"/>
  <c r="BW65" i="2"/>
  <c r="BX65" i="2"/>
  <c r="BY65" i="2"/>
  <c r="BZ65" i="2"/>
  <c r="CA65" i="2"/>
  <c r="CB65" i="2"/>
  <c r="CC65" i="2"/>
  <c r="CD65" i="2"/>
  <c r="CE65" i="2"/>
  <c r="CF65" i="2"/>
  <c r="CG65" i="2"/>
  <c r="CH65" i="2"/>
  <c r="CI65" i="2"/>
  <c r="CJ65" i="2"/>
  <c r="CK65" i="2"/>
  <c r="CL65" i="2"/>
  <c r="CM65" i="2"/>
  <c r="CN65" i="2"/>
  <c r="CO65" i="2"/>
  <c r="CP65" i="2"/>
  <c r="CQ65" i="2"/>
  <c r="CR65" i="2"/>
  <c r="CS65" i="2"/>
  <c r="CT65" i="2"/>
  <c r="CU65" i="2"/>
  <c r="CV65" i="2"/>
  <c r="CW65" i="2"/>
  <c r="CX65" i="2"/>
  <c r="CY65" i="2"/>
  <c r="CZ65" i="2"/>
  <c r="DA65" i="2"/>
  <c r="F66" i="2"/>
  <c r="G66" i="2"/>
  <c r="H66" i="2"/>
  <c r="I66" i="2"/>
  <c r="J66" i="2"/>
  <c r="K66" i="2"/>
  <c r="L66" i="2"/>
  <c r="M66" i="2"/>
  <c r="N66" i="2"/>
  <c r="O66" i="2"/>
  <c r="P66" i="2"/>
  <c r="Q66" i="2"/>
  <c r="R66" i="2"/>
  <c r="S66" i="2"/>
  <c r="T66" i="2"/>
  <c r="U66" i="2"/>
  <c r="V66" i="2"/>
  <c r="W66" i="2"/>
  <c r="X66" i="2"/>
  <c r="Y66" i="2"/>
  <c r="Z66" i="2"/>
  <c r="AA66" i="2"/>
  <c r="AB66" i="2"/>
  <c r="AC66" i="2"/>
  <c r="AD66" i="2"/>
  <c r="AE66" i="2"/>
  <c r="AF66" i="2"/>
  <c r="AG66" i="2"/>
  <c r="AH66" i="2"/>
  <c r="AI66" i="2"/>
  <c r="AJ66" i="2"/>
  <c r="AK66" i="2"/>
  <c r="AL66" i="2"/>
  <c r="AM66" i="2"/>
  <c r="AN66" i="2"/>
  <c r="AO66" i="2"/>
  <c r="AP66" i="2"/>
  <c r="AQ66" i="2"/>
  <c r="AR66" i="2"/>
  <c r="AS66" i="2"/>
  <c r="AT66" i="2"/>
  <c r="AU66" i="2"/>
  <c r="AV66" i="2"/>
  <c r="AW66" i="2"/>
  <c r="AX66" i="2"/>
  <c r="AY66" i="2"/>
  <c r="AZ66" i="2"/>
  <c r="BA66" i="2"/>
  <c r="BB66" i="2"/>
  <c r="BC66" i="2"/>
  <c r="BD66" i="2"/>
  <c r="BE66" i="2"/>
  <c r="BF66" i="2"/>
  <c r="BG66" i="2"/>
  <c r="BH66" i="2"/>
  <c r="BI66" i="2"/>
  <c r="BJ66" i="2"/>
  <c r="BK66" i="2"/>
  <c r="BL66" i="2"/>
  <c r="BM66" i="2"/>
  <c r="BN66" i="2"/>
  <c r="BO66" i="2"/>
  <c r="BP66" i="2"/>
  <c r="BQ66" i="2"/>
  <c r="BR66" i="2"/>
  <c r="BS66" i="2"/>
  <c r="BT66" i="2"/>
  <c r="BU66" i="2"/>
  <c r="BV66" i="2"/>
  <c r="BW66" i="2"/>
  <c r="BX66" i="2"/>
  <c r="BY66" i="2"/>
  <c r="BZ66" i="2"/>
  <c r="CA66" i="2"/>
  <c r="CB66" i="2"/>
  <c r="CC66" i="2"/>
  <c r="CD66" i="2"/>
  <c r="CE66" i="2"/>
  <c r="CF66" i="2"/>
  <c r="CG66" i="2"/>
  <c r="CH66" i="2"/>
  <c r="CI66" i="2"/>
  <c r="CJ66" i="2"/>
  <c r="CK66" i="2"/>
  <c r="CL66" i="2"/>
  <c r="CM66" i="2"/>
  <c r="CN66" i="2"/>
  <c r="CO66" i="2"/>
  <c r="CP66" i="2"/>
  <c r="CQ66" i="2"/>
  <c r="CR66" i="2"/>
  <c r="CS66" i="2"/>
  <c r="CT66" i="2"/>
  <c r="CU66" i="2"/>
  <c r="CV66" i="2"/>
  <c r="CW66" i="2"/>
  <c r="CX66" i="2"/>
  <c r="CY66" i="2"/>
  <c r="CZ66" i="2"/>
  <c r="DA66" i="2"/>
  <c r="F67" i="2"/>
  <c r="G67" i="2"/>
  <c r="H67" i="2"/>
  <c r="I67" i="2"/>
  <c r="J67" i="2"/>
  <c r="K67" i="2"/>
  <c r="L67" i="2"/>
  <c r="M67" i="2"/>
  <c r="N67" i="2"/>
  <c r="O67" i="2"/>
  <c r="P67" i="2"/>
  <c r="Q67" i="2"/>
  <c r="R67" i="2"/>
  <c r="S67" i="2"/>
  <c r="T67" i="2"/>
  <c r="U67" i="2"/>
  <c r="V67" i="2"/>
  <c r="W67" i="2"/>
  <c r="X67" i="2"/>
  <c r="Y67" i="2"/>
  <c r="Z67" i="2"/>
  <c r="AA67" i="2"/>
  <c r="AB67" i="2"/>
  <c r="AC67" i="2"/>
  <c r="AD67" i="2"/>
  <c r="AE67" i="2"/>
  <c r="AF67" i="2"/>
  <c r="AG67" i="2"/>
  <c r="AH67" i="2"/>
  <c r="AI67" i="2"/>
  <c r="AJ67" i="2"/>
  <c r="AK67" i="2"/>
  <c r="AL67" i="2"/>
  <c r="AM67" i="2"/>
  <c r="AN67" i="2"/>
  <c r="AO67" i="2"/>
  <c r="AP67" i="2"/>
  <c r="AQ67" i="2"/>
  <c r="AR67" i="2"/>
  <c r="AS67" i="2"/>
  <c r="AT67" i="2"/>
  <c r="AU67" i="2"/>
  <c r="AV67" i="2"/>
  <c r="AW67" i="2"/>
  <c r="AX67" i="2"/>
  <c r="AY67" i="2"/>
  <c r="AZ67" i="2"/>
  <c r="BA67" i="2"/>
  <c r="BB67" i="2"/>
  <c r="BC67" i="2"/>
  <c r="BD67" i="2"/>
  <c r="BE67" i="2"/>
  <c r="BF67" i="2"/>
  <c r="BG67" i="2"/>
  <c r="BH67" i="2"/>
  <c r="BI67" i="2"/>
  <c r="BJ67" i="2"/>
  <c r="BK67" i="2"/>
  <c r="BL67" i="2"/>
  <c r="BM67" i="2"/>
  <c r="BN67" i="2"/>
  <c r="BO67" i="2"/>
  <c r="BP67" i="2"/>
  <c r="BQ67" i="2"/>
  <c r="BR67" i="2"/>
  <c r="BS67" i="2"/>
  <c r="BT67" i="2"/>
  <c r="BU67" i="2"/>
  <c r="BV67" i="2"/>
  <c r="BW67" i="2"/>
  <c r="BX67" i="2"/>
  <c r="BY67" i="2"/>
  <c r="BZ67" i="2"/>
  <c r="CA67" i="2"/>
  <c r="CB67" i="2"/>
  <c r="CC67" i="2"/>
  <c r="CD67" i="2"/>
  <c r="CE67" i="2"/>
  <c r="CF67" i="2"/>
  <c r="CG67" i="2"/>
  <c r="CH67" i="2"/>
  <c r="CI67" i="2"/>
  <c r="CJ67" i="2"/>
  <c r="CK67" i="2"/>
  <c r="CL67" i="2"/>
  <c r="CM67" i="2"/>
  <c r="CN67" i="2"/>
  <c r="CO67" i="2"/>
  <c r="CP67" i="2"/>
  <c r="CQ67" i="2"/>
  <c r="CR67" i="2"/>
  <c r="CS67" i="2"/>
  <c r="CT67" i="2"/>
  <c r="CU67" i="2"/>
  <c r="CV67" i="2"/>
  <c r="CW67" i="2"/>
  <c r="CX67" i="2"/>
  <c r="CY67" i="2"/>
  <c r="CZ67" i="2"/>
  <c r="DA67" i="2"/>
  <c r="F68" i="2"/>
  <c r="G68" i="2"/>
  <c r="H68" i="2"/>
  <c r="I68" i="2"/>
  <c r="J68" i="2"/>
  <c r="K68" i="2"/>
  <c r="L68" i="2"/>
  <c r="M68" i="2"/>
  <c r="N68" i="2"/>
  <c r="O68" i="2"/>
  <c r="P68" i="2"/>
  <c r="Q68" i="2"/>
  <c r="R68" i="2"/>
  <c r="S68" i="2"/>
  <c r="T68" i="2"/>
  <c r="U68" i="2"/>
  <c r="V68" i="2"/>
  <c r="W68" i="2"/>
  <c r="X68" i="2"/>
  <c r="Y68" i="2"/>
  <c r="Z68" i="2"/>
  <c r="AA68" i="2"/>
  <c r="AB68" i="2"/>
  <c r="AC68" i="2"/>
  <c r="AD68" i="2"/>
  <c r="AE68" i="2"/>
  <c r="AF68" i="2"/>
  <c r="AG68" i="2"/>
  <c r="AH68" i="2"/>
  <c r="AI68" i="2"/>
  <c r="AJ68" i="2"/>
  <c r="AK68" i="2"/>
  <c r="AL68" i="2"/>
  <c r="AM68" i="2"/>
  <c r="AN68" i="2"/>
  <c r="AO68" i="2"/>
  <c r="AP68" i="2"/>
  <c r="AQ68" i="2"/>
  <c r="AR68" i="2"/>
  <c r="AS68" i="2"/>
  <c r="AT68" i="2"/>
  <c r="AU68" i="2"/>
  <c r="AV68" i="2"/>
  <c r="AW68" i="2"/>
  <c r="AX68" i="2"/>
  <c r="AY68" i="2"/>
  <c r="AZ68" i="2"/>
  <c r="BA68" i="2"/>
  <c r="BB68" i="2"/>
  <c r="BC68" i="2"/>
  <c r="BD68" i="2"/>
  <c r="BE68" i="2"/>
  <c r="BF68" i="2"/>
  <c r="BG68" i="2"/>
  <c r="BH68" i="2"/>
  <c r="BI68" i="2"/>
  <c r="BJ68" i="2"/>
  <c r="BK68" i="2"/>
  <c r="BL68" i="2"/>
  <c r="BM68" i="2"/>
  <c r="BN68" i="2"/>
  <c r="BO68" i="2"/>
  <c r="BP68" i="2"/>
  <c r="BQ68" i="2"/>
  <c r="BR68" i="2"/>
  <c r="BS68" i="2"/>
  <c r="BT68" i="2"/>
  <c r="BU68" i="2"/>
  <c r="BV68" i="2"/>
  <c r="BW68" i="2"/>
  <c r="BX68" i="2"/>
  <c r="BY68" i="2"/>
  <c r="BZ68" i="2"/>
  <c r="CA68" i="2"/>
  <c r="CB68" i="2"/>
  <c r="CC68" i="2"/>
  <c r="CD68" i="2"/>
  <c r="CE68" i="2"/>
  <c r="CF68" i="2"/>
  <c r="CG68" i="2"/>
  <c r="CH68" i="2"/>
  <c r="CI68" i="2"/>
  <c r="CJ68" i="2"/>
  <c r="CK68" i="2"/>
  <c r="CL68" i="2"/>
  <c r="CM68" i="2"/>
  <c r="CN68" i="2"/>
  <c r="CO68" i="2"/>
  <c r="CP68" i="2"/>
  <c r="CQ68" i="2"/>
  <c r="CR68" i="2"/>
  <c r="CS68" i="2"/>
  <c r="CT68" i="2"/>
  <c r="CU68" i="2"/>
  <c r="CV68" i="2"/>
  <c r="CW68" i="2"/>
  <c r="CX68" i="2"/>
  <c r="CY68" i="2"/>
  <c r="CZ68" i="2"/>
  <c r="DA68" i="2"/>
  <c r="F69" i="2"/>
  <c r="G69" i="2"/>
  <c r="H69" i="2"/>
  <c r="I69" i="2"/>
  <c r="J69" i="2"/>
  <c r="K69" i="2"/>
  <c r="L69" i="2"/>
  <c r="M69" i="2"/>
  <c r="N69" i="2"/>
  <c r="O69" i="2"/>
  <c r="P69" i="2"/>
  <c r="Q69" i="2"/>
  <c r="R69" i="2"/>
  <c r="S69" i="2"/>
  <c r="T69" i="2"/>
  <c r="U69" i="2"/>
  <c r="V69" i="2"/>
  <c r="W69" i="2"/>
  <c r="X69" i="2"/>
  <c r="Y69" i="2"/>
  <c r="Z69" i="2"/>
  <c r="AA69" i="2"/>
  <c r="AB69" i="2"/>
  <c r="AC69" i="2"/>
  <c r="AD69" i="2"/>
  <c r="AE69" i="2"/>
  <c r="AF69" i="2"/>
  <c r="AG69" i="2"/>
  <c r="AH69" i="2"/>
  <c r="AI69" i="2"/>
  <c r="AJ69" i="2"/>
  <c r="AK69" i="2"/>
  <c r="AL69" i="2"/>
  <c r="AM69" i="2"/>
  <c r="AN69" i="2"/>
  <c r="AO69" i="2"/>
  <c r="AP69" i="2"/>
  <c r="AQ69" i="2"/>
  <c r="AR69" i="2"/>
  <c r="AS69" i="2"/>
  <c r="AT69" i="2"/>
  <c r="AU69" i="2"/>
  <c r="AV69" i="2"/>
  <c r="AW69" i="2"/>
  <c r="AX69" i="2"/>
  <c r="AY69" i="2"/>
  <c r="AZ69" i="2"/>
  <c r="BA69" i="2"/>
  <c r="BB69" i="2"/>
  <c r="BC69" i="2"/>
  <c r="BD69" i="2"/>
  <c r="BE69" i="2"/>
  <c r="BF69" i="2"/>
  <c r="BG69" i="2"/>
  <c r="BH69" i="2"/>
  <c r="BI69" i="2"/>
  <c r="BJ69" i="2"/>
  <c r="BK69" i="2"/>
  <c r="BL69" i="2"/>
  <c r="BM69" i="2"/>
  <c r="BN69" i="2"/>
  <c r="BO69" i="2"/>
  <c r="BP69" i="2"/>
  <c r="BQ69" i="2"/>
  <c r="BR69" i="2"/>
  <c r="BS69" i="2"/>
  <c r="BT69" i="2"/>
  <c r="BU69" i="2"/>
  <c r="BV69" i="2"/>
  <c r="BW69" i="2"/>
  <c r="BX69" i="2"/>
  <c r="BY69" i="2"/>
  <c r="BZ69" i="2"/>
  <c r="CA69" i="2"/>
  <c r="CB69" i="2"/>
  <c r="CC69" i="2"/>
  <c r="CD69" i="2"/>
  <c r="CE69" i="2"/>
  <c r="CF69" i="2"/>
  <c r="CG69" i="2"/>
  <c r="CH69" i="2"/>
  <c r="CI69" i="2"/>
  <c r="CJ69" i="2"/>
  <c r="CK69" i="2"/>
  <c r="CL69" i="2"/>
  <c r="CM69" i="2"/>
  <c r="CN69" i="2"/>
  <c r="CO69" i="2"/>
  <c r="CP69" i="2"/>
  <c r="CQ69" i="2"/>
  <c r="CR69" i="2"/>
  <c r="CS69" i="2"/>
  <c r="CT69" i="2"/>
  <c r="CU69" i="2"/>
  <c r="CV69" i="2"/>
  <c r="CW69" i="2"/>
  <c r="CX69" i="2"/>
  <c r="CY69" i="2"/>
  <c r="CZ69" i="2"/>
  <c r="DA69" i="2"/>
  <c r="F70" i="2"/>
  <c r="G70" i="2"/>
  <c r="H70" i="2"/>
  <c r="I70" i="2"/>
  <c r="J70" i="2"/>
  <c r="K70" i="2"/>
  <c r="L70" i="2"/>
  <c r="M70" i="2"/>
  <c r="N70" i="2"/>
  <c r="O70" i="2"/>
  <c r="P70" i="2"/>
  <c r="Q70" i="2"/>
  <c r="R70" i="2"/>
  <c r="S70" i="2"/>
  <c r="T70" i="2"/>
  <c r="U70" i="2"/>
  <c r="V70" i="2"/>
  <c r="W70" i="2"/>
  <c r="X70" i="2"/>
  <c r="Y70" i="2"/>
  <c r="Z70" i="2"/>
  <c r="AA70" i="2"/>
  <c r="AB70" i="2"/>
  <c r="AC70" i="2"/>
  <c r="AD70" i="2"/>
  <c r="AE70" i="2"/>
  <c r="AF70" i="2"/>
  <c r="AG70" i="2"/>
  <c r="AH70" i="2"/>
  <c r="AI70" i="2"/>
  <c r="AJ70" i="2"/>
  <c r="AK70" i="2"/>
  <c r="AL70" i="2"/>
  <c r="AM70" i="2"/>
  <c r="AN70" i="2"/>
  <c r="AO70" i="2"/>
  <c r="AP70" i="2"/>
  <c r="AQ70" i="2"/>
  <c r="AR70" i="2"/>
  <c r="AS70" i="2"/>
  <c r="AT70" i="2"/>
  <c r="AU70" i="2"/>
  <c r="AV70" i="2"/>
  <c r="AW70" i="2"/>
  <c r="AX70" i="2"/>
  <c r="AY70" i="2"/>
  <c r="AZ70" i="2"/>
  <c r="BA70" i="2"/>
  <c r="BB70" i="2"/>
  <c r="BC70" i="2"/>
  <c r="BD70" i="2"/>
  <c r="BE70" i="2"/>
  <c r="BF70" i="2"/>
  <c r="BG70" i="2"/>
  <c r="BH70" i="2"/>
  <c r="BI70" i="2"/>
  <c r="BJ70" i="2"/>
  <c r="BK70" i="2"/>
  <c r="BL70" i="2"/>
  <c r="BM70" i="2"/>
  <c r="BN70" i="2"/>
  <c r="BO70" i="2"/>
  <c r="BP70" i="2"/>
  <c r="BQ70" i="2"/>
  <c r="BR70" i="2"/>
  <c r="BS70" i="2"/>
  <c r="BT70" i="2"/>
  <c r="BU70" i="2"/>
  <c r="BV70" i="2"/>
  <c r="BW70" i="2"/>
  <c r="BX70" i="2"/>
  <c r="BY70" i="2"/>
  <c r="BZ70" i="2"/>
  <c r="CA70" i="2"/>
  <c r="CB70" i="2"/>
  <c r="CC70" i="2"/>
  <c r="CD70" i="2"/>
  <c r="CE70" i="2"/>
  <c r="CF70" i="2"/>
  <c r="CG70" i="2"/>
  <c r="CH70" i="2"/>
  <c r="CI70" i="2"/>
  <c r="CJ70" i="2"/>
  <c r="CK70" i="2"/>
  <c r="CL70" i="2"/>
  <c r="CM70" i="2"/>
  <c r="CN70" i="2"/>
  <c r="CO70" i="2"/>
  <c r="CP70" i="2"/>
  <c r="CQ70" i="2"/>
  <c r="CR70" i="2"/>
  <c r="CS70" i="2"/>
  <c r="CT70" i="2"/>
  <c r="CU70" i="2"/>
  <c r="CV70" i="2"/>
  <c r="CW70" i="2"/>
  <c r="CX70" i="2"/>
  <c r="CY70" i="2"/>
  <c r="CZ70" i="2"/>
  <c r="DA70" i="2"/>
  <c r="F71" i="2"/>
  <c r="G71" i="2"/>
  <c r="H71" i="2"/>
  <c r="I71" i="2"/>
  <c r="J71" i="2"/>
  <c r="K71" i="2"/>
  <c r="L71" i="2"/>
  <c r="M71" i="2"/>
  <c r="N71" i="2"/>
  <c r="O71" i="2"/>
  <c r="P71" i="2"/>
  <c r="Q71" i="2"/>
  <c r="R71" i="2"/>
  <c r="S71" i="2"/>
  <c r="T71" i="2"/>
  <c r="U71" i="2"/>
  <c r="V71" i="2"/>
  <c r="W71" i="2"/>
  <c r="X71" i="2"/>
  <c r="Y71" i="2"/>
  <c r="Z71" i="2"/>
  <c r="AA71" i="2"/>
  <c r="AB71" i="2"/>
  <c r="AC71" i="2"/>
  <c r="AD71" i="2"/>
  <c r="AE71" i="2"/>
  <c r="AF71" i="2"/>
  <c r="AG71" i="2"/>
  <c r="AH71" i="2"/>
  <c r="AI71" i="2"/>
  <c r="AJ71" i="2"/>
  <c r="AK71" i="2"/>
  <c r="AL71" i="2"/>
  <c r="AM71" i="2"/>
  <c r="AN71" i="2"/>
  <c r="AO71" i="2"/>
  <c r="AP71" i="2"/>
  <c r="AQ71" i="2"/>
  <c r="AR71" i="2"/>
  <c r="AS71" i="2"/>
  <c r="AT71" i="2"/>
  <c r="AU71" i="2"/>
  <c r="AV71" i="2"/>
  <c r="AW71" i="2"/>
  <c r="AX71" i="2"/>
  <c r="AY71" i="2"/>
  <c r="AZ71" i="2"/>
  <c r="BA71" i="2"/>
  <c r="BB71" i="2"/>
  <c r="BC71" i="2"/>
  <c r="BD71" i="2"/>
  <c r="BE71" i="2"/>
  <c r="BF71" i="2"/>
  <c r="BG71" i="2"/>
  <c r="BH71" i="2"/>
  <c r="BI71" i="2"/>
  <c r="BJ71" i="2"/>
  <c r="BK71" i="2"/>
  <c r="BL71" i="2"/>
  <c r="BM71" i="2"/>
  <c r="BN71" i="2"/>
  <c r="BO71" i="2"/>
  <c r="BP71" i="2"/>
  <c r="BQ71" i="2"/>
  <c r="BR71" i="2"/>
  <c r="BS71" i="2"/>
  <c r="BT71" i="2"/>
  <c r="BU71" i="2"/>
  <c r="BV71" i="2"/>
  <c r="BW71" i="2"/>
  <c r="BX71" i="2"/>
  <c r="BY71" i="2"/>
  <c r="BZ71" i="2"/>
  <c r="CA71" i="2"/>
  <c r="CB71" i="2"/>
  <c r="CC71" i="2"/>
  <c r="CD71" i="2"/>
  <c r="CE71" i="2"/>
  <c r="CF71" i="2"/>
  <c r="CG71" i="2"/>
  <c r="CH71" i="2"/>
  <c r="CI71" i="2"/>
  <c r="CJ71" i="2"/>
  <c r="CK71" i="2"/>
  <c r="CL71" i="2"/>
  <c r="CM71" i="2"/>
  <c r="CN71" i="2"/>
  <c r="CO71" i="2"/>
  <c r="CP71" i="2"/>
  <c r="CQ71" i="2"/>
  <c r="CR71" i="2"/>
  <c r="CS71" i="2"/>
  <c r="CT71" i="2"/>
  <c r="CU71" i="2"/>
  <c r="CV71" i="2"/>
  <c r="CW71" i="2"/>
  <c r="CX71" i="2"/>
  <c r="CY71" i="2"/>
  <c r="CZ71" i="2"/>
  <c r="DA71" i="2"/>
  <c r="F72" i="2"/>
  <c r="G72" i="2"/>
  <c r="H72" i="2"/>
  <c r="I72" i="2"/>
  <c r="J72" i="2"/>
  <c r="K72" i="2"/>
  <c r="L72" i="2"/>
  <c r="M72" i="2"/>
  <c r="N72" i="2"/>
  <c r="O72" i="2"/>
  <c r="P72" i="2"/>
  <c r="Q72" i="2"/>
  <c r="R72" i="2"/>
  <c r="S72" i="2"/>
  <c r="T72" i="2"/>
  <c r="U72" i="2"/>
  <c r="V72" i="2"/>
  <c r="W72" i="2"/>
  <c r="X72" i="2"/>
  <c r="Y72" i="2"/>
  <c r="Z72" i="2"/>
  <c r="AA72" i="2"/>
  <c r="AB72" i="2"/>
  <c r="AC72" i="2"/>
  <c r="AD72" i="2"/>
  <c r="AE72" i="2"/>
  <c r="AF72" i="2"/>
  <c r="AG72" i="2"/>
  <c r="AH72" i="2"/>
  <c r="AI72" i="2"/>
  <c r="AJ72" i="2"/>
  <c r="AK72" i="2"/>
  <c r="AL72" i="2"/>
  <c r="AM72" i="2"/>
  <c r="AN72" i="2"/>
  <c r="AO72" i="2"/>
  <c r="AP72" i="2"/>
  <c r="AQ72" i="2"/>
  <c r="AR72" i="2"/>
  <c r="AS72" i="2"/>
  <c r="AT72" i="2"/>
  <c r="AU72" i="2"/>
  <c r="AV72" i="2"/>
  <c r="AW72" i="2"/>
  <c r="AX72" i="2"/>
  <c r="AY72" i="2"/>
  <c r="AZ72" i="2"/>
  <c r="BA72" i="2"/>
  <c r="BB72" i="2"/>
  <c r="BC72" i="2"/>
  <c r="BD72" i="2"/>
  <c r="BE72" i="2"/>
  <c r="BF72" i="2"/>
  <c r="BG72" i="2"/>
  <c r="BH72" i="2"/>
  <c r="BI72" i="2"/>
  <c r="BJ72" i="2"/>
  <c r="BK72" i="2"/>
  <c r="BL72" i="2"/>
  <c r="BM72" i="2"/>
  <c r="BN72" i="2"/>
  <c r="BO72" i="2"/>
  <c r="BP72" i="2"/>
  <c r="BQ72" i="2"/>
  <c r="BR72" i="2"/>
  <c r="BS72" i="2"/>
  <c r="BT72" i="2"/>
  <c r="BU72" i="2"/>
  <c r="BV72" i="2"/>
  <c r="BW72" i="2"/>
  <c r="BX72" i="2"/>
  <c r="BY72" i="2"/>
  <c r="BZ72" i="2"/>
  <c r="CA72" i="2"/>
  <c r="CB72" i="2"/>
  <c r="CC72" i="2"/>
  <c r="CD72" i="2"/>
  <c r="CE72" i="2"/>
  <c r="CF72" i="2"/>
  <c r="CG72" i="2"/>
  <c r="CH72" i="2"/>
  <c r="CI72" i="2"/>
  <c r="CJ72" i="2"/>
  <c r="CK72" i="2"/>
  <c r="CL72" i="2"/>
  <c r="CM72" i="2"/>
  <c r="CN72" i="2"/>
  <c r="CO72" i="2"/>
  <c r="CP72" i="2"/>
  <c r="CQ72" i="2"/>
  <c r="CR72" i="2"/>
  <c r="CS72" i="2"/>
  <c r="CT72" i="2"/>
  <c r="CU72" i="2"/>
  <c r="CV72" i="2"/>
  <c r="CW72" i="2"/>
  <c r="CX72" i="2"/>
  <c r="CY72" i="2"/>
  <c r="CZ72" i="2"/>
  <c r="DA72" i="2"/>
  <c r="F73" i="2"/>
  <c r="G73" i="2"/>
  <c r="H73" i="2"/>
  <c r="I73" i="2"/>
  <c r="J73" i="2"/>
  <c r="K73" i="2"/>
  <c r="L73" i="2"/>
  <c r="M73" i="2"/>
  <c r="N73" i="2"/>
  <c r="O73" i="2"/>
  <c r="P73" i="2"/>
  <c r="Q73" i="2"/>
  <c r="R73" i="2"/>
  <c r="S73" i="2"/>
  <c r="T73" i="2"/>
  <c r="U73" i="2"/>
  <c r="V73" i="2"/>
  <c r="W73" i="2"/>
  <c r="X73" i="2"/>
  <c r="Y73" i="2"/>
  <c r="Z73" i="2"/>
  <c r="AA73" i="2"/>
  <c r="AB73" i="2"/>
  <c r="AC73" i="2"/>
  <c r="AD73" i="2"/>
  <c r="AE73" i="2"/>
  <c r="AF73" i="2"/>
  <c r="AG73" i="2"/>
  <c r="AH73" i="2"/>
  <c r="AI73" i="2"/>
  <c r="AJ73" i="2"/>
  <c r="AK73" i="2"/>
  <c r="AL73" i="2"/>
  <c r="AM73" i="2"/>
  <c r="AN73" i="2"/>
  <c r="AO73" i="2"/>
  <c r="AP73" i="2"/>
  <c r="AQ73" i="2"/>
  <c r="AR73" i="2"/>
  <c r="AS73" i="2"/>
  <c r="AT73" i="2"/>
  <c r="AU73" i="2"/>
  <c r="AV73" i="2"/>
  <c r="AW73" i="2"/>
  <c r="AX73" i="2"/>
  <c r="AY73" i="2"/>
  <c r="AZ73" i="2"/>
  <c r="BA73" i="2"/>
  <c r="BB73" i="2"/>
  <c r="BC73" i="2"/>
  <c r="BD73" i="2"/>
  <c r="BE73" i="2"/>
  <c r="BF73" i="2"/>
  <c r="BG73" i="2"/>
  <c r="BH73" i="2"/>
  <c r="BI73" i="2"/>
  <c r="BJ73" i="2"/>
  <c r="BK73" i="2"/>
  <c r="BL73" i="2"/>
  <c r="BM73" i="2"/>
  <c r="BN73" i="2"/>
  <c r="BO73" i="2"/>
  <c r="BP73" i="2"/>
  <c r="BQ73" i="2"/>
  <c r="BR73" i="2"/>
  <c r="BS73" i="2"/>
  <c r="BT73" i="2"/>
  <c r="BU73" i="2"/>
  <c r="BV73" i="2"/>
  <c r="BW73" i="2"/>
  <c r="BX73" i="2"/>
  <c r="BY73" i="2"/>
  <c r="BZ73" i="2"/>
  <c r="CA73" i="2"/>
  <c r="CB73" i="2"/>
  <c r="CC73" i="2"/>
  <c r="CD73" i="2"/>
  <c r="CE73" i="2"/>
  <c r="CF73" i="2"/>
  <c r="CG73" i="2"/>
  <c r="CH73" i="2"/>
  <c r="CI73" i="2"/>
  <c r="CJ73" i="2"/>
  <c r="CK73" i="2"/>
  <c r="CL73" i="2"/>
  <c r="CM73" i="2"/>
  <c r="CN73" i="2"/>
  <c r="CO73" i="2"/>
  <c r="CP73" i="2"/>
  <c r="CQ73" i="2"/>
  <c r="CR73" i="2"/>
  <c r="CS73" i="2"/>
  <c r="CT73" i="2"/>
  <c r="CU73" i="2"/>
  <c r="CV73" i="2"/>
  <c r="CW73" i="2"/>
  <c r="CX73" i="2"/>
  <c r="CY73" i="2"/>
  <c r="CZ73" i="2"/>
  <c r="DA73" i="2"/>
  <c r="F74" i="2"/>
  <c r="G74" i="2"/>
  <c r="H74" i="2"/>
  <c r="I74" i="2"/>
  <c r="J74" i="2"/>
  <c r="K74" i="2"/>
  <c r="L74" i="2"/>
  <c r="M74" i="2"/>
  <c r="N74" i="2"/>
  <c r="O74" i="2"/>
  <c r="P74" i="2"/>
  <c r="Q74" i="2"/>
  <c r="R74" i="2"/>
  <c r="S74" i="2"/>
  <c r="T74" i="2"/>
  <c r="U74" i="2"/>
  <c r="V74" i="2"/>
  <c r="W74" i="2"/>
  <c r="X74" i="2"/>
  <c r="Y74" i="2"/>
  <c r="Z74" i="2"/>
  <c r="AA74" i="2"/>
  <c r="AB74" i="2"/>
  <c r="AC74" i="2"/>
  <c r="AD74" i="2"/>
  <c r="AE74" i="2"/>
  <c r="AF74" i="2"/>
  <c r="AG74" i="2"/>
  <c r="AH74" i="2"/>
  <c r="AI74" i="2"/>
  <c r="AJ74" i="2"/>
  <c r="AK74" i="2"/>
  <c r="AL74" i="2"/>
  <c r="AM74" i="2"/>
  <c r="AN74" i="2"/>
  <c r="AO74" i="2"/>
  <c r="AP74" i="2"/>
  <c r="AQ74" i="2"/>
  <c r="AR74" i="2"/>
  <c r="AS74" i="2"/>
  <c r="AT74" i="2"/>
  <c r="AU74" i="2"/>
  <c r="AV74" i="2"/>
  <c r="AW74" i="2"/>
  <c r="AX74" i="2"/>
  <c r="AY74" i="2"/>
  <c r="AZ74" i="2"/>
  <c r="BA74" i="2"/>
  <c r="BB74" i="2"/>
  <c r="BC74" i="2"/>
  <c r="BD74" i="2"/>
  <c r="BE74" i="2"/>
  <c r="BF74" i="2"/>
  <c r="BG74" i="2"/>
  <c r="BH74" i="2"/>
  <c r="BI74" i="2"/>
  <c r="BJ74" i="2"/>
  <c r="BK74" i="2"/>
  <c r="BL74" i="2"/>
  <c r="BM74" i="2"/>
  <c r="BN74" i="2"/>
  <c r="BO74" i="2"/>
  <c r="BP74" i="2"/>
  <c r="BQ74" i="2"/>
  <c r="BR74" i="2"/>
  <c r="BS74" i="2"/>
  <c r="BT74" i="2"/>
  <c r="BU74" i="2"/>
  <c r="BV74" i="2"/>
  <c r="BW74" i="2"/>
  <c r="BX74" i="2"/>
  <c r="BY74" i="2"/>
  <c r="BZ74" i="2"/>
  <c r="CA74" i="2"/>
  <c r="CB74" i="2"/>
  <c r="CC74" i="2"/>
  <c r="CD74" i="2"/>
  <c r="CE74" i="2"/>
  <c r="CF74" i="2"/>
  <c r="CG74" i="2"/>
  <c r="CH74" i="2"/>
  <c r="CI74" i="2"/>
  <c r="CJ74" i="2"/>
  <c r="CK74" i="2"/>
  <c r="CL74" i="2"/>
  <c r="CM74" i="2"/>
  <c r="CN74" i="2"/>
  <c r="CO74" i="2"/>
  <c r="CP74" i="2"/>
  <c r="CQ74" i="2"/>
  <c r="CR74" i="2"/>
  <c r="CS74" i="2"/>
  <c r="CT74" i="2"/>
  <c r="CU74" i="2"/>
  <c r="CV74" i="2"/>
  <c r="CW74" i="2"/>
  <c r="CX74" i="2"/>
  <c r="CY74" i="2"/>
  <c r="CZ74" i="2"/>
  <c r="DA74" i="2"/>
  <c r="F75" i="2"/>
  <c r="G75" i="2"/>
  <c r="H75" i="2"/>
  <c r="I75" i="2"/>
  <c r="J75" i="2"/>
  <c r="K75" i="2"/>
  <c r="L75" i="2"/>
  <c r="M75" i="2"/>
  <c r="N75" i="2"/>
  <c r="O75" i="2"/>
  <c r="P75" i="2"/>
  <c r="Q75" i="2"/>
  <c r="R75" i="2"/>
  <c r="S75" i="2"/>
  <c r="T75" i="2"/>
  <c r="U75" i="2"/>
  <c r="V75" i="2"/>
  <c r="W75" i="2"/>
  <c r="X75" i="2"/>
  <c r="Y75" i="2"/>
  <c r="Z75" i="2"/>
  <c r="AA75" i="2"/>
  <c r="AB75" i="2"/>
  <c r="AC75" i="2"/>
  <c r="AD75" i="2"/>
  <c r="AE75" i="2"/>
  <c r="AF75" i="2"/>
  <c r="AG75" i="2"/>
  <c r="AH75" i="2"/>
  <c r="AI75" i="2"/>
  <c r="AJ75" i="2"/>
  <c r="AK75" i="2"/>
  <c r="AL75" i="2"/>
  <c r="AM75" i="2"/>
  <c r="AN75" i="2"/>
  <c r="AO75" i="2"/>
  <c r="AP75" i="2"/>
  <c r="AQ75" i="2"/>
  <c r="AR75" i="2"/>
  <c r="AS75" i="2"/>
  <c r="AT75" i="2"/>
  <c r="AU75" i="2"/>
  <c r="AV75" i="2"/>
  <c r="AW75" i="2"/>
  <c r="AX75" i="2"/>
  <c r="AY75" i="2"/>
  <c r="AZ75" i="2"/>
  <c r="BA75" i="2"/>
  <c r="BB75" i="2"/>
  <c r="BC75" i="2"/>
  <c r="BD75" i="2"/>
  <c r="BE75" i="2"/>
  <c r="BF75" i="2"/>
  <c r="BG75" i="2"/>
  <c r="BH75" i="2"/>
  <c r="BI75" i="2"/>
  <c r="BJ75" i="2"/>
  <c r="BK75" i="2"/>
  <c r="BL75" i="2"/>
  <c r="BM75" i="2"/>
  <c r="BN75" i="2"/>
  <c r="BO75" i="2"/>
  <c r="BP75" i="2"/>
  <c r="BQ75" i="2"/>
  <c r="BR75" i="2"/>
  <c r="BS75" i="2"/>
  <c r="BT75" i="2"/>
  <c r="BU75" i="2"/>
  <c r="BV75" i="2"/>
  <c r="BW75" i="2"/>
  <c r="BX75" i="2"/>
  <c r="BY75" i="2"/>
  <c r="BZ75" i="2"/>
  <c r="CA75" i="2"/>
  <c r="CB75" i="2"/>
  <c r="CC75" i="2"/>
  <c r="CD75" i="2"/>
  <c r="CE75" i="2"/>
  <c r="CF75" i="2"/>
  <c r="CG75" i="2"/>
  <c r="CH75" i="2"/>
  <c r="CI75" i="2"/>
  <c r="CJ75" i="2"/>
  <c r="CK75" i="2"/>
  <c r="CL75" i="2"/>
  <c r="CM75" i="2"/>
  <c r="CN75" i="2"/>
  <c r="CO75" i="2"/>
  <c r="CP75" i="2"/>
  <c r="CQ75" i="2"/>
  <c r="CR75" i="2"/>
  <c r="CS75" i="2"/>
  <c r="CT75" i="2"/>
  <c r="CU75" i="2"/>
  <c r="CV75" i="2"/>
  <c r="CW75" i="2"/>
  <c r="CX75" i="2"/>
  <c r="CY75" i="2"/>
  <c r="CZ75" i="2"/>
  <c r="DA75" i="2"/>
  <c r="F76" i="2"/>
  <c r="G76" i="2"/>
  <c r="H76" i="2"/>
  <c r="I76" i="2"/>
  <c r="J76" i="2"/>
  <c r="K76" i="2"/>
  <c r="L76" i="2"/>
  <c r="M76" i="2"/>
  <c r="N76" i="2"/>
  <c r="O76" i="2"/>
  <c r="P76" i="2"/>
  <c r="Q76" i="2"/>
  <c r="R76" i="2"/>
  <c r="S76" i="2"/>
  <c r="T76" i="2"/>
  <c r="U76" i="2"/>
  <c r="V76" i="2"/>
  <c r="W76" i="2"/>
  <c r="X76" i="2"/>
  <c r="Y76" i="2"/>
  <c r="Z76" i="2"/>
  <c r="AA76" i="2"/>
  <c r="AB76" i="2"/>
  <c r="AC76" i="2"/>
  <c r="AD76" i="2"/>
  <c r="AE76" i="2"/>
  <c r="AF76" i="2"/>
  <c r="AG76" i="2"/>
  <c r="AH76" i="2"/>
  <c r="AI76" i="2"/>
  <c r="AJ76" i="2"/>
  <c r="AK76" i="2"/>
  <c r="AL76" i="2"/>
  <c r="AM76" i="2"/>
  <c r="AN76" i="2"/>
  <c r="AO76" i="2"/>
  <c r="AP76" i="2"/>
  <c r="AQ76" i="2"/>
  <c r="AR76" i="2"/>
  <c r="AS76" i="2"/>
  <c r="AT76" i="2"/>
  <c r="AU76" i="2"/>
  <c r="AV76" i="2"/>
  <c r="AW76" i="2"/>
  <c r="AX76" i="2"/>
  <c r="AY76" i="2"/>
  <c r="AZ76" i="2"/>
  <c r="BA76" i="2"/>
  <c r="BB76" i="2"/>
  <c r="BC76" i="2"/>
  <c r="BD76" i="2"/>
  <c r="BE76" i="2"/>
  <c r="BF76" i="2"/>
  <c r="BG76" i="2"/>
  <c r="BH76" i="2"/>
  <c r="BI76" i="2"/>
  <c r="BJ76" i="2"/>
  <c r="BK76" i="2"/>
  <c r="BL76" i="2"/>
  <c r="BM76" i="2"/>
  <c r="BN76" i="2"/>
  <c r="BO76" i="2"/>
  <c r="BP76" i="2"/>
  <c r="BQ76" i="2"/>
  <c r="BR76" i="2"/>
  <c r="BS76" i="2"/>
  <c r="BT76" i="2"/>
  <c r="BU76" i="2"/>
  <c r="BV76" i="2"/>
  <c r="BW76" i="2"/>
  <c r="BX76" i="2"/>
  <c r="BY76" i="2"/>
  <c r="BZ76" i="2"/>
  <c r="CA76" i="2"/>
  <c r="CB76" i="2"/>
  <c r="CC76" i="2"/>
  <c r="CD76" i="2"/>
  <c r="CE76" i="2"/>
  <c r="CF76" i="2"/>
  <c r="CG76" i="2"/>
  <c r="CH76" i="2"/>
  <c r="CI76" i="2"/>
  <c r="CJ76" i="2"/>
  <c r="CK76" i="2"/>
  <c r="CL76" i="2"/>
  <c r="CM76" i="2"/>
  <c r="CN76" i="2"/>
  <c r="CO76" i="2"/>
  <c r="CP76" i="2"/>
  <c r="CQ76" i="2"/>
  <c r="CR76" i="2"/>
  <c r="CS76" i="2"/>
  <c r="CT76" i="2"/>
  <c r="CU76" i="2"/>
  <c r="CV76" i="2"/>
  <c r="CW76" i="2"/>
  <c r="CX76" i="2"/>
  <c r="CY76" i="2"/>
  <c r="CZ76" i="2"/>
  <c r="DA76" i="2"/>
  <c r="F77" i="2"/>
  <c r="G77" i="2"/>
  <c r="H77" i="2"/>
  <c r="I77" i="2"/>
  <c r="J77" i="2"/>
  <c r="K77" i="2"/>
  <c r="L77" i="2"/>
  <c r="M77" i="2"/>
  <c r="N77" i="2"/>
  <c r="O77" i="2"/>
  <c r="P77" i="2"/>
  <c r="Q77" i="2"/>
  <c r="R77" i="2"/>
  <c r="S77" i="2"/>
  <c r="T77" i="2"/>
  <c r="U77" i="2"/>
  <c r="V77" i="2"/>
  <c r="W77" i="2"/>
  <c r="X77" i="2"/>
  <c r="Y77" i="2"/>
  <c r="Z77" i="2"/>
  <c r="AA77" i="2"/>
  <c r="AB77" i="2"/>
  <c r="AC77" i="2"/>
  <c r="AD77" i="2"/>
  <c r="AE77" i="2"/>
  <c r="AF77" i="2"/>
  <c r="AG77" i="2"/>
  <c r="AH77" i="2"/>
  <c r="AI77" i="2"/>
  <c r="AJ77" i="2"/>
  <c r="AK77" i="2"/>
  <c r="AL77" i="2"/>
  <c r="AM77" i="2"/>
  <c r="AN77" i="2"/>
  <c r="AO77" i="2"/>
  <c r="AP77" i="2"/>
  <c r="AQ77" i="2"/>
  <c r="AR77" i="2"/>
  <c r="AS77" i="2"/>
  <c r="AT77" i="2"/>
  <c r="AU77" i="2"/>
  <c r="AV77" i="2"/>
  <c r="AW77" i="2"/>
  <c r="AX77" i="2"/>
  <c r="AY77" i="2"/>
  <c r="AZ77" i="2"/>
  <c r="BA77" i="2"/>
  <c r="BB77" i="2"/>
  <c r="BC77" i="2"/>
  <c r="BD77" i="2"/>
  <c r="BE77" i="2"/>
  <c r="BF77" i="2"/>
  <c r="BG77" i="2"/>
  <c r="BH77" i="2"/>
  <c r="BI77" i="2"/>
  <c r="BJ77" i="2"/>
  <c r="BK77" i="2"/>
  <c r="BL77" i="2"/>
  <c r="BM77" i="2"/>
  <c r="BN77" i="2"/>
  <c r="BO77" i="2"/>
  <c r="BP77" i="2"/>
  <c r="BQ77" i="2"/>
  <c r="BR77" i="2"/>
  <c r="BS77" i="2"/>
  <c r="BT77" i="2"/>
  <c r="BU77" i="2"/>
  <c r="BV77" i="2"/>
  <c r="BW77" i="2"/>
  <c r="BX77" i="2"/>
  <c r="BY77" i="2"/>
  <c r="BZ77" i="2"/>
  <c r="CA77" i="2"/>
  <c r="CB77" i="2"/>
  <c r="CC77" i="2"/>
  <c r="CD77" i="2"/>
  <c r="CE77" i="2"/>
  <c r="CF77" i="2"/>
  <c r="CG77" i="2"/>
  <c r="CH77" i="2"/>
  <c r="CI77" i="2"/>
  <c r="CJ77" i="2"/>
  <c r="CK77" i="2"/>
  <c r="CL77" i="2"/>
  <c r="CM77" i="2"/>
  <c r="CN77" i="2"/>
  <c r="CO77" i="2"/>
  <c r="CP77" i="2"/>
  <c r="CQ77" i="2"/>
  <c r="CR77" i="2"/>
  <c r="CS77" i="2"/>
  <c r="CT77" i="2"/>
  <c r="CU77" i="2"/>
  <c r="CV77" i="2"/>
  <c r="CW77" i="2"/>
  <c r="CX77" i="2"/>
  <c r="CY77" i="2"/>
  <c r="CZ77" i="2"/>
  <c r="DA77" i="2"/>
  <c r="F78" i="2"/>
  <c r="G78" i="2"/>
  <c r="H78" i="2"/>
  <c r="I78" i="2"/>
  <c r="J78" i="2"/>
  <c r="K78" i="2"/>
  <c r="L78" i="2"/>
  <c r="M78" i="2"/>
  <c r="N78" i="2"/>
  <c r="O78" i="2"/>
  <c r="P78" i="2"/>
  <c r="Q78" i="2"/>
  <c r="R78" i="2"/>
  <c r="S78" i="2"/>
  <c r="T78" i="2"/>
  <c r="U78" i="2"/>
  <c r="V78" i="2"/>
  <c r="W78" i="2"/>
  <c r="X78" i="2"/>
  <c r="Y78" i="2"/>
  <c r="Z78" i="2"/>
  <c r="AA78" i="2"/>
  <c r="AB78" i="2"/>
  <c r="AC78" i="2"/>
  <c r="AD78" i="2"/>
  <c r="AE78" i="2"/>
  <c r="AF78" i="2"/>
  <c r="AG78" i="2"/>
  <c r="AH78" i="2"/>
  <c r="AI78" i="2"/>
  <c r="AJ78" i="2"/>
  <c r="AK78" i="2"/>
  <c r="AL78" i="2"/>
  <c r="AM78" i="2"/>
  <c r="AN78" i="2"/>
  <c r="AO78" i="2"/>
  <c r="AP78" i="2"/>
  <c r="AQ78" i="2"/>
  <c r="AR78" i="2"/>
  <c r="AS78" i="2"/>
  <c r="AT78" i="2"/>
  <c r="AU78" i="2"/>
  <c r="AV78" i="2"/>
  <c r="AW78" i="2"/>
  <c r="AX78" i="2"/>
  <c r="AY78" i="2"/>
  <c r="AZ78" i="2"/>
  <c r="BA78" i="2"/>
  <c r="BB78" i="2"/>
  <c r="BC78" i="2"/>
  <c r="BD78" i="2"/>
  <c r="BE78" i="2"/>
  <c r="BF78" i="2"/>
  <c r="BG78" i="2"/>
  <c r="BH78" i="2"/>
  <c r="BI78" i="2"/>
  <c r="BJ78" i="2"/>
  <c r="BK78" i="2"/>
  <c r="BL78" i="2"/>
  <c r="BM78" i="2"/>
  <c r="BN78" i="2"/>
  <c r="BO78" i="2"/>
  <c r="BP78" i="2"/>
  <c r="BQ78" i="2"/>
  <c r="BR78" i="2"/>
  <c r="BS78" i="2"/>
  <c r="BT78" i="2"/>
  <c r="BU78" i="2"/>
  <c r="BV78" i="2"/>
  <c r="BW78" i="2"/>
  <c r="BX78" i="2"/>
  <c r="BY78" i="2"/>
  <c r="BZ78" i="2"/>
  <c r="CA78" i="2"/>
  <c r="CB78" i="2"/>
  <c r="CC78" i="2"/>
  <c r="CD78" i="2"/>
  <c r="CE78" i="2"/>
  <c r="CF78" i="2"/>
  <c r="CG78" i="2"/>
  <c r="CH78" i="2"/>
  <c r="CI78" i="2"/>
  <c r="CJ78" i="2"/>
  <c r="CK78" i="2"/>
  <c r="CL78" i="2"/>
  <c r="CM78" i="2"/>
  <c r="CN78" i="2"/>
  <c r="CO78" i="2"/>
  <c r="CP78" i="2"/>
  <c r="CQ78" i="2"/>
  <c r="CR78" i="2"/>
  <c r="CS78" i="2"/>
  <c r="CT78" i="2"/>
  <c r="CU78" i="2"/>
  <c r="CV78" i="2"/>
  <c r="CW78" i="2"/>
  <c r="CX78" i="2"/>
  <c r="CY78" i="2"/>
  <c r="CZ78" i="2"/>
  <c r="DA78" i="2"/>
  <c r="F79" i="2"/>
  <c r="G79" i="2"/>
  <c r="H79" i="2"/>
  <c r="I79" i="2"/>
  <c r="J79" i="2"/>
  <c r="K79" i="2"/>
  <c r="L79" i="2"/>
  <c r="M79" i="2"/>
  <c r="N79" i="2"/>
  <c r="O79" i="2"/>
  <c r="P79" i="2"/>
  <c r="Q79" i="2"/>
  <c r="R79" i="2"/>
  <c r="S79" i="2"/>
  <c r="T79" i="2"/>
  <c r="U79" i="2"/>
  <c r="V79" i="2"/>
  <c r="W79" i="2"/>
  <c r="X79" i="2"/>
  <c r="Y79" i="2"/>
  <c r="Z79" i="2"/>
  <c r="AA79" i="2"/>
  <c r="AB79" i="2"/>
  <c r="AC79" i="2"/>
  <c r="AD79" i="2"/>
  <c r="AE79" i="2"/>
  <c r="AF79" i="2"/>
  <c r="AG79" i="2"/>
  <c r="AH79" i="2"/>
  <c r="AI79" i="2"/>
  <c r="AJ79" i="2"/>
  <c r="AK79" i="2"/>
  <c r="AL79" i="2"/>
  <c r="AM79" i="2"/>
  <c r="AN79" i="2"/>
  <c r="AO79" i="2"/>
  <c r="AP79" i="2"/>
  <c r="AQ79" i="2"/>
  <c r="AR79" i="2"/>
  <c r="AS79" i="2"/>
  <c r="AT79" i="2"/>
  <c r="AU79" i="2"/>
  <c r="AV79" i="2"/>
  <c r="AW79" i="2"/>
  <c r="AX79" i="2"/>
  <c r="AY79" i="2"/>
  <c r="AZ79" i="2"/>
  <c r="BA79" i="2"/>
  <c r="BB79" i="2"/>
  <c r="BC79" i="2"/>
  <c r="BD79" i="2"/>
  <c r="BE79" i="2"/>
  <c r="BF79" i="2"/>
  <c r="BG79" i="2"/>
  <c r="BH79" i="2"/>
  <c r="BI79" i="2"/>
  <c r="BJ79" i="2"/>
  <c r="BK79" i="2"/>
  <c r="BL79" i="2"/>
  <c r="BM79" i="2"/>
  <c r="BN79" i="2"/>
  <c r="BO79" i="2"/>
  <c r="BP79" i="2"/>
  <c r="BQ79" i="2"/>
  <c r="BR79" i="2"/>
  <c r="BS79" i="2"/>
  <c r="BT79" i="2"/>
  <c r="BU79" i="2"/>
  <c r="BV79" i="2"/>
  <c r="BW79" i="2"/>
  <c r="BX79" i="2"/>
  <c r="BY79" i="2"/>
  <c r="BZ79" i="2"/>
  <c r="CA79" i="2"/>
  <c r="CB79" i="2"/>
  <c r="CC79" i="2"/>
  <c r="CD79" i="2"/>
  <c r="CE79" i="2"/>
  <c r="CF79" i="2"/>
  <c r="CG79" i="2"/>
  <c r="CH79" i="2"/>
  <c r="CI79" i="2"/>
  <c r="CJ79" i="2"/>
  <c r="CK79" i="2"/>
  <c r="CL79" i="2"/>
  <c r="CM79" i="2"/>
  <c r="CN79" i="2"/>
  <c r="CO79" i="2"/>
  <c r="CP79" i="2"/>
  <c r="CQ79" i="2"/>
  <c r="CR79" i="2"/>
  <c r="CS79" i="2"/>
  <c r="CT79" i="2"/>
  <c r="CU79" i="2"/>
  <c r="CV79" i="2"/>
  <c r="CW79" i="2"/>
  <c r="CX79" i="2"/>
  <c r="CY79" i="2"/>
  <c r="CZ79" i="2"/>
  <c r="DA79" i="2"/>
  <c r="F80" i="2"/>
  <c r="G80" i="2"/>
  <c r="H80" i="2"/>
  <c r="I80" i="2"/>
  <c r="J80" i="2"/>
  <c r="K80" i="2"/>
  <c r="L80" i="2"/>
  <c r="M80" i="2"/>
  <c r="N80" i="2"/>
  <c r="O80" i="2"/>
  <c r="P80" i="2"/>
  <c r="Q80" i="2"/>
  <c r="R80" i="2"/>
  <c r="S80" i="2"/>
  <c r="T80" i="2"/>
  <c r="U80" i="2"/>
  <c r="V80" i="2"/>
  <c r="W80" i="2"/>
  <c r="X80" i="2"/>
  <c r="Y80" i="2"/>
  <c r="Z80" i="2"/>
  <c r="AA80" i="2"/>
  <c r="AB80" i="2"/>
  <c r="AC80" i="2"/>
  <c r="AD80" i="2"/>
  <c r="AE80" i="2"/>
  <c r="AF80" i="2"/>
  <c r="AG80" i="2"/>
  <c r="AH80" i="2"/>
  <c r="AI80" i="2"/>
  <c r="AJ80" i="2"/>
  <c r="AK80" i="2"/>
  <c r="AL80" i="2"/>
  <c r="AM80" i="2"/>
  <c r="AN80" i="2"/>
  <c r="AO80" i="2"/>
  <c r="AP80" i="2"/>
  <c r="AQ80" i="2"/>
  <c r="AR80" i="2"/>
  <c r="AS80" i="2"/>
  <c r="AT80" i="2"/>
  <c r="AU80" i="2"/>
  <c r="AV80" i="2"/>
  <c r="AW80" i="2"/>
  <c r="AX80" i="2"/>
  <c r="AY80" i="2"/>
  <c r="AZ80" i="2"/>
  <c r="BA80" i="2"/>
  <c r="BB80" i="2"/>
  <c r="BC80" i="2"/>
  <c r="BD80" i="2"/>
  <c r="BE80" i="2"/>
  <c r="BF80" i="2"/>
  <c r="BG80" i="2"/>
  <c r="BH80" i="2"/>
  <c r="BI80" i="2"/>
  <c r="BJ80" i="2"/>
  <c r="BK80" i="2"/>
  <c r="BL80" i="2"/>
  <c r="BM80" i="2"/>
  <c r="BN80" i="2"/>
  <c r="BO80" i="2"/>
  <c r="BP80" i="2"/>
  <c r="BQ80" i="2"/>
  <c r="BR80" i="2"/>
  <c r="BS80" i="2"/>
  <c r="BT80" i="2"/>
  <c r="BU80" i="2"/>
  <c r="BV80" i="2"/>
  <c r="BW80" i="2"/>
  <c r="BX80" i="2"/>
  <c r="BY80" i="2"/>
  <c r="BZ80" i="2"/>
  <c r="CA80" i="2"/>
  <c r="CB80" i="2"/>
  <c r="CC80" i="2"/>
  <c r="CD80" i="2"/>
  <c r="CE80" i="2"/>
  <c r="CF80" i="2"/>
  <c r="CG80" i="2"/>
  <c r="CH80" i="2"/>
  <c r="CI80" i="2"/>
  <c r="CJ80" i="2"/>
  <c r="CK80" i="2"/>
  <c r="CL80" i="2"/>
  <c r="CM80" i="2"/>
  <c r="CN80" i="2"/>
  <c r="CO80" i="2"/>
  <c r="CP80" i="2"/>
  <c r="CQ80" i="2"/>
  <c r="CR80" i="2"/>
  <c r="CS80" i="2"/>
  <c r="CT80" i="2"/>
  <c r="CU80" i="2"/>
  <c r="CV80" i="2"/>
  <c r="CW80" i="2"/>
  <c r="CX80" i="2"/>
  <c r="CY80" i="2"/>
  <c r="CZ80" i="2"/>
  <c r="DA80" i="2"/>
  <c r="F81" i="2"/>
  <c r="G81" i="2"/>
  <c r="H81" i="2"/>
  <c r="I81" i="2"/>
  <c r="J81" i="2"/>
  <c r="K81" i="2"/>
  <c r="L81" i="2"/>
  <c r="M81" i="2"/>
  <c r="N81" i="2"/>
  <c r="O81" i="2"/>
  <c r="P81" i="2"/>
  <c r="Q81" i="2"/>
  <c r="R81" i="2"/>
  <c r="S81" i="2"/>
  <c r="T81" i="2"/>
  <c r="U81" i="2"/>
  <c r="V81" i="2"/>
  <c r="W81" i="2"/>
  <c r="X81" i="2"/>
  <c r="Y81" i="2"/>
  <c r="Z81" i="2"/>
  <c r="AA81" i="2"/>
  <c r="AB81" i="2"/>
  <c r="AC81" i="2"/>
  <c r="AD81" i="2"/>
  <c r="AE81" i="2"/>
  <c r="AF81" i="2"/>
  <c r="AG81" i="2"/>
  <c r="AH81" i="2"/>
  <c r="AI81" i="2"/>
  <c r="AJ81" i="2"/>
  <c r="AK81" i="2"/>
  <c r="AL81" i="2"/>
  <c r="AM81" i="2"/>
  <c r="AN81" i="2"/>
  <c r="AO81" i="2"/>
  <c r="AP81" i="2"/>
  <c r="AQ81" i="2"/>
  <c r="AR81" i="2"/>
  <c r="AS81" i="2"/>
  <c r="AT81" i="2"/>
  <c r="AU81" i="2"/>
  <c r="AV81" i="2"/>
  <c r="AW81" i="2"/>
  <c r="AX81" i="2"/>
  <c r="AY81" i="2"/>
  <c r="AZ81" i="2"/>
  <c r="BA81" i="2"/>
  <c r="BB81" i="2"/>
  <c r="BC81" i="2"/>
  <c r="BD81" i="2"/>
  <c r="BE81" i="2"/>
  <c r="BF81" i="2"/>
  <c r="BG81" i="2"/>
  <c r="BH81" i="2"/>
  <c r="BI81" i="2"/>
  <c r="BJ81" i="2"/>
  <c r="BK81" i="2"/>
  <c r="BL81" i="2"/>
  <c r="BM81" i="2"/>
  <c r="BN81" i="2"/>
  <c r="BO81" i="2"/>
  <c r="BP81" i="2"/>
  <c r="BQ81" i="2"/>
  <c r="BR81" i="2"/>
  <c r="BS81" i="2"/>
  <c r="BT81" i="2"/>
  <c r="BU81" i="2"/>
  <c r="BV81" i="2"/>
  <c r="BW81" i="2"/>
  <c r="BX81" i="2"/>
  <c r="BY81" i="2"/>
  <c r="BZ81" i="2"/>
  <c r="CA81" i="2"/>
  <c r="CB81" i="2"/>
  <c r="CC81" i="2"/>
  <c r="CD81" i="2"/>
  <c r="CE81" i="2"/>
  <c r="CF81" i="2"/>
  <c r="CG81" i="2"/>
  <c r="CH81" i="2"/>
  <c r="CI81" i="2"/>
  <c r="CJ81" i="2"/>
  <c r="CK81" i="2"/>
  <c r="CL81" i="2"/>
  <c r="CM81" i="2"/>
  <c r="CN81" i="2"/>
  <c r="CO81" i="2"/>
  <c r="CP81" i="2"/>
  <c r="CQ81" i="2"/>
  <c r="CR81" i="2"/>
  <c r="CS81" i="2"/>
  <c r="CT81" i="2"/>
  <c r="CU81" i="2"/>
  <c r="CV81" i="2"/>
  <c r="CW81" i="2"/>
  <c r="CX81" i="2"/>
  <c r="CY81" i="2"/>
  <c r="CZ81" i="2"/>
  <c r="DA81" i="2"/>
  <c r="F82" i="2"/>
  <c r="G82" i="2"/>
  <c r="H82" i="2"/>
  <c r="I82" i="2"/>
  <c r="J82" i="2"/>
  <c r="K82" i="2"/>
  <c r="L82" i="2"/>
  <c r="M82" i="2"/>
  <c r="N82" i="2"/>
  <c r="O82" i="2"/>
  <c r="P82" i="2"/>
  <c r="Q82" i="2"/>
  <c r="R82" i="2"/>
  <c r="S82" i="2"/>
  <c r="T82" i="2"/>
  <c r="U82" i="2"/>
  <c r="V82" i="2"/>
  <c r="W82" i="2"/>
  <c r="X82" i="2"/>
  <c r="Y82" i="2"/>
  <c r="Z82" i="2"/>
  <c r="AA82" i="2"/>
  <c r="AB82" i="2"/>
  <c r="AC82" i="2"/>
  <c r="AD82" i="2"/>
  <c r="AE82" i="2"/>
  <c r="AF82" i="2"/>
  <c r="AG82" i="2"/>
  <c r="AH82" i="2"/>
  <c r="AI82" i="2"/>
  <c r="AJ82" i="2"/>
  <c r="AK82" i="2"/>
  <c r="AL82" i="2"/>
  <c r="AM82" i="2"/>
  <c r="AN82" i="2"/>
  <c r="AO82" i="2"/>
  <c r="AP82" i="2"/>
  <c r="AQ82" i="2"/>
  <c r="AR82" i="2"/>
  <c r="AS82" i="2"/>
  <c r="AT82" i="2"/>
  <c r="AU82" i="2"/>
  <c r="AV82" i="2"/>
  <c r="AW82" i="2"/>
  <c r="AX82" i="2"/>
  <c r="AY82" i="2"/>
  <c r="AZ82" i="2"/>
  <c r="BA82" i="2"/>
  <c r="BB82" i="2"/>
  <c r="BC82" i="2"/>
  <c r="BD82" i="2"/>
  <c r="BE82" i="2"/>
  <c r="BF82" i="2"/>
  <c r="BG82" i="2"/>
  <c r="BH82" i="2"/>
  <c r="BI82" i="2"/>
  <c r="BJ82" i="2"/>
  <c r="BK82" i="2"/>
  <c r="BL82" i="2"/>
  <c r="BM82" i="2"/>
  <c r="BN82" i="2"/>
  <c r="BO82" i="2"/>
  <c r="BP82" i="2"/>
  <c r="BQ82" i="2"/>
  <c r="BR82" i="2"/>
  <c r="BS82" i="2"/>
  <c r="BT82" i="2"/>
  <c r="BU82" i="2"/>
  <c r="BV82" i="2"/>
  <c r="BW82" i="2"/>
  <c r="BX82" i="2"/>
  <c r="BY82" i="2"/>
  <c r="BZ82" i="2"/>
  <c r="CA82" i="2"/>
  <c r="CB82" i="2"/>
  <c r="CC82" i="2"/>
  <c r="CD82" i="2"/>
  <c r="CE82" i="2"/>
  <c r="CF82" i="2"/>
  <c r="CG82" i="2"/>
  <c r="CH82" i="2"/>
  <c r="CI82" i="2"/>
  <c r="CJ82" i="2"/>
  <c r="CK82" i="2"/>
  <c r="CL82" i="2"/>
  <c r="CM82" i="2"/>
  <c r="CN82" i="2"/>
  <c r="CO82" i="2"/>
  <c r="CP82" i="2"/>
  <c r="CQ82" i="2"/>
  <c r="CR82" i="2"/>
  <c r="CS82" i="2"/>
  <c r="CT82" i="2"/>
  <c r="CU82" i="2"/>
  <c r="CV82" i="2"/>
  <c r="CW82" i="2"/>
  <c r="CX82" i="2"/>
  <c r="CY82" i="2"/>
  <c r="CZ82" i="2"/>
  <c r="DA82" i="2"/>
  <c r="F83" i="2"/>
  <c r="G83" i="2"/>
  <c r="H83" i="2"/>
  <c r="I83" i="2"/>
  <c r="J83" i="2"/>
  <c r="K83" i="2"/>
  <c r="L83" i="2"/>
  <c r="M83" i="2"/>
  <c r="N83" i="2"/>
  <c r="O83" i="2"/>
  <c r="P83" i="2"/>
  <c r="Q83" i="2"/>
  <c r="R83" i="2"/>
  <c r="S83" i="2"/>
  <c r="T83" i="2"/>
  <c r="U83" i="2"/>
  <c r="V83" i="2"/>
  <c r="W83" i="2"/>
  <c r="X83" i="2"/>
  <c r="Y83" i="2"/>
  <c r="Z83" i="2"/>
  <c r="AA83" i="2"/>
  <c r="AB83" i="2"/>
  <c r="AC83" i="2"/>
  <c r="AD83" i="2"/>
  <c r="AE83" i="2"/>
  <c r="AF83" i="2"/>
  <c r="AG83" i="2"/>
  <c r="AH83" i="2"/>
  <c r="AI83" i="2"/>
  <c r="AJ83" i="2"/>
  <c r="AK83" i="2"/>
  <c r="AL83" i="2"/>
  <c r="AM83" i="2"/>
  <c r="AN83" i="2"/>
  <c r="AO83" i="2"/>
  <c r="AP83" i="2"/>
  <c r="AQ83" i="2"/>
  <c r="AR83" i="2"/>
  <c r="AS83" i="2"/>
  <c r="AT83" i="2"/>
  <c r="AU83" i="2"/>
  <c r="AV83" i="2"/>
  <c r="AW83" i="2"/>
  <c r="AX83" i="2"/>
  <c r="AY83" i="2"/>
  <c r="AZ83" i="2"/>
  <c r="BA83" i="2"/>
  <c r="BB83" i="2"/>
  <c r="BC83" i="2"/>
  <c r="BD83" i="2"/>
  <c r="BE83" i="2"/>
  <c r="BF83" i="2"/>
  <c r="BG83" i="2"/>
  <c r="BH83" i="2"/>
  <c r="BI83" i="2"/>
  <c r="BJ83" i="2"/>
  <c r="BK83" i="2"/>
  <c r="BL83" i="2"/>
  <c r="BM83" i="2"/>
  <c r="BN83" i="2"/>
  <c r="BO83" i="2"/>
  <c r="BP83" i="2"/>
  <c r="BQ83" i="2"/>
  <c r="BR83" i="2"/>
  <c r="BS83" i="2"/>
  <c r="BT83" i="2"/>
  <c r="BU83" i="2"/>
  <c r="BV83" i="2"/>
  <c r="BW83" i="2"/>
  <c r="BX83" i="2"/>
  <c r="BY83" i="2"/>
  <c r="BZ83" i="2"/>
  <c r="CA83" i="2"/>
  <c r="CB83" i="2"/>
  <c r="CC83" i="2"/>
  <c r="CD83" i="2"/>
  <c r="CE83" i="2"/>
  <c r="CF83" i="2"/>
  <c r="CG83" i="2"/>
  <c r="CH83" i="2"/>
  <c r="CI83" i="2"/>
  <c r="CJ83" i="2"/>
  <c r="CK83" i="2"/>
  <c r="CL83" i="2"/>
  <c r="CM83" i="2"/>
  <c r="CN83" i="2"/>
  <c r="CO83" i="2"/>
  <c r="CP83" i="2"/>
  <c r="CQ83" i="2"/>
  <c r="CR83" i="2"/>
  <c r="CS83" i="2"/>
  <c r="CT83" i="2"/>
  <c r="CU83" i="2"/>
  <c r="CV83" i="2"/>
  <c r="CW83" i="2"/>
  <c r="CX83" i="2"/>
  <c r="CY83" i="2"/>
  <c r="CZ83" i="2"/>
  <c r="DA83" i="2"/>
  <c r="F84" i="2"/>
  <c r="G84" i="2"/>
  <c r="H84" i="2"/>
  <c r="I84" i="2"/>
  <c r="J84" i="2"/>
  <c r="K84" i="2"/>
  <c r="L84" i="2"/>
  <c r="M84" i="2"/>
  <c r="N84" i="2"/>
  <c r="O84" i="2"/>
  <c r="P84" i="2"/>
  <c r="Q84" i="2"/>
  <c r="R84" i="2"/>
  <c r="S84" i="2"/>
  <c r="T84" i="2"/>
  <c r="U84" i="2"/>
  <c r="V84" i="2"/>
  <c r="W84" i="2"/>
  <c r="X84" i="2"/>
  <c r="Y84" i="2"/>
  <c r="Z84" i="2"/>
  <c r="AA84" i="2"/>
  <c r="AB84" i="2"/>
  <c r="AC84" i="2"/>
  <c r="AD84" i="2"/>
  <c r="AE84" i="2"/>
  <c r="AF84" i="2"/>
  <c r="AG84" i="2"/>
  <c r="AH84" i="2"/>
  <c r="AI84" i="2"/>
  <c r="AJ84" i="2"/>
  <c r="AK84" i="2"/>
  <c r="AL84" i="2"/>
  <c r="AM84" i="2"/>
  <c r="AN84" i="2"/>
  <c r="AO84" i="2"/>
  <c r="AP84" i="2"/>
  <c r="AQ84" i="2"/>
  <c r="AR84" i="2"/>
  <c r="AS84" i="2"/>
  <c r="AT84" i="2"/>
  <c r="AU84" i="2"/>
  <c r="AV84" i="2"/>
  <c r="AW84" i="2"/>
  <c r="AX84" i="2"/>
  <c r="AY84" i="2"/>
  <c r="AZ84" i="2"/>
  <c r="BA84" i="2"/>
  <c r="BB84" i="2"/>
  <c r="BC84" i="2"/>
  <c r="BD84" i="2"/>
  <c r="BE84" i="2"/>
  <c r="BF84" i="2"/>
  <c r="BG84" i="2"/>
  <c r="BH84" i="2"/>
  <c r="BI84" i="2"/>
  <c r="BJ84" i="2"/>
  <c r="BK84" i="2"/>
  <c r="BL84" i="2"/>
  <c r="BM84" i="2"/>
  <c r="BN84" i="2"/>
  <c r="BO84" i="2"/>
  <c r="BP84" i="2"/>
  <c r="BQ84" i="2"/>
  <c r="BR84" i="2"/>
  <c r="BS84" i="2"/>
  <c r="BT84" i="2"/>
  <c r="BU84" i="2"/>
  <c r="BV84" i="2"/>
  <c r="BW84" i="2"/>
  <c r="BX84" i="2"/>
  <c r="BY84" i="2"/>
  <c r="BZ84" i="2"/>
  <c r="CA84" i="2"/>
  <c r="CB84" i="2"/>
  <c r="CC84" i="2"/>
  <c r="CD84" i="2"/>
  <c r="CE84" i="2"/>
  <c r="CF84" i="2"/>
  <c r="CG84" i="2"/>
  <c r="CH84" i="2"/>
  <c r="CI84" i="2"/>
  <c r="CJ84" i="2"/>
  <c r="CK84" i="2"/>
  <c r="CL84" i="2"/>
  <c r="CM84" i="2"/>
  <c r="CN84" i="2"/>
  <c r="CO84" i="2"/>
  <c r="CP84" i="2"/>
  <c r="CQ84" i="2"/>
  <c r="CR84" i="2"/>
  <c r="CS84" i="2"/>
  <c r="CT84" i="2"/>
  <c r="CU84" i="2"/>
  <c r="CV84" i="2"/>
  <c r="CW84" i="2"/>
  <c r="CX84" i="2"/>
  <c r="CY84" i="2"/>
  <c r="CZ84" i="2"/>
  <c r="DA84" i="2"/>
  <c r="F85" i="2"/>
  <c r="G85" i="2"/>
  <c r="H85" i="2"/>
  <c r="I85" i="2"/>
  <c r="J85" i="2"/>
  <c r="K85" i="2"/>
  <c r="L85" i="2"/>
  <c r="M85" i="2"/>
  <c r="N85" i="2"/>
  <c r="O85" i="2"/>
  <c r="P85" i="2"/>
  <c r="Q85" i="2"/>
  <c r="R85" i="2"/>
  <c r="S85" i="2"/>
  <c r="T85" i="2"/>
  <c r="U85" i="2"/>
  <c r="V85" i="2"/>
  <c r="W85" i="2"/>
  <c r="X85" i="2"/>
  <c r="Y85" i="2"/>
  <c r="Z85" i="2"/>
  <c r="AA85" i="2"/>
  <c r="AB85" i="2"/>
  <c r="AC85" i="2"/>
  <c r="AD85" i="2"/>
  <c r="AE85" i="2"/>
  <c r="AF85" i="2"/>
  <c r="AG85" i="2"/>
  <c r="AH85" i="2"/>
  <c r="AI85" i="2"/>
  <c r="AJ85" i="2"/>
  <c r="AK85" i="2"/>
  <c r="AL85" i="2"/>
  <c r="AM85" i="2"/>
  <c r="AN85" i="2"/>
  <c r="AO85" i="2"/>
  <c r="AP85" i="2"/>
  <c r="AQ85" i="2"/>
  <c r="AR85" i="2"/>
  <c r="AS85" i="2"/>
  <c r="AT85" i="2"/>
  <c r="AU85" i="2"/>
  <c r="AV85" i="2"/>
  <c r="AW85" i="2"/>
  <c r="AX85" i="2"/>
  <c r="AY85" i="2"/>
  <c r="AZ85" i="2"/>
  <c r="BA85" i="2"/>
  <c r="BB85" i="2"/>
  <c r="BC85" i="2"/>
  <c r="BD85" i="2"/>
  <c r="BE85" i="2"/>
  <c r="BF85" i="2"/>
  <c r="BG85" i="2"/>
  <c r="BH85" i="2"/>
  <c r="BI85" i="2"/>
  <c r="BJ85" i="2"/>
  <c r="BK85" i="2"/>
  <c r="BL85" i="2"/>
  <c r="BM85" i="2"/>
  <c r="BN85" i="2"/>
  <c r="BO85" i="2"/>
  <c r="BP85" i="2"/>
  <c r="BQ85" i="2"/>
  <c r="BR85" i="2"/>
  <c r="BS85" i="2"/>
  <c r="BT85" i="2"/>
  <c r="BU85" i="2"/>
  <c r="BV85" i="2"/>
  <c r="BW85" i="2"/>
  <c r="BX85" i="2"/>
  <c r="BY85" i="2"/>
  <c r="BZ85" i="2"/>
  <c r="CA85" i="2"/>
  <c r="CB85" i="2"/>
  <c r="CC85" i="2"/>
  <c r="CD85" i="2"/>
  <c r="CE85" i="2"/>
  <c r="CF85" i="2"/>
  <c r="CG85" i="2"/>
  <c r="CH85" i="2"/>
  <c r="CI85" i="2"/>
  <c r="CJ85" i="2"/>
  <c r="CK85" i="2"/>
  <c r="CL85" i="2"/>
  <c r="CM85" i="2"/>
  <c r="CN85" i="2"/>
  <c r="CO85" i="2"/>
  <c r="CP85" i="2"/>
  <c r="CQ85" i="2"/>
  <c r="CR85" i="2"/>
  <c r="CS85" i="2"/>
  <c r="CT85" i="2"/>
  <c r="CU85" i="2"/>
  <c r="CV85" i="2"/>
  <c r="CW85" i="2"/>
  <c r="CX85" i="2"/>
  <c r="CY85" i="2"/>
  <c r="CZ85" i="2"/>
  <c r="DA85" i="2"/>
  <c r="F86" i="2"/>
  <c r="G86" i="2"/>
  <c r="H86" i="2"/>
  <c r="I86" i="2"/>
  <c r="J86" i="2"/>
  <c r="K86" i="2"/>
  <c r="L86" i="2"/>
  <c r="M86" i="2"/>
  <c r="N86" i="2"/>
  <c r="O86" i="2"/>
  <c r="P86" i="2"/>
  <c r="Q86" i="2"/>
  <c r="R86" i="2"/>
  <c r="S86" i="2"/>
  <c r="T86" i="2"/>
  <c r="U86" i="2"/>
  <c r="V86" i="2"/>
  <c r="W86" i="2"/>
  <c r="X86" i="2"/>
  <c r="Y86" i="2"/>
  <c r="Z86" i="2"/>
  <c r="AA86" i="2"/>
  <c r="AB86" i="2"/>
  <c r="AC86" i="2"/>
  <c r="AD86" i="2"/>
  <c r="AE86" i="2"/>
  <c r="AF86" i="2"/>
  <c r="AG86" i="2"/>
  <c r="AH86" i="2"/>
  <c r="AI86" i="2"/>
  <c r="AJ86" i="2"/>
  <c r="AK86" i="2"/>
  <c r="AL86" i="2"/>
  <c r="AM86" i="2"/>
  <c r="AN86" i="2"/>
  <c r="AO86" i="2"/>
  <c r="AP86" i="2"/>
  <c r="AQ86" i="2"/>
  <c r="AR86" i="2"/>
  <c r="AS86" i="2"/>
  <c r="AT86" i="2"/>
  <c r="AU86" i="2"/>
  <c r="AV86" i="2"/>
  <c r="AW86" i="2"/>
  <c r="AX86" i="2"/>
  <c r="AY86" i="2"/>
  <c r="AZ86" i="2"/>
  <c r="BA86" i="2"/>
  <c r="BB86" i="2"/>
  <c r="BC86" i="2"/>
  <c r="BD86" i="2"/>
  <c r="BE86" i="2"/>
  <c r="BF86" i="2"/>
  <c r="BG86" i="2"/>
  <c r="BH86" i="2"/>
  <c r="BI86" i="2"/>
  <c r="BJ86" i="2"/>
  <c r="BK86" i="2"/>
  <c r="BL86" i="2"/>
  <c r="BM86" i="2"/>
  <c r="BN86" i="2"/>
  <c r="BO86" i="2"/>
  <c r="BP86" i="2"/>
  <c r="BQ86" i="2"/>
  <c r="BR86" i="2"/>
  <c r="BS86" i="2"/>
  <c r="BT86" i="2"/>
  <c r="BU86" i="2"/>
  <c r="BV86" i="2"/>
  <c r="BW86" i="2"/>
  <c r="BX86" i="2"/>
  <c r="BY86" i="2"/>
  <c r="BZ86" i="2"/>
  <c r="CA86" i="2"/>
  <c r="CB86" i="2"/>
  <c r="CC86" i="2"/>
  <c r="CD86" i="2"/>
  <c r="CE86" i="2"/>
  <c r="CF86" i="2"/>
  <c r="CG86" i="2"/>
  <c r="CH86" i="2"/>
  <c r="CI86" i="2"/>
  <c r="CJ86" i="2"/>
  <c r="CK86" i="2"/>
  <c r="CL86" i="2"/>
  <c r="CM86" i="2"/>
  <c r="CN86" i="2"/>
  <c r="CO86" i="2"/>
  <c r="CP86" i="2"/>
  <c r="CQ86" i="2"/>
  <c r="CR86" i="2"/>
  <c r="CS86" i="2"/>
  <c r="CT86" i="2"/>
  <c r="CU86" i="2"/>
  <c r="CV86" i="2"/>
  <c r="CW86" i="2"/>
  <c r="CX86" i="2"/>
  <c r="CY86" i="2"/>
  <c r="CZ86" i="2"/>
  <c r="DA86" i="2"/>
  <c r="F87" i="2"/>
  <c r="G87" i="2"/>
  <c r="H87" i="2"/>
  <c r="I87" i="2"/>
  <c r="J87" i="2"/>
  <c r="K87" i="2"/>
  <c r="L87" i="2"/>
  <c r="M87" i="2"/>
  <c r="N87" i="2"/>
  <c r="O87" i="2"/>
  <c r="P87" i="2"/>
  <c r="Q87" i="2"/>
  <c r="R87" i="2"/>
  <c r="S87" i="2"/>
  <c r="T87" i="2"/>
  <c r="U87" i="2"/>
  <c r="V87" i="2"/>
  <c r="W87" i="2"/>
  <c r="X87" i="2"/>
  <c r="Y87" i="2"/>
  <c r="Z87" i="2"/>
  <c r="AA87" i="2"/>
  <c r="AB87" i="2"/>
  <c r="AC87" i="2"/>
  <c r="AD87" i="2"/>
  <c r="AE87" i="2"/>
  <c r="AF87" i="2"/>
  <c r="AG87" i="2"/>
  <c r="AH87" i="2"/>
  <c r="AI87" i="2"/>
  <c r="AJ87" i="2"/>
  <c r="AK87" i="2"/>
  <c r="AL87" i="2"/>
  <c r="AM87" i="2"/>
  <c r="AN87" i="2"/>
  <c r="AO87" i="2"/>
  <c r="AP87" i="2"/>
  <c r="AQ87" i="2"/>
  <c r="AR87" i="2"/>
  <c r="AS87" i="2"/>
  <c r="AT87" i="2"/>
  <c r="AU87" i="2"/>
  <c r="AV87" i="2"/>
  <c r="AW87" i="2"/>
  <c r="AX87" i="2"/>
  <c r="AY87" i="2"/>
  <c r="AZ87" i="2"/>
  <c r="BA87" i="2"/>
  <c r="BB87" i="2"/>
  <c r="BC87" i="2"/>
  <c r="BD87" i="2"/>
  <c r="BE87" i="2"/>
  <c r="BF87" i="2"/>
  <c r="BG87" i="2"/>
  <c r="BH87" i="2"/>
  <c r="BI87" i="2"/>
  <c r="BJ87" i="2"/>
  <c r="BK87" i="2"/>
  <c r="BL87" i="2"/>
  <c r="BM87" i="2"/>
  <c r="BN87" i="2"/>
  <c r="BO87" i="2"/>
  <c r="BP87" i="2"/>
  <c r="BQ87" i="2"/>
  <c r="BR87" i="2"/>
  <c r="BS87" i="2"/>
  <c r="BT87" i="2"/>
  <c r="BU87" i="2"/>
  <c r="BV87" i="2"/>
  <c r="BW87" i="2"/>
  <c r="BX87" i="2"/>
  <c r="BY87" i="2"/>
  <c r="BZ87" i="2"/>
  <c r="CA87" i="2"/>
  <c r="CB87" i="2"/>
  <c r="CC87" i="2"/>
  <c r="CD87" i="2"/>
  <c r="CE87" i="2"/>
  <c r="CF87" i="2"/>
  <c r="CG87" i="2"/>
  <c r="CH87" i="2"/>
  <c r="CI87" i="2"/>
  <c r="CJ87" i="2"/>
  <c r="CK87" i="2"/>
  <c r="CL87" i="2"/>
  <c r="CM87" i="2"/>
  <c r="CN87" i="2"/>
  <c r="CO87" i="2"/>
  <c r="CP87" i="2"/>
  <c r="CQ87" i="2"/>
  <c r="CR87" i="2"/>
  <c r="CS87" i="2"/>
  <c r="CT87" i="2"/>
  <c r="CU87" i="2"/>
  <c r="CV87" i="2"/>
  <c r="CW87" i="2"/>
  <c r="CX87" i="2"/>
  <c r="CY87" i="2"/>
  <c r="CZ87" i="2"/>
  <c r="DA87" i="2"/>
  <c r="F88" i="2"/>
  <c r="G88" i="2"/>
  <c r="H88" i="2"/>
  <c r="I88" i="2"/>
  <c r="J88" i="2"/>
  <c r="K88" i="2"/>
  <c r="L88" i="2"/>
  <c r="M88" i="2"/>
  <c r="N88" i="2"/>
  <c r="O88" i="2"/>
  <c r="P88" i="2"/>
  <c r="Q88" i="2"/>
  <c r="R88" i="2"/>
  <c r="S88" i="2"/>
  <c r="T88" i="2"/>
  <c r="U88" i="2"/>
  <c r="V88" i="2"/>
  <c r="W88" i="2"/>
  <c r="X88" i="2"/>
  <c r="Y88" i="2"/>
  <c r="Z88" i="2"/>
  <c r="AA88" i="2"/>
  <c r="AB88" i="2"/>
  <c r="AC88" i="2"/>
  <c r="AD88" i="2"/>
  <c r="AE88" i="2"/>
  <c r="AF88" i="2"/>
  <c r="AG88" i="2"/>
  <c r="AH88" i="2"/>
  <c r="AI88" i="2"/>
  <c r="AJ88" i="2"/>
  <c r="AK88" i="2"/>
  <c r="AL88" i="2"/>
  <c r="AM88" i="2"/>
  <c r="AN88" i="2"/>
  <c r="AO88" i="2"/>
  <c r="AP88" i="2"/>
  <c r="AQ88" i="2"/>
  <c r="AR88" i="2"/>
  <c r="AS88" i="2"/>
  <c r="AT88" i="2"/>
  <c r="AU88" i="2"/>
  <c r="AV88" i="2"/>
  <c r="AW88" i="2"/>
  <c r="AX88" i="2"/>
  <c r="AY88" i="2"/>
  <c r="AZ88" i="2"/>
  <c r="BA88" i="2"/>
  <c r="BB88" i="2"/>
  <c r="BC88" i="2"/>
  <c r="BD88" i="2"/>
  <c r="BE88" i="2"/>
  <c r="BF88" i="2"/>
  <c r="BG88" i="2"/>
  <c r="BH88" i="2"/>
  <c r="BI88" i="2"/>
  <c r="BJ88" i="2"/>
  <c r="BK88" i="2"/>
  <c r="BL88" i="2"/>
  <c r="BM88" i="2"/>
  <c r="BN88" i="2"/>
  <c r="BO88" i="2"/>
  <c r="BP88" i="2"/>
  <c r="BQ88" i="2"/>
  <c r="BR88" i="2"/>
  <c r="BS88" i="2"/>
  <c r="BT88" i="2"/>
  <c r="BU88" i="2"/>
  <c r="BV88" i="2"/>
  <c r="BW88" i="2"/>
  <c r="BX88" i="2"/>
  <c r="BY88" i="2"/>
  <c r="BZ88" i="2"/>
  <c r="CA88" i="2"/>
  <c r="CB88" i="2"/>
  <c r="CC88" i="2"/>
  <c r="CD88" i="2"/>
  <c r="CE88" i="2"/>
  <c r="CF88" i="2"/>
  <c r="CG88" i="2"/>
  <c r="CH88" i="2"/>
  <c r="CI88" i="2"/>
  <c r="CJ88" i="2"/>
  <c r="CK88" i="2"/>
  <c r="CL88" i="2"/>
  <c r="CM88" i="2"/>
  <c r="CN88" i="2"/>
  <c r="CO88" i="2"/>
  <c r="CP88" i="2"/>
  <c r="CQ88" i="2"/>
  <c r="CR88" i="2"/>
  <c r="CS88" i="2"/>
  <c r="CT88" i="2"/>
  <c r="CU88" i="2"/>
  <c r="CV88" i="2"/>
  <c r="CW88" i="2"/>
  <c r="CX88" i="2"/>
  <c r="CY88" i="2"/>
  <c r="CZ88" i="2"/>
  <c r="DA88" i="2"/>
  <c r="F89" i="2"/>
  <c r="G89" i="2"/>
  <c r="H89" i="2"/>
  <c r="I89" i="2"/>
  <c r="J89" i="2"/>
  <c r="K89" i="2"/>
  <c r="L89" i="2"/>
  <c r="M89" i="2"/>
  <c r="N89" i="2"/>
  <c r="O89" i="2"/>
  <c r="P89" i="2"/>
  <c r="Q89" i="2"/>
  <c r="R89" i="2"/>
  <c r="S89" i="2"/>
  <c r="T89" i="2"/>
  <c r="U89" i="2"/>
  <c r="V89" i="2"/>
  <c r="W89" i="2"/>
  <c r="X89" i="2"/>
  <c r="Y89" i="2"/>
  <c r="Z89" i="2"/>
  <c r="AA89" i="2"/>
  <c r="AB89" i="2"/>
  <c r="AC89" i="2"/>
  <c r="AD89" i="2"/>
  <c r="AE89" i="2"/>
  <c r="AF89" i="2"/>
  <c r="AG89" i="2"/>
  <c r="AH89" i="2"/>
  <c r="AI89" i="2"/>
  <c r="AJ89" i="2"/>
  <c r="AK89" i="2"/>
  <c r="AL89" i="2"/>
  <c r="AM89" i="2"/>
  <c r="AN89" i="2"/>
  <c r="AO89" i="2"/>
  <c r="AP89" i="2"/>
  <c r="AQ89" i="2"/>
  <c r="AR89" i="2"/>
  <c r="AS89" i="2"/>
  <c r="AT89" i="2"/>
  <c r="AU89" i="2"/>
  <c r="AV89" i="2"/>
  <c r="AW89" i="2"/>
  <c r="AX89" i="2"/>
  <c r="AY89" i="2"/>
  <c r="AZ89" i="2"/>
  <c r="BA89" i="2"/>
  <c r="BB89" i="2"/>
  <c r="BC89" i="2"/>
  <c r="BD89" i="2"/>
  <c r="BE89" i="2"/>
  <c r="BF89" i="2"/>
  <c r="BG89" i="2"/>
  <c r="BH89" i="2"/>
  <c r="BI89" i="2"/>
  <c r="BJ89" i="2"/>
  <c r="BK89" i="2"/>
  <c r="BL89" i="2"/>
  <c r="BM89" i="2"/>
  <c r="BN89" i="2"/>
  <c r="BO89" i="2"/>
  <c r="BP89" i="2"/>
  <c r="BQ89" i="2"/>
  <c r="BR89" i="2"/>
  <c r="BS89" i="2"/>
  <c r="BT89" i="2"/>
  <c r="BU89" i="2"/>
  <c r="BV89" i="2"/>
  <c r="BW89" i="2"/>
  <c r="BX89" i="2"/>
  <c r="BY89" i="2"/>
  <c r="BZ89" i="2"/>
  <c r="CA89" i="2"/>
  <c r="CB89" i="2"/>
  <c r="CC89" i="2"/>
  <c r="CD89" i="2"/>
  <c r="CE89" i="2"/>
  <c r="CF89" i="2"/>
  <c r="CG89" i="2"/>
  <c r="CH89" i="2"/>
  <c r="CI89" i="2"/>
  <c r="CJ89" i="2"/>
  <c r="CK89" i="2"/>
  <c r="CL89" i="2"/>
  <c r="CM89" i="2"/>
  <c r="CN89" i="2"/>
  <c r="CO89" i="2"/>
  <c r="CP89" i="2"/>
  <c r="CQ89" i="2"/>
  <c r="CR89" i="2"/>
  <c r="CS89" i="2"/>
  <c r="CT89" i="2"/>
  <c r="CU89" i="2"/>
  <c r="CV89" i="2"/>
  <c r="CW89" i="2"/>
  <c r="CX89" i="2"/>
  <c r="CY89" i="2"/>
  <c r="CZ89" i="2"/>
  <c r="DA89" i="2"/>
  <c r="F90" i="2"/>
  <c r="G90" i="2"/>
  <c r="H90" i="2"/>
  <c r="I90" i="2"/>
  <c r="J90" i="2"/>
  <c r="K90" i="2"/>
  <c r="L90" i="2"/>
  <c r="M90" i="2"/>
  <c r="N90" i="2"/>
  <c r="O90" i="2"/>
  <c r="P90" i="2"/>
  <c r="Q90" i="2"/>
  <c r="R90" i="2"/>
  <c r="S90" i="2"/>
  <c r="T90" i="2"/>
  <c r="U90" i="2"/>
  <c r="V90" i="2"/>
  <c r="W90" i="2"/>
  <c r="X90" i="2"/>
  <c r="Y90" i="2"/>
  <c r="Z90" i="2"/>
  <c r="AA90" i="2"/>
  <c r="AB90" i="2"/>
  <c r="AC90" i="2"/>
  <c r="AD90" i="2"/>
  <c r="AE90" i="2"/>
  <c r="AF90" i="2"/>
  <c r="AG90" i="2"/>
  <c r="AH90" i="2"/>
  <c r="AI90" i="2"/>
  <c r="AJ90" i="2"/>
  <c r="AK90" i="2"/>
  <c r="AL90" i="2"/>
  <c r="AM90" i="2"/>
  <c r="AN90" i="2"/>
  <c r="AO90" i="2"/>
  <c r="AP90" i="2"/>
  <c r="AQ90" i="2"/>
  <c r="AR90" i="2"/>
  <c r="AS90" i="2"/>
  <c r="AT90" i="2"/>
  <c r="AU90" i="2"/>
  <c r="AV90" i="2"/>
  <c r="AW90" i="2"/>
  <c r="AX90" i="2"/>
  <c r="AY90" i="2"/>
  <c r="AZ90" i="2"/>
  <c r="BA90" i="2"/>
  <c r="BB90" i="2"/>
  <c r="BC90" i="2"/>
  <c r="BD90" i="2"/>
  <c r="BE90" i="2"/>
  <c r="BF90" i="2"/>
  <c r="BG90" i="2"/>
  <c r="BH90" i="2"/>
  <c r="BI90" i="2"/>
  <c r="BJ90" i="2"/>
  <c r="BK90" i="2"/>
  <c r="BL90" i="2"/>
  <c r="BM90" i="2"/>
  <c r="BN90" i="2"/>
  <c r="BO90" i="2"/>
  <c r="BP90" i="2"/>
  <c r="BQ90" i="2"/>
  <c r="BR90" i="2"/>
  <c r="BS90" i="2"/>
  <c r="BT90" i="2"/>
  <c r="BU90" i="2"/>
  <c r="BV90" i="2"/>
  <c r="BW90" i="2"/>
  <c r="BX90" i="2"/>
  <c r="BY90" i="2"/>
  <c r="BZ90" i="2"/>
  <c r="CA90" i="2"/>
  <c r="CB90" i="2"/>
  <c r="CC90" i="2"/>
  <c r="CD90" i="2"/>
  <c r="CE90" i="2"/>
  <c r="CF90" i="2"/>
  <c r="CG90" i="2"/>
  <c r="CH90" i="2"/>
  <c r="CI90" i="2"/>
  <c r="CJ90" i="2"/>
  <c r="CK90" i="2"/>
  <c r="CL90" i="2"/>
  <c r="CM90" i="2"/>
  <c r="CN90" i="2"/>
  <c r="CO90" i="2"/>
  <c r="CP90" i="2"/>
  <c r="CQ90" i="2"/>
  <c r="CR90" i="2"/>
  <c r="CS90" i="2"/>
  <c r="CT90" i="2"/>
  <c r="CU90" i="2"/>
  <c r="CV90" i="2"/>
  <c r="CW90" i="2"/>
  <c r="CX90" i="2"/>
  <c r="CY90" i="2"/>
  <c r="CZ90" i="2"/>
  <c r="DA90" i="2"/>
  <c r="F91" i="2"/>
  <c r="G91" i="2"/>
  <c r="H91" i="2"/>
  <c r="I91" i="2"/>
  <c r="J91" i="2"/>
  <c r="K91" i="2"/>
  <c r="L91" i="2"/>
  <c r="M91" i="2"/>
  <c r="N91" i="2"/>
  <c r="O91" i="2"/>
  <c r="P91" i="2"/>
  <c r="Q91" i="2"/>
  <c r="R91" i="2"/>
  <c r="S91" i="2"/>
  <c r="T91" i="2"/>
  <c r="U91" i="2"/>
  <c r="V91" i="2"/>
  <c r="W91" i="2"/>
  <c r="X91" i="2"/>
  <c r="Y91" i="2"/>
  <c r="Z91" i="2"/>
  <c r="AA91" i="2"/>
  <c r="AB91" i="2"/>
  <c r="AC91" i="2"/>
  <c r="AD91" i="2"/>
  <c r="AE91" i="2"/>
  <c r="AF91" i="2"/>
  <c r="AG91" i="2"/>
  <c r="AH91" i="2"/>
  <c r="AI91" i="2"/>
  <c r="AJ91" i="2"/>
  <c r="AK91" i="2"/>
  <c r="AL91" i="2"/>
  <c r="AM91" i="2"/>
  <c r="AN91" i="2"/>
  <c r="AO91" i="2"/>
  <c r="AP91" i="2"/>
  <c r="AQ91" i="2"/>
  <c r="AR91" i="2"/>
  <c r="AS91" i="2"/>
  <c r="AT91" i="2"/>
  <c r="AU91" i="2"/>
  <c r="AV91" i="2"/>
  <c r="AW91" i="2"/>
  <c r="AX91" i="2"/>
  <c r="AY91" i="2"/>
  <c r="AZ91" i="2"/>
  <c r="BA91" i="2"/>
  <c r="BB91" i="2"/>
  <c r="BC91" i="2"/>
  <c r="BD91" i="2"/>
  <c r="BE91" i="2"/>
  <c r="BF91" i="2"/>
  <c r="BG91" i="2"/>
  <c r="BH91" i="2"/>
  <c r="BI91" i="2"/>
  <c r="BJ91" i="2"/>
  <c r="BK91" i="2"/>
  <c r="BL91" i="2"/>
  <c r="BM91" i="2"/>
  <c r="BN91" i="2"/>
  <c r="BO91" i="2"/>
  <c r="BP91" i="2"/>
  <c r="BQ91" i="2"/>
  <c r="BR91" i="2"/>
  <c r="BS91" i="2"/>
  <c r="BT91" i="2"/>
  <c r="BU91" i="2"/>
  <c r="BV91" i="2"/>
  <c r="BW91" i="2"/>
  <c r="BX91" i="2"/>
  <c r="BY91" i="2"/>
  <c r="BZ91" i="2"/>
  <c r="CA91" i="2"/>
  <c r="CB91" i="2"/>
  <c r="CC91" i="2"/>
  <c r="CD91" i="2"/>
  <c r="CE91" i="2"/>
  <c r="CF91" i="2"/>
  <c r="CG91" i="2"/>
  <c r="CH91" i="2"/>
  <c r="CI91" i="2"/>
  <c r="CJ91" i="2"/>
  <c r="CK91" i="2"/>
  <c r="CL91" i="2"/>
  <c r="CM91" i="2"/>
  <c r="CN91" i="2"/>
  <c r="CO91" i="2"/>
  <c r="CP91" i="2"/>
  <c r="CQ91" i="2"/>
  <c r="CR91" i="2"/>
  <c r="CS91" i="2"/>
  <c r="CT91" i="2"/>
  <c r="CU91" i="2"/>
  <c r="CV91" i="2"/>
  <c r="CW91" i="2"/>
  <c r="CX91" i="2"/>
  <c r="CY91" i="2"/>
  <c r="CZ91" i="2"/>
  <c r="DA91" i="2"/>
  <c r="F92" i="2"/>
  <c r="G92" i="2"/>
  <c r="H92" i="2"/>
  <c r="I92" i="2"/>
  <c r="J92" i="2"/>
  <c r="K92" i="2"/>
  <c r="L92" i="2"/>
  <c r="M92" i="2"/>
  <c r="N92" i="2"/>
  <c r="O92" i="2"/>
  <c r="P92" i="2"/>
  <c r="Q92" i="2"/>
  <c r="R92" i="2"/>
  <c r="S92" i="2"/>
  <c r="T92" i="2"/>
  <c r="U92" i="2"/>
  <c r="V92" i="2"/>
  <c r="W92" i="2"/>
  <c r="X92" i="2"/>
  <c r="Y92" i="2"/>
  <c r="Z92" i="2"/>
  <c r="AA92" i="2"/>
  <c r="AB92" i="2"/>
  <c r="AC92" i="2"/>
  <c r="AD92" i="2"/>
  <c r="AE92" i="2"/>
  <c r="AF92" i="2"/>
  <c r="AG92" i="2"/>
  <c r="AH92" i="2"/>
  <c r="AI92" i="2"/>
  <c r="AJ92" i="2"/>
  <c r="AK92" i="2"/>
  <c r="AL92" i="2"/>
  <c r="AM92" i="2"/>
  <c r="AN92" i="2"/>
  <c r="AO92" i="2"/>
  <c r="AP92" i="2"/>
  <c r="AQ92" i="2"/>
  <c r="AR92" i="2"/>
  <c r="AS92" i="2"/>
  <c r="AT92" i="2"/>
  <c r="AU92" i="2"/>
  <c r="AV92" i="2"/>
  <c r="AW92" i="2"/>
  <c r="AX92" i="2"/>
  <c r="AY92" i="2"/>
  <c r="AZ92" i="2"/>
  <c r="BA92" i="2"/>
  <c r="BB92" i="2"/>
  <c r="BC92" i="2"/>
  <c r="BD92" i="2"/>
  <c r="BE92" i="2"/>
  <c r="BF92" i="2"/>
  <c r="BG92" i="2"/>
  <c r="BH92" i="2"/>
  <c r="BI92" i="2"/>
  <c r="BJ92" i="2"/>
  <c r="BK92" i="2"/>
  <c r="BL92" i="2"/>
  <c r="BM92" i="2"/>
  <c r="BN92" i="2"/>
  <c r="BO92" i="2"/>
  <c r="BP92" i="2"/>
  <c r="BQ92" i="2"/>
  <c r="BR92" i="2"/>
  <c r="BS92" i="2"/>
  <c r="BT92" i="2"/>
  <c r="BU92" i="2"/>
  <c r="BV92" i="2"/>
  <c r="BW92" i="2"/>
  <c r="BX92" i="2"/>
  <c r="BY92" i="2"/>
  <c r="BZ92" i="2"/>
  <c r="CA92" i="2"/>
  <c r="CB92" i="2"/>
  <c r="CC92" i="2"/>
  <c r="CD92" i="2"/>
  <c r="CE92" i="2"/>
  <c r="CF92" i="2"/>
  <c r="CG92" i="2"/>
  <c r="CH92" i="2"/>
  <c r="CI92" i="2"/>
  <c r="CJ92" i="2"/>
  <c r="CK92" i="2"/>
  <c r="CL92" i="2"/>
  <c r="CM92" i="2"/>
  <c r="CN92" i="2"/>
  <c r="CO92" i="2"/>
  <c r="CP92" i="2"/>
  <c r="CQ92" i="2"/>
  <c r="CR92" i="2"/>
  <c r="CS92" i="2"/>
  <c r="CT92" i="2"/>
  <c r="CU92" i="2"/>
  <c r="CV92" i="2"/>
  <c r="CW92" i="2"/>
  <c r="CX92" i="2"/>
  <c r="CY92" i="2"/>
  <c r="CZ92" i="2"/>
  <c r="DA92" i="2"/>
  <c r="F93" i="2"/>
  <c r="G93" i="2"/>
  <c r="H93" i="2"/>
  <c r="I93" i="2"/>
  <c r="J93" i="2"/>
  <c r="K93" i="2"/>
  <c r="L93" i="2"/>
  <c r="M93" i="2"/>
  <c r="N93" i="2"/>
  <c r="O93" i="2"/>
  <c r="P93" i="2"/>
  <c r="Q93" i="2"/>
  <c r="R93" i="2"/>
  <c r="S93" i="2"/>
  <c r="T93" i="2"/>
  <c r="U93" i="2"/>
  <c r="V93" i="2"/>
  <c r="W93" i="2"/>
  <c r="X93" i="2"/>
  <c r="Y93" i="2"/>
  <c r="Z93" i="2"/>
  <c r="AA93" i="2"/>
  <c r="AB93" i="2"/>
  <c r="AC93" i="2"/>
  <c r="AD93" i="2"/>
  <c r="AE93" i="2"/>
  <c r="AF93" i="2"/>
  <c r="AG93" i="2"/>
  <c r="AH93" i="2"/>
  <c r="AI93" i="2"/>
  <c r="AJ93" i="2"/>
  <c r="AK93" i="2"/>
  <c r="AL93" i="2"/>
  <c r="AM93" i="2"/>
  <c r="AN93" i="2"/>
  <c r="AO93" i="2"/>
  <c r="AP93" i="2"/>
  <c r="AQ93" i="2"/>
  <c r="AR93" i="2"/>
  <c r="AS93" i="2"/>
  <c r="AT93" i="2"/>
  <c r="AU93" i="2"/>
  <c r="AV93" i="2"/>
  <c r="AW93" i="2"/>
  <c r="AX93" i="2"/>
  <c r="AY93" i="2"/>
  <c r="AZ93" i="2"/>
  <c r="BA93" i="2"/>
  <c r="BB93" i="2"/>
  <c r="BC93" i="2"/>
  <c r="BD93" i="2"/>
  <c r="BE93" i="2"/>
  <c r="BF93" i="2"/>
  <c r="BG93" i="2"/>
  <c r="BH93" i="2"/>
  <c r="BI93" i="2"/>
  <c r="BJ93" i="2"/>
  <c r="BK93" i="2"/>
  <c r="BL93" i="2"/>
  <c r="BM93" i="2"/>
  <c r="BN93" i="2"/>
  <c r="BO93" i="2"/>
  <c r="BP93" i="2"/>
  <c r="BQ93" i="2"/>
  <c r="BR93" i="2"/>
  <c r="BS93" i="2"/>
  <c r="BT93" i="2"/>
  <c r="BU93" i="2"/>
  <c r="BV93" i="2"/>
  <c r="BW93" i="2"/>
  <c r="BX93" i="2"/>
  <c r="BY93" i="2"/>
  <c r="BZ93" i="2"/>
  <c r="CA93" i="2"/>
  <c r="CB93" i="2"/>
  <c r="CC93" i="2"/>
  <c r="CD93" i="2"/>
  <c r="CE93" i="2"/>
  <c r="CF93" i="2"/>
  <c r="CG93" i="2"/>
  <c r="CH93" i="2"/>
  <c r="CI93" i="2"/>
  <c r="CJ93" i="2"/>
  <c r="CK93" i="2"/>
  <c r="CL93" i="2"/>
  <c r="CM93" i="2"/>
  <c r="CN93" i="2"/>
  <c r="CO93" i="2"/>
  <c r="CP93" i="2"/>
  <c r="CQ93" i="2"/>
  <c r="CR93" i="2"/>
  <c r="CS93" i="2"/>
  <c r="CT93" i="2"/>
  <c r="CU93" i="2"/>
  <c r="CV93" i="2"/>
  <c r="CW93" i="2"/>
  <c r="CX93" i="2"/>
  <c r="CY93" i="2"/>
  <c r="CZ93" i="2"/>
  <c r="DA93" i="2"/>
  <c r="F94" i="2"/>
  <c r="G94" i="2"/>
  <c r="H94" i="2"/>
  <c r="I94" i="2"/>
  <c r="J94" i="2"/>
  <c r="K94" i="2"/>
  <c r="L94" i="2"/>
  <c r="M94" i="2"/>
  <c r="N94" i="2"/>
  <c r="O94" i="2"/>
  <c r="P94" i="2"/>
  <c r="Q94" i="2"/>
  <c r="R94" i="2"/>
  <c r="S94" i="2"/>
  <c r="T94" i="2"/>
  <c r="U94" i="2"/>
  <c r="V94" i="2"/>
  <c r="W94" i="2"/>
  <c r="X94" i="2"/>
  <c r="Y94" i="2"/>
  <c r="Z94" i="2"/>
  <c r="AA94" i="2"/>
  <c r="AB94" i="2"/>
  <c r="AC94" i="2"/>
  <c r="AD94" i="2"/>
  <c r="AE94" i="2"/>
  <c r="AF94" i="2"/>
  <c r="AG94" i="2"/>
  <c r="AH94" i="2"/>
  <c r="AI94" i="2"/>
  <c r="AJ94" i="2"/>
  <c r="AK94" i="2"/>
  <c r="AL94" i="2"/>
  <c r="AM94" i="2"/>
  <c r="AN94" i="2"/>
  <c r="AO94" i="2"/>
  <c r="AP94" i="2"/>
  <c r="AQ94" i="2"/>
  <c r="AR94" i="2"/>
  <c r="AS94" i="2"/>
  <c r="AT94" i="2"/>
  <c r="AU94" i="2"/>
  <c r="AV94" i="2"/>
  <c r="AW94" i="2"/>
  <c r="AX94" i="2"/>
  <c r="AY94" i="2"/>
  <c r="AZ94" i="2"/>
  <c r="BA94" i="2"/>
  <c r="BB94" i="2"/>
  <c r="BC94" i="2"/>
  <c r="BD94" i="2"/>
  <c r="BE94" i="2"/>
  <c r="BF94" i="2"/>
  <c r="BG94" i="2"/>
  <c r="BH94" i="2"/>
  <c r="BI94" i="2"/>
  <c r="BJ94" i="2"/>
  <c r="BK94" i="2"/>
  <c r="BL94" i="2"/>
  <c r="BM94" i="2"/>
  <c r="BN94" i="2"/>
  <c r="BO94" i="2"/>
  <c r="BP94" i="2"/>
  <c r="BQ94" i="2"/>
  <c r="BR94" i="2"/>
  <c r="BS94" i="2"/>
  <c r="BT94" i="2"/>
  <c r="BU94" i="2"/>
  <c r="BV94" i="2"/>
  <c r="BW94" i="2"/>
  <c r="BX94" i="2"/>
  <c r="BY94" i="2"/>
  <c r="BZ94" i="2"/>
  <c r="CA94" i="2"/>
  <c r="CB94" i="2"/>
  <c r="CC94" i="2"/>
  <c r="CD94" i="2"/>
  <c r="CE94" i="2"/>
  <c r="CF94" i="2"/>
  <c r="CG94" i="2"/>
  <c r="CH94" i="2"/>
  <c r="CI94" i="2"/>
  <c r="CJ94" i="2"/>
  <c r="CK94" i="2"/>
  <c r="CL94" i="2"/>
  <c r="CM94" i="2"/>
  <c r="CN94" i="2"/>
  <c r="CO94" i="2"/>
  <c r="CP94" i="2"/>
  <c r="CQ94" i="2"/>
  <c r="CR94" i="2"/>
  <c r="CS94" i="2"/>
  <c r="CT94" i="2"/>
  <c r="CU94" i="2"/>
  <c r="CV94" i="2"/>
  <c r="CW94" i="2"/>
  <c r="CX94" i="2"/>
  <c r="CY94" i="2"/>
  <c r="CZ94" i="2"/>
  <c r="DA94" i="2"/>
  <c r="F95" i="2"/>
  <c r="G95" i="2"/>
  <c r="H95" i="2"/>
  <c r="I95" i="2"/>
  <c r="J95" i="2"/>
  <c r="K95" i="2"/>
  <c r="L95" i="2"/>
  <c r="M95" i="2"/>
  <c r="N95" i="2"/>
  <c r="O95" i="2"/>
  <c r="P95" i="2"/>
  <c r="Q95" i="2"/>
  <c r="R95" i="2"/>
  <c r="S95" i="2"/>
  <c r="T95" i="2"/>
  <c r="U95" i="2"/>
  <c r="V95" i="2"/>
  <c r="W95" i="2"/>
  <c r="X95" i="2"/>
  <c r="Y95" i="2"/>
  <c r="Z95" i="2"/>
  <c r="AA95" i="2"/>
  <c r="AB95" i="2"/>
  <c r="AC95" i="2"/>
  <c r="AD95" i="2"/>
  <c r="AE95" i="2"/>
  <c r="AF95" i="2"/>
  <c r="AG95" i="2"/>
  <c r="AH95" i="2"/>
  <c r="AI95" i="2"/>
  <c r="AJ95" i="2"/>
  <c r="AK95" i="2"/>
  <c r="AL95" i="2"/>
  <c r="AM95" i="2"/>
  <c r="AN95" i="2"/>
  <c r="AO95" i="2"/>
  <c r="AP95" i="2"/>
  <c r="AQ95" i="2"/>
  <c r="AR95" i="2"/>
  <c r="AS95" i="2"/>
  <c r="AT95" i="2"/>
  <c r="AU95" i="2"/>
  <c r="AV95" i="2"/>
  <c r="AW95" i="2"/>
  <c r="AX95" i="2"/>
  <c r="AY95" i="2"/>
  <c r="AZ95" i="2"/>
  <c r="BA95" i="2"/>
  <c r="BB95" i="2"/>
  <c r="BC95" i="2"/>
  <c r="BD95" i="2"/>
  <c r="BE95" i="2"/>
  <c r="BF95" i="2"/>
  <c r="BG95" i="2"/>
  <c r="BH95" i="2"/>
  <c r="BI95" i="2"/>
  <c r="BJ95" i="2"/>
  <c r="BK95" i="2"/>
  <c r="BL95" i="2"/>
  <c r="BM95" i="2"/>
  <c r="BN95" i="2"/>
  <c r="BO95" i="2"/>
  <c r="BP95" i="2"/>
  <c r="BQ95" i="2"/>
  <c r="BR95" i="2"/>
  <c r="BS95" i="2"/>
  <c r="BT95" i="2"/>
  <c r="BU95" i="2"/>
  <c r="BV95" i="2"/>
  <c r="BW95" i="2"/>
  <c r="BX95" i="2"/>
  <c r="BY95" i="2"/>
  <c r="BZ95" i="2"/>
  <c r="CA95" i="2"/>
  <c r="CB95" i="2"/>
  <c r="CC95" i="2"/>
  <c r="CD95" i="2"/>
  <c r="CE95" i="2"/>
  <c r="CF95" i="2"/>
  <c r="CG95" i="2"/>
  <c r="CH95" i="2"/>
  <c r="CI95" i="2"/>
  <c r="CJ95" i="2"/>
  <c r="CK95" i="2"/>
  <c r="CL95" i="2"/>
  <c r="CM95" i="2"/>
  <c r="CN95" i="2"/>
  <c r="CO95" i="2"/>
  <c r="CP95" i="2"/>
  <c r="CQ95" i="2"/>
  <c r="CR95" i="2"/>
  <c r="CS95" i="2"/>
  <c r="CT95" i="2"/>
  <c r="CU95" i="2"/>
  <c r="CV95" i="2"/>
  <c r="CW95" i="2"/>
  <c r="CX95" i="2"/>
  <c r="CY95" i="2"/>
  <c r="CZ95" i="2"/>
  <c r="DA95" i="2"/>
  <c r="F96" i="2"/>
  <c r="G96" i="2"/>
  <c r="H96" i="2"/>
  <c r="I96" i="2"/>
  <c r="J96" i="2"/>
  <c r="K96" i="2"/>
  <c r="L96" i="2"/>
  <c r="M96" i="2"/>
  <c r="N96" i="2"/>
  <c r="O96" i="2"/>
  <c r="P96" i="2"/>
  <c r="Q96" i="2"/>
  <c r="R96" i="2"/>
  <c r="S96" i="2"/>
  <c r="T96" i="2"/>
  <c r="U96" i="2"/>
  <c r="V96" i="2"/>
  <c r="W96" i="2"/>
  <c r="X96" i="2"/>
  <c r="Y96" i="2"/>
  <c r="Z96" i="2"/>
  <c r="AA96" i="2"/>
  <c r="AB96" i="2"/>
  <c r="AC96" i="2"/>
  <c r="AD96" i="2"/>
  <c r="AE96" i="2"/>
  <c r="AF96" i="2"/>
  <c r="AG96" i="2"/>
  <c r="AH96" i="2"/>
  <c r="AI96" i="2"/>
  <c r="AJ96" i="2"/>
  <c r="AK96" i="2"/>
  <c r="AL96" i="2"/>
  <c r="AM96" i="2"/>
  <c r="AN96" i="2"/>
  <c r="AO96" i="2"/>
  <c r="AP96" i="2"/>
  <c r="AQ96" i="2"/>
  <c r="AR96" i="2"/>
  <c r="AS96" i="2"/>
  <c r="AT96" i="2"/>
  <c r="AU96" i="2"/>
  <c r="AV96" i="2"/>
  <c r="AW96" i="2"/>
  <c r="AX96" i="2"/>
  <c r="AY96" i="2"/>
  <c r="AZ96" i="2"/>
  <c r="BA96" i="2"/>
  <c r="BB96" i="2"/>
  <c r="BC96" i="2"/>
  <c r="BD96" i="2"/>
  <c r="BE96" i="2"/>
  <c r="BF96" i="2"/>
  <c r="BG96" i="2"/>
  <c r="BH96" i="2"/>
  <c r="BI96" i="2"/>
  <c r="BJ96" i="2"/>
  <c r="BK96" i="2"/>
  <c r="BL96" i="2"/>
  <c r="BM96" i="2"/>
  <c r="BN96" i="2"/>
  <c r="BO96" i="2"/>
  <c r="BP96" i="2"/>
  <c r="BQ96" i="2"/>
  <c r="BR96" i="2"/>
  <c r="BS96" i="2"/>
  <c r="BT96" i="2"/>
  <c r="BU96" i="2"/>
  <c r="BV96" i="2"/>
  <c r="BW96" i="2"/>
  <c r="BX96" i="2"/>
  <c r="BY96" i="2"/>
  <c r="BZ96" i="2"/>
  <c r="CA96" i="2"/>
  <c r="CB96" i="2"/>
  <c r="CC96" i="2"/>
  <c r="CD96" i="2"/>
  <c r="CE96" i="2"/>
  <c r="CF96" i="2"/>
  <c r="CG96" i="2"/>
  <c r="CH96" i="2"/>
  <c r="CI96" i="2"/>
  <c r="CJ96" i="2"/>
  <c r="CK96" i="2"/>
  <c r="CL96" i="2"/>
  <c r="CM96" i="2"/>
  <c r="CN96" i="2"/>
  <c r="CO96" i="2"/>
  <c r="CP96" i="2"/>
  <c r="CQ96" i="2"/>
  <c r="CR96" i="2"/>
  <c r="CS96" i="2"/>
  <c r="CT96" i="2"/>
  <c r="CU96" i="2"/>
  <c r="CV96" i="2"/>
  <c r="CW96" i="2"/>
  <c r="CX96" i="2"/>
  <c r="CY96" i="2"/>
  <c r="CZ96" i="2"/>
  <c r="DA96" i="2"/>
  <c r="F97" i="2"/>
  <c r="G97" i="2"/>
  <c r="H97" i="2"/>
  <c r="I97" i="2"/>
  <c r="J97" i="2"/>
  <c r="K97" i="2"/>
  <c r="L97" i="2"/>
  <c r="M97" i="2"/>
  <c r="N97" i="2"/>
  <c r="O97" i="2"/>
  <c r="P97" i="2"/>
  <c r="Q97" i="2"/>
  <c r="R97" i="2"/>
  <c r="S97" i="2"/>
  <c r="T97" i="2"/>
  <c r="U97" i="2"/>
  <c r="V97" i="2"/>
  <c r="W97" i="2"/>
  <c r="X97" i="2"/>
  <c r="Y97" i="2"/>
  <c r="Z97" i="2"/>
  <c r="AA97" i="2"/>
  <c r="AB97" i="2"/>
  <c r="AC97" i="2"/>
  <c r="AD97" i="2"/>
  <c r="AE97" i="2"/>
  <c r="AF97" i="2"/>
  <c r="AG97" i="2"/>
  <c r="AH97" i="2"/>
  <c r="AI97" i="2"/>
  <c r="AJ97" i="2"/>
  <c r="AK97" i="2"/>
  <c r="AL97" i="2"/>
  <c r="AM97" i="2"/>
  <c r="AN97" i="2"/>
  <c r="AO97" i="2"/>
  <c r="AP97" i="2"/>
  <c r="AQ97" i="2"/>
  <c r="AR97" i="2"/>
  <c r="AS97" i="2"/>
  <c r="AT97" i="2"/>
  <c r="AU97" i="2"/>
  <c r="AV97" i="2"/>
  <c r="AW97" i="2"/>
  <c r="AX97" i="2"/>
  <c r="AY97" i="2"/>
  <c r="AZ97" i="2"/>
  <c r="BA97" i="2"/>
  <c r="BB97" i="2"/>
  <c r="BC97" i="2"/>
  <c r="BD97" i="2"/>
  <c r="BE97" i="2"/>
  <c r="BF97" i="2"/>
  <c r="BG97" i="2"/>
  <c r="BH97" i="2"/>
  <c r="BI97" i="2"/>
  <c r="BJ97" i="2"/>
  <c r="BK97" i="2"/>
  <c r="BL97" i="2"/>
  <c r="BM97" i="2"/>
  <c r="BN97" i="2"/>
  <c r="BO97" i="2"/>
  <c r="BP97" i="2"/>
  <c r="BQ97" i="2"/>
  <c r="BR97" i="2"/>
  <c r="BS97" i="2"/>
  <c r="BT97" i="2"/>
  <c r="BU97" i="2"/>
  <c r="BV97" i="2"/>
  <c r="BW97" i="2"/>
  <c r="BX97" i="2"/>
  <c r="BY97" i="2"/>
  <c r="BZ97" i="2"/>
  <c r="CA97" i="2"/>
  <c r="CB97" i="2"/>
  <c r="CC97" i="2"/>
  <c r="CD97" i="2"/>
  <c r="CE97" i="2"/>
  <c r="CF97" i="2"/>
  <c r="CG97" i="2"/>
  <c r="CH97" i="2"/>
  <c r="CI97" i="2"/>
  <c r="CJ97" i="2"/>
  <c r="CK97" i="2"/>
  <c r="CL97" i="2"/>
  <c r="CM97" i="2"/>
  <c r="CN97" i="2"/>
  <c r="CO97" i="2"/>
  <c r="CP97" i="2"/>
  <c r="CQ97" i="2"/>
  <c r="CR97" i="2"/>
  <c r="CS97" i="2"/>
  <c r="CT97" i="2"/>
  <c r="CU97" i="2"/>
  <c r="CV97" i="2"/>
  <c r="CW97" i="2"/>
  <c r="CX97" i="2"/>
  <c r="CY97" i="2"/>
  <c r="CZ97" i="2"/>
  <c r="DA97" i="2"/>
  <c r="F98" i="2"/>
  <c r="G98" i="2"/>
  <c r="H98" i="2"/>
  <c r="I98" i="2"/>
  <c r="J98" i="2"/>
  <c r="K98" i="2"/>
  <c r="L98" i="2"/>
  <c r="M98" i="2"/>
  <c r="N98" i="2"/>
  <c r="O98" i="2"/>
  <c r="P98" i="2"/>
  <c r="Q98" i="2"/>
  <c r="R98" i="2"/>
  <c r="S98" i="2"/>
  <c r="T98" i="2"/>
  <c r="U98" i="2"/>
  <c r="V98" i="2"/>
  <c r="W98" i="2"/>
  <c r="X98" i="2"/>
  <c r="Y98" i="2"/>
  <c r="Z98" i="2"/>
  <c r="AA98" i="2"/>
  <c r="AB98" i="2"/>
  <c r="AC98" i="2"/>
  <c r="AD98" i="2"/>
  <c r="AE98" i="2"/>
  <c r="AF98" i="2"/>
  <c r="AG98" i="2"/>
  <c r="AH98" i="2"/>
  <c r="AI98" i="2"/>
  <c r="AJ98" i="2"/>
  <c r="AK98" i="2"/>
  <c r="AL98" i="2"/>
  <c r="AM98" i="2"/>
  <c r="AN98" i="2"/>
  <c r="AO98" i="2"/>
  <c r="AP98" i="2"/>
  <c r="AQ98" i="2"/>
  <c r="AR98" i="2"/>
  <c r="AS98" i="2"/>
  <c r="AT98" i="2"/>
  <c r="AU98" i="2"/>
  <c r="AV98" i="2"/>
  <c r="AW98" i="2"/>
  <c r="AX98" i="2"/>
  <c r="AY98" i="2"/>
  <c r="AZ98" i="2"/>
  <c r="BA98" i="2"/>
  <c r="BB98" i="2"/>
  <c r="BC98" i="2"/>
  <c r="BD98" i="2"/>
  <c r="BE98" i="2"/>
  <c r="BF98" i="2"/>
  <c r="BG98" i="2"/>
  <c r="BH98" i="2"/>
  <c r="BI98" i="2"/>
  <c r="BJ98" i="2"/>
  <c r="BK98" i="2"/>
  <c r="BL98" i="2"/>
  <c r="BM98" i="2"/>
  <c r="BN98" i="2"/>
  <c r="BO98" i="2"/>
  <c r="BP98" i="2"/>
  <c r="BQ98" i="2"/>
  <c r="BR98" i="2"/>
  <c r="BS98" i="2"/>
  <c r="BT98" i="2"/>
  <c r="BU98" i="2"/>
  <c r="BV98" i="2"/>
  <c r="BW98" i="2"/>
  <c r="BX98" i="2"/>
  <c r="BY98" i="2"/>
  <c r="BZ98" i="2"/>
  <c r="CA98" i="2"/>
  <c r="CB98" i="2"/>
  <c r="CC98" i="2"/>
  <c r="CD98" i="2"/>
  <c r="CE98" i="2"/>
  <c r="CF98" i="2"/>
  <c r="CG98" i="2"/>
  <c r="CH98" i="2"/>
  <c r="CI98" i="2"/>
  <c r="CJ98" i="2"/>
  <c r="CK98" i="2"/>
  <c r="CL98" i="2"/>
  <c r="CM98" i="2"/>
  <c r="CN98" i="2"/>
  <c r="CO98" i="2"/>
  <c r="CP98" i="2"/>
  <c r="CQ98" i="2"/>
  <c r="CR98" i="2"/>
  <c r="CS98" i="2"/>
  <c r="CT98" i="2"/>
  <c r="CU98" i="2"/>
  <c r="CV98" i="2"/>
  <c r="CW98" i="2"/>
  <c r="CX98" i="2"/>
  <c r="CY98" i="2"/>
  <c r="CZ98" i="2"/>
  <c r="DA98" i="2"/>
  <c r="F99" i="2"/>
  <c r="G99" i="2"/>
  <c r="H99" i="2"/>
  <c r="I99" i="2"/>
  <c r="J99" i="2"/>
  <c r="K99" i="2"/>
  <c r="L99" i="2"/>
  <c r="M99" i="2"/>
  <c r="N99" i="2"/>
  <c r="O99" i="2"/>
  <c r="P99" i="2"/>
  <c r="Q99" i="2"/>
  <c r="R99" i="2"/>
  <c r="S99" i="2"/>
  <c r="T99" i="2"/>
  <c r="U99" i="2"/>
  <c r="V99" i="2"/>
  <c r="W99" i="2"/>
  <c r="X99" i="2"/>
  <c r="Y99" i="2"/>
  <c r="Z99" i="2"/>
  <c r="AA99" i="2"/>
  <c r="AB99" i="2"/>
  <c r="AC99" i="2"/>
  <c r="AD99" i="2"/>
  <c r="AE99" i="2"/>
  <c r="AF99" i="2"/>
  <c r="AG99" i="2"/>
  <c r="AH99" i="2"/>
  <c r="AI99" i="2"/>
  <c r="AJ99" i="2"/>
  <c r="AK99" i="2"/>
  <c r="AL99" i="2"/>
  <c r="AM99" i="2"/>
  <c r="AN99" i="2"/>
  <c r="AO99" i="2"/>
  <c r="AP99" i="2"/>
  <c r="AQ99" i="2"/>
  <c r="AR99" i="2"/>
  <c r="AS99" i="2"/>
  <c r="AT99" i="2"/>
  <c r="AU99" i="2"/>
  <c r="AV99" i="2"/>
  <c r="AW99" i="2"/>
  <c r="AX99" i="2"/>
  <c r="AY99" i="2"/>
  <c r="AZ99" i="2"/>
  <c r="BA99" i="2"/>
  <c r="BB99" i="2"/>
  <c r="BC99" i="2"/>
  <c r="BD99" i="2"/>
  <c r="BE99" i="2"/>
  <c r="BF99" i="2"/>
  <c r="BG99" i="2"/>
  <c r="BH99" i="2"/>
  <c r="BI99" i="2"/>
  <c r="BJ99" i="2"/>
  <c r="BK99" i="2"/>
  <c r="BL99" i="2"/>
  <c r="BM99" i="2"/>
  <c r="BN99" i="2"/>
  <c r="BO99" i="2"/>
  <c r="BP99" i="2"/>
  <c r="BQ99" i="2"/>
  <c r="BR99" i="2"/>
  <c r="BS99" i="2"/>
  <c r="BT99" i="2"/>
  <c r="BU99" i="2"/>
  <c r="BV99" i="2"/>
  <c r="BW99" i="2"/>
  <c r="BX99" i="2"/>
  <c r="BY99" i="2"/>
  <c r="BZ99" i="2"/>
  <c r="CA99" i="2"/>
  <c r="CB99" i="2"/>
  <c r="CC99" i="2"/>
  <c r="CD99" i="2"/>
  <c r="CE99" i="2"/>
  <c r="CF99" i="2"/>
  <c r="CG99" i="2"/>
  <c r="CH99" i="2"/>
  <c r="CI99" i="2"/>
  <c r="CJ99" i="2"/>
  <c r="CK99" i="2"/>
  <c r="CL99" i="2"/>
  <c r="CM99" i="2"/>
  <c r="CN99" i="2"/>
  <c r="CO99" i="2"/>
  <c r="CP99" i="2"/>
  <c r="CQ99" i="2"/>
  <c r="CR99" i="2"/>
  <c r="CS99" i="2"/>
  <c r="CT99" i="2"/>
  <c r="CU99" i="2"/>
  <c r="CV99" i="2"/>
  <c r="CW99" i="2"/>
  <c r="CX99" i="2"/>
  <c r="CY99" i="2"/>
  <c r="CZ99" i="2"/>
  <c r="DA99" i="2"/>
  <c r="F100" i="2"/>
  <c r="G100" i="2"/>
  <c r="H100" i="2"/>
  <c r="I100" i="2"/>
  <c r="J100" i="2"/>
  <c r="K100" i="2"/>
  <c r="L100" i="2"/>
  <c r="M100" i="2"/>
  <c r="N100" i="2"/>
  <c r="O100" i="2"/>
  <c r="P100" i="2"/>
  <c r="Q100" i="2"/>
  <c r="R100" i="2"/>
  <c r="S100" i="2"/>
  <c r="T100" i="2"/>
  <c r="U100" i="2"/>
  <c r="V100" i="2"/>
  <c r="W100" i="2"/>
  <c r="X100" i="2"/>
  <c r="Y100" i="2"/>
  <c r="Z100" i="2"/>
  <c r="AA100" i="2"/>
  <c r="AB100" i="2"/>
  <c r="AC100" i="2"/>
  <c r="AD100" i="2"/>
  <c r="AE100" i="2"/>
  <c r="AF100" i="2"/>
  <c r="AG100" i="2"/>
  <c r="AH100" i="2"/>
  <c r="AI100" i="2"/>
  <c r="AJ100" i="2"/>
  <c r="AK100" i="2"/>
  <c r="AL100" i="2"/>
  <c r="AM100" i="2"/>
  <c r="AN100" i="2"/>
  <c r="AO100" i="2"/>
  <c r="AP100" i="2"/>
  <c r="AQ100" i="2"/>
  <c r="AR100" i="2"/>
  <c r="AS100" i="2"/>
  <c r="AT100" i="2"/>
  <c r="AU100" i="2"/>
  <c r="AV100" i="2"/>
  <c r="AW100" i="2"/>
  <c r="AX100" i="2"/>
  <c r="AY100" i="2"/>
  <c r="AZ100" i="2"/>
  <c r="BA100" i="2"/>
  <c r="BB100" i="2"/>
  <c r="BC100" i="2"/>
  <c r="BD100" i="2"/>
  <c r="BE100" i="2"/>
  <c r="BF100" i="2"/>
  <c r="BG100" i="2"/>
  <c r="BH100" i="2"/>
  <c r="BI100" i="2"/>
  <c r="BJ100" i="2"/>
  <c r="BK100" i="2"/>
  <c r="BL100" i="2"/>
  <c r="BM100" i="2"/>
  <c r="BN100" i="2"/>
  <c r="BO100" i="2"/>
  <c r="BP100" i="2"/>
  <c r="BQ100" i="2"/>
  <c r="BR100" i="2"/>
  <c r="BS100" i="2"/>
  <c r="BT100" i="2"/>
  <c r="BU100" i="2"/>
  <c r="BV100" i="2"/>
  <c r="BW100" i="2"/>
  <c r="BX100" i="2"/>
  <c r="BY100" i="2"/>
  <c r="BZ100" i="2"/>
  <c r="CA100" i="2"/>
  <c r="CB100" i="2"/>
  <c r="CC100" i="2"/>
  <c r="CD100" i="2"/>
  <c r="CE100" i="2"/>
  <c r="CF100" i="2"/>
  <c r="CG100" i="2"/>
  <c r="CH100" i="2"/>
  <c r="CI100" i="2"/>
  <c r="CJ100" i="2"/>
  <c r="CK100" i="2"/>
  <c r="CL100" i="2"/>
  <c r="CM100" i="2"/>
  <c r="CN100" i="2"/>
  <c r="CO100" i="2"/>
  <c r="CP100" i="2"/>
  <c r="CQ100" i="2"/>
  <c r="CR100" i="2"/>
  <c r="CS100" i="2"/>
  <c r="CT100" i="2"/>
  <c r="CU100" i="2"/>
  <c r="CV100" i="2"/>
  <c r="CW100" i="2"/>
  <c r="CX100" i="2"/>
  <c r="CY100" i="2"/>
  <c r="CZ100" i="2"/>
  <c r="DA100" i="2"/>
  <c r="F101" i="2"/>
  <c r="G101" i="2"/>
  <c r="H101" i="2"/>
  <c r="I101" i="2"/>
  <c r="J101" i="2"/>
  <c r="K101" i="2"/>
  <c r="L101" i="2"/>
  <c r="M101" i="2"/>
  <c r="N101" i="2"/>
  <c r="O101" i="2"/>
  <c r="P101" i="2"/>
  <c r="Q101" i="2"/>
  <c r="R101" i="2"/>
  <c r="S101" i="2"/>
  <c r="T101" i="2"/>
  <c r="U101" i="2"/>
  <c r="V101" i="2"/>
  <c r="W101" i="2"/>
  <c r="X101" i="2"/>
  <c r="Y101" i="2"/>
  <c r="Z101" i="2"/>
  <c r="AA101" i="2"/>
  <c r="AB101" i="2"/>
  <c r="AC101" i="2"/>
  <c r="AD101" i="2"/>
  <c r="AE101" i="2"/>
  <c r="AF101" i="2"/>
  <c r="AG101" i="2"/>
  <c r="AH101" i="2"/>
  <c r="AI101" i="2"/>
  <c r="AJ101" i="2"/>
  <c r="AK101" i="2"/>
  <c r="AL101" i="2"/>
  <c r="AM101" i="2"/>
  <c r="AN101" i="2"/>
  <c r="AO101" i="2"/>
  <c r="AP101" i="2"/>
  <c r="AQ101" i="2"/>
  <c r="AR101" i="2"/>
  <c r="AS101" i="2"/>
  <c r="AT101" i="2"/>
  <c r="AU101" i="2"/>
  <c r="AV101" i="2"/>
  <c r="AW101" i="2"/>
  <c r="AX101" i="2"/>
  <c r="AY101" i="2"/>
  <c r="AZ101" i="2"/>
  <c r="BA101" i="2"/>
  <c r="BB101" i="2"/>
  <c r="BC101" i="2"/>
  <c r="BD101" i="2"/>
  <c r="BE101" i="2"/>
  <c r="BF101" i="2"/>
  <c r="BG101" i="2"/>
  <c r="BH101" i="2"/>
  <c r="BI101" i="2"/>
  <c r="BJ101" i="2"/>
  <c r="BK101" i="2"/>
  <c r="BL101" i="2"/>
  <c r="BM101" i="2"/>
  <c r="BN101" i="2"/>
  <c r="BO101" i="2"/>
  <c r="BP101" i="2"/>
  <c r="BQ101" i="2"/>
  <c r="BR101" i="2"/>
  <c r="BS101" i="2"/>
  <c r="BT101" i="2"/>
  <c r="BU101" i="2"/>
  <c r="BV101" i="2"/>
  <c r="BW101" i="2"/>
  <c r="BX101" i="2"/>
  <c r="BY101" i="2"/>
  <c r="BZ101" i="2"/>
  <c r="CA101" i="2"/>
  <c r="CB101" i="2"/>
  <c r="CC101" i="2"/>
  <c r="CD101" i="2"/>
  <c r="CE101" i="2"/>
  <c r="CF101" i="2"/>
  <c r="CG101" i="2"/>
  <c r="CH101" i="2"/>
  <c r="CI101" i="2"/>
  <c r="CJ101" i="2"/>
  <c r="CK101" i="2"/>
  <c r="CL101" i="2"/>
  <c r="CM101" i="2"/>
  <c r="CN101" i="2"/>
  <c r="CO101" i="2"/>
  <c r="CP101" i="2"/>
  <c r="CQ101" i="2"/>
  <c r="CR101" i="2"/>
  <c r="CS101" i="2"/>
  <c r="CT101" i="2"/>
  <c r="CU101" i="2"/>
  <c r="CV101" i="2"/>
  <c r="CW101" i="2"/>
  <c r="CX101" i="2"/>
  <c r="CY101" i="2"/>
  <c r="CZ101" i="2"/>
  <c r="DA101" i="2"/>
  <c r="F102" i="2"/>
  <c r="G102" i="2"/>
  <c r="H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AA102" i="2"/>
  <c r="AB102" i="2"/>
  <c r="AC102" i="2"/>
  <c r="AD102" i="2"/>
  <c r="AE102" i="2"/>
  <c r="AF102" i="2"/>
  <c r="AG102" i="2"/>
  <c r="AH102" i="2"/>
  <c r="AI102" i="2"/>
  <c r="AJ102" i="2"/>
  <c r="AK102" i="2"/>
  <c r="AL102" i="2"/>
  <c r="AM102" i="2"/>
  <c r="AN102" i="2"/>
  <c r="AO102" i="2"/>
  <c r="AP102" i="2"/>
  <c r="AQ102" i="2"/>
  <c r="AR102" i="2"/>
  <c r="AS102" i="2"/>
  <c r="AT102" i="2"/>
  <c r="AU102" i="2"/>
  <c r="AV102" i="2"/>
  <c r="AW102" i="2"/>
  <c r="AX102" i="2"/>
  <c r="AY102" i="2"/>
  <c r="AZ102" i="2"/>
  <c r="BA102" i="2"/>
  <c r="BB102" i="2"/>
  <c r="BC102" i="2"/>
  <c r="BD102" i="2"/>
  <c r="BE102" i="2"/>
  <c r="BF102" i="2"/>
  <c r="BG102" i="2"/>
  <c r="BH102" i="2"/>
  <c r="BI102" i="2"/>
  <c r="BJ102" i="2"/>
  <c r="BK102" i="2"/>
  <c r="BL102" i="2"/>
  <c r="BM102" i="2"/>
  <c r="BN102" i="2"/>
  <c r="BO102" i="2"/>
  <c r="BP102" i="2"/>
  <c r="BQ102" i="2"/>
  <c r="BR102" i="2"/>
  <c r="BS102" i="2"/>
  <c r="BT102" i="2"/>
  <c r="BU102" i="2"/>
  <c r="BV102" i="2"/>
  <c r="BW102" i="2"/>
  <c r="BX102" i="2"/>
  <c r="BY102" i="2"/>
  <c r="BZ102" i="2"/>
  <c r="CA102" i="2"/>
  <c r="CB102" i="2"/>
  <c r="CC102" i="2"/>
  <c r="CD102" i="2"/>
  <c r="CE102" i="2"/>
  <c r="CF102" i="2"/>
  <c r="CG102" i="2"/>
  <c r="CH102" i="2"/>
  <c r="CI102" i="2"/>
  <c r="CJ102" i="2"/>
  <c r="CK102" i="2"/>
  <c r="CL102" i="2"/>
  <c r="CM102" i="2"/>
  <c r="CN102" i="2"/>
  <c r="CO102" i="2"/>
  <c r="CP102" i="2"/>
  <c r="CQ102" i="2"/>
  <c r="CR102" i="2"/>
  <c r="CS102" i="2"/>
  <c r="CT102" i="2"/>
  <c r="CU102" i="2"/>
  <c r="CV102" i="2"/>
  <c r="CW102" i="2"/>
  <c r="CX102" i="2"/>
  <c r="CY102" i="2"/>
  <c r="CZ102" i="2"/>
  <c r="DA102" i="2"/>
  <c r="B6" i="1"/>
  <c r="E3" i="6" s="1"/>
  <c r="E4" i="6" s="1"/>
  <c r="E5" i="6" s="1"/>
  <c r="E6" i="6" s="1"/>
  <c r="E7" i="6" s="1"/>
  <c r="E8" i="6" s="1"/>
  <c r="E9" i="6" s="1"/>
  <c r="E10" i="6" s="1"/>
  <c r="E11" i="6" s="1"/>
  <c r="E12" i="6" s="1"/>
  <c r="E13" i="6" s="1"/>
  <c r="E14" i="6" s="1"/>
  <c r="E15" i="6" s="1"/>
  <c r="E16" i="6" s="1"/>
  <c r="E17" i="6" s="1"/>
  <c r="E18" i="6" s="1"/>
  <c r="E19" i="6" s="1"/>
  <c r="E20" i="6" s="1"/>
  <c r="E21" i="6" s="1"/>
  <c r="E22" i="6" s="1"/>
  <c r="E23" i="6" s="1"/>
  <c r="E24" i="6" s="1"/>
  <c r="E25" i="6" s="1"/>
  <c r="E26" i="6" s="1"/>
  <c r="E27" i="6" s="1"/>
  <c r="E28" i="6" s="1"/>
  <c r="E29" i="6" s="1"/>
  <c r="E30" i="6" s="1"/>
  <c r="E31" i="6" s="1"/>
  <c r="E32" i="6" s="1"/>
  <c r="E33" i="6" s="1"/>
  <c r="E34" i="6" s="1"/>
  <c r="E35" i="6" s="1"/>
  <c r="E36" i="6" s="1"/>
  <c r="E37" i="6" s="1"/>
  <c r="E38" i="6" s="1"/>
  <c r="E39" i="6" s="1"/>
  <c r="E40" i="6" s="1"/>
  <c r="E41" i="6" s="1"/>
  <c r="E42" i="6" s="1"/>
  <c r="E43" i="6" s="1"/>
  <c r="E44" i="6" s="1"/>
  <c r="E45" i="6" s="1"/>
  <c r="E46" i="6" s="1"/>
  <c r="E47" i="6" s="1"/>
  <c r="E48" i="6" s="1"/>
  <c r="E49" i="6" s="1"/>
  <c r="E50" i="6" s="1"/>
  <c r="E51" i="6" s="1"/>
  <c r="E52" i="6" s="1"/>
  <c r="E53" i="6" s="1"/>
  <c r="E54" i="6" s="1"/>
  <c r="E55" i="6" s="1"/>
  <c r="E56" i="6" s="1"/>
  <c r="E57" i="6" s="1"/>
  <c r="E58" i="6" s="1"/>
  <c r="E59" i="6" s="1"/>
  <c r="E60" i="6" s="1"/>
  <c r="E61" i="6" s="1"/>
  <c r="E62" i="6" s="1"/>
  <c r="E63" i="6" s="1"/>
  <c r="E64" i="6" s="1"/>
  <c r="E65" i="6" s="1"/>
  <c r="E66" i="6" s="1"/>
  <c r="E67" i="6" s="1"/>
  <c r="E68" i="6" s="1"/>
  <c r="E69" i="6" s="1"/>
  <c r="E70" i="6" s="1"/>
  <c r="E71" i="6" s="1"/>
  <c r="E72" i="6" s="1"/>
  <c r="E73" i="6" s="1"/>
  <c r="E74" i="6" s="1"/>
  <c r="E75" i="6" s="1"/>
  <c r="E76" i="6" s="1"/>
  <c r="E77" i="6" s="1"/>
  <c r="E78" i="6" s="1"/>
  <c r="E79" i="6" s="1"/>
  <c r="E80" i="6" s="1"/>
  <c r="E81" i="6" s="1"/>
  <c r="E82" i="6" s="1"/>
  <c r="E83" i="6" s="1"/>
  <c r="E84" i="6" s="1"/>
  <c r="E85" i="6" s="1"/>
  <c r="E86" i="6" s="1"/>
  <c r="E87" i="6" s="1"/>
  <c r="E88" i="6" s="1"/>
  <c r="E89" i="6" s="1"/>
  <c r="E90" i="6" s="1"/>
  <c r="E91" i="6" s="1"/>
  <c r="E92" i="6" s="1"/>
  <c r="E93" i="6" s="1"/>
  <c r="E94" i="6" s="1"/>
  <c r="E95" i="6" s="1"/>
  <c r="E96" i="6" s="1"/>
  <c r="E97" i="6" s="1"/>
  <c r="E98" i="6" s="1"/>
  <c r="E99" i="6" s="1"/>
  <c r="E100" i="6" s="1"/>
  <c r="E101" i="6" s="1"/>
  <c r="E102" i="6" s="1"/>
  <c r="L3" i="3" l="1"/>
  <c r="L4" i="3" l="1"/>
  <c r="E12" i="5"/>
  <c r="E3" i="4"/>
  <c r="E3" i="2"/>
  <c r="J12" i="5"/>
  <c r="I12" i="5"/>
  <c r="H12" i="5"/>
  <c r="G12" i="5"/>
  <c r="F12" i="5"/>
  <c r="CJ11" i="5"/>
  <c r="CG11" i="5"/>
  <c r="AL11" i="5"/>
  <c r="BT11" i="5"/>
  <c r="BW11" i="5"/>
  <c r="CJ11" i="1"/>
  <c r="CG11" i="1"/>
  <c r="AL11" i="1"/>
  <c r="BT11" i="1"/>
  <c r="BW11" i="1"/>
  <c r="J13" i="5"/>
  <c r="L5" i="3" l="1"/>
  <c r="E13" i="5"/>
  <c r="E4" i="4"/>
  <c r="E4" i="2"/>
  <c r="H52" i="5"/>
  <c r="H84" i="5"/>
  <c r="H34" i="5"/>
  <c r="H66" i="5"/>
  <c r="H98" i="5"/>
  <c r="H32" i="5"/>
  <c r="H64" i="5"/>
  <c r="H96" i="5"/>
  <c r="H38" i="5"/>
  <c r="H70" i="5"/>
  <c r="H100" i="5"/>
  <c r="H19" i="5"/>
  <c r="H35" i="5"/>
  <c r="H51" i="5"/>
  <c r="H67" i="5"/>
  <c r="H83" i="5"/>
  <c r="H99" i="5"/>
  <c r="H102" i="5"/>
  <c r="H17" i="5"/>
  <c r="H33" i="5"/>
  <c r="H49" i="5"/>
  <c r="H65" i="5"/>
  <c r="H81" i="5"/>
  <c r="H97" i="5"/>
  <c r="AY11" i="5"/>
  <c r="H28" i="5"/>
  <c r="H60" i="5"/>
  <c r="H92" i="5"/>
  <c r="H42" i="5"/>
  <c r="H74" i="5"/>
  <c r="H20" i="5"/>
  <c r="H40" i="5"/>
  <c r="H72" i="5"/>
  <c r="H14" i="5"/>
  <c r="H46" i="5"/>
  <c r="H78" i="5"/>
  <c r="H104" i="5"/>
  <c r="H23" i="5"/>
  <c r="H39" i="5"/>
  <c r="H55" i="5"/>
  <c r="H71" i="5"/>
  <c r="H87" i="5"/>
  <c r="H103" i="5"/>
  <c r="H106" i="5"/>
  <c r="H21" i="5"/>
  <c r="H37" i="5"/>
  <c r="H53" i="5"/>
  <c r="H69" i="5"/>
  <c r="H85" i="5"/>
  <c r="H101" i="5"/>
  <c r="H36" i="5"/>
  <c r="H68" i="5"/>
  <c r="H18" i="5"/>
  <c r="H50" i="5"/>
  <c r="H82" i="5"/>
  <c r="H16" i="5"/>
  <c r="H48" i="5"/>
  <c r="H80" i="5"/>
  <c r="H22" i="5"/>
  <c r="H54" i="5"/>
  <c r="H86" i="5"/>
  <c r="H108" i="5"/>
  <c r="H27" i="5"/>
  <c r="H43" i="5"/>
  <c r="H59" i="5"/>
  <c r="H75" i="5"/>
  <c r="H91" i="5"/>
  <c r="H107" i="5"/>
  <c r="H110" i="5"/>
  <c r="H25" i="5"/>
  <c r="H41" i="5"/>
  <c r="H57" i="5"/>
  <c r="H73" i="5"/>
  <c r="H89" i="5"/>
  <c r="H105" i="5"/>
  <c r="I13" i="5"/>
  <c r="H44" i="5"/>
  <c r="H76" i="5"/>
  <c r="H26" i="5"/>
  <c r="H58" i="5"/>
  <c r="H90" i="5"/>
  <c r="H24" i="5"/>
  <c r="H56" i="5"/>
  <c r="H88" i="5"/>
  <c r="H30" i="5"/>
  <c r="H62" i="5"/>
  <c r="H94" i="5"/>
  <c r="H15" i="5"/>
  <c r="H31" i="5"/>
  <c r="H47" i="5"/>
  <c r="H63" i="5"/>
  <c r="H79" i="5"/>
  <c r="H95" i="5"/>
  <c r="H111" i="5"/>
  <c r="H13" i="5"/>
  <c r="H29" i="5"/>
  <c r="H45" i="5"/>
  <c r="H61" i="5"/>
  <c r="H77" i="5"/>
  <c r="H93" i="5"/>
  <c r="H109" i="5"/>
  <c r="BO11" i="5"/>
  <c r="F44" i="5"/>
  <c r="F108" i="5"/>
  <c r="F57" i="5"/>
  <c r="F22" i="5"/>
  <c r="F86" i="5"/>
  <c r="F51" i="5"/>
  <c r="G104" i="5"/>
  <c r="G76" i="5"/>
  <c r="G99" i="5"/>
  <c r="G83" i="5"/>
  <c r="G67" i="5"/>
  <c r="G51" i="5"/>
  <c r="G35" i="5"/>
  <c r="G19" i="5"/>
  <c r="G102" i="5"/>
  <c r="G86" i="5"/>
  <c r="G70" i="5"/>
  <c r="G54" i="5"/>
  <c r="G38" i="5"/>
  <c r="G22" i="5"/>
  <c r="G105" i="5"/>
  <c r="G89" i="5"/>
  <c r="G73" i="5"/>
  <c r="G57" i="5"/>
  <c r="G41" i="5"/>
  <c r="G25" i="5"/>
  <c r="G108" i="5"/>
  <c r="G72" i="5"/>
  <c r="G56" i="5"/>
  <c r="G40" i="5"/>
  <c r="G24" i="5"/>
  <c r="G21" i="5"/>
  <c r="G100" i="5"/>
  <c r="G68" i="5"/>
  <c r="G52" i="5"/>
  <c r="G36" i="5"/>
  <c r="G20" i="5"/>
  <c r="F21" i="5"/>
  <c r="F76" i="5"/>
  <c r="F25" i="5"/>
  <c r="F89" i="5"/>
  <c r="F54" i="5"/>
  <c r="F14" i="5"/>
  <c r="F83" i="5"/>
  <c r="G88" i="5"/>
  <c r="G107" i="5"/>
  <c r="G91" i="5"/>
  <c r="G75" i="5"/>
  <c r="G59" i="5"/>
  <c r="G43" i="5"/>
  <c r="G27" i="5"/>
  <c r="G110" i="5"/>
  <c r="G94" i="5"/>
  <c r="G78" i="5"/>
  <c r="G62" i="5"/>
  <c r="G46" i="5"/>
  <c r="G30" i="5"/>
  <c r="G14" i="5"/>
  <c r="G97" i="5"/>
  <c r="G81" i="5"/>
  <c r="G65" i="5"/>
  <c r="G49" i="5"/>
  <c r="G33" i="5"/>
  <c r="G17" i="5"/>
  <c r="G92" i="5"/>
  <c r="G64" i="5"/>
  <c r="G48" i="5"/>
  <c r="G32" i="5"/>
  <c r="G16" i="5"/>
  <c r="BU11" i="1"/>
  <c r="F60" i="5"/>
  <c r="F73" i="5"/>
  <c r="F38" i="5"/>
  <c r="F102" i="5"/>
  <c r="F67" i="5"/>
  <c r="G96" i="5"/>
  <c r="G111" i="5"/>
  <c r="G95" i="5"/>
  <c r="G79" i="5"/>
  <c r="G63" i="5"/>
  <c r="G47" i="5"/>
  <c r="G31" i="5"/>
  <c r="G15" i="5"/>
  <c r="G98" i="5"/>
  <c r="G82" i="5"/>
  <c r="G66" i="5"/>
  <c r="G50" i="5"/>
  <c r="G34" i="5"/>
  <c r="G18" i="5"/>
  <c r="G101" i="5"/>
  <c r="G85" i="5"/>
  <c r="G69" i="5"/>
  <c r="G53" i="5"/>
  <c r="G37" i="5"/>
  <c r="Z11" i="5"/>
  <c r="F28" i="5"/>
  <c r="F92" i="5"/>
  <c r="F41" i="5"/>
  <c r="F105" i="5"/>
  <c r="F70" i="5"/>
  <c r="F35" i="5"/>
  <c r="F99" i="5"/>
  <c r="G84" i="5"/>
  <c r="G103" i="5"/>
  <c r="G87" i="5"/>
  <c r="G71" i="5"/>
  <c r="G55" i="5"/>
  <c r="G39" i="5"/>
  <c r="G23" i="5"/>
  <c r="G106" i="5"/>
  <c r="G90" i="5"/>
  <c r="G74" i="5"/>
  <c r="G58" i="5"/>
  <c r="G42" i="5"/>
  <c r="G26" i="5"/>
  <c r="G109" i="5"/>
  <c r="G93" i="5"/>
  <c r="G77" i="5"/>
  <c r="G61" i="5"/>
  <c r="G45" i="5"/>
  <c r="G29" i="5"/>
  <c r="G13" i="5"/>
  <c r="G80" i="5"/>
  <c r="G60" i="5"/>
  <c r="G44" i="5"/>
  <c r="G28" i="5"/>
  <c r="AD11" i="5"/>
  <c r="BX12" i="1"/>
  <c r="CX11" i="5"/>
  <c r="BA11" i="5"/>
  <c r="BK11" i="5"/>
  <c r="CY11" i="5"/>
  <c r="AF11" i="5"/>
  <c r="F17" i="5"/>
  <c r="F32" i="5"/>
  <c r="F48" i="5"/>
  <c r="F64" i="5"/>
  <c r="F80" i="5"/>
  <c r="F96" i="5"/>
  <c r="F20" i="5"/>
  <c r="F29" i="5"/>
  <c r="F45" i="5"/>
  <c r="F61" i="5"/>
  <c r="F77" i="5"/>
  <c r="F93" i="5"/>
  <c r="F109" i="5"/>
  <c r="F26" i="5"/>
  <c r="F42" i="5"/>
  <c r="F58" i="5"/>
  <c r="F74" i="5"/>
  <c r="F90" i="5"/>
  <c r="F106" i="5"/>
  <c r="F23" i="5"/>
  <c r="F39" i="5"/>
  <c r="F55" i="5"/>
  <c r="F71" i="5"/>
  <c r="F87" i="5"/>
  <c r="F103" i="5"/>
  <c r="BK11" i="1"/>
  <c r="BG11" i="5"/>
  <c r="BB11" i="5"/>
  <c r="BN11" i="5"/>
  <c r="BV11" i="5"/>
  <c r="U11" i="5"/>
  <c r="BY11" i="5"/>
  <c r="CN11" i="5"/>
  <c r="F13" i="5"/>
  <c r="F36" i="5"/>
  <c r="F52" i="5"/>
  <c r="F68" i="5"/>
  <c r="F84" i="5"/>
  <c r="F100" i="5"/>
  <c r="F16" i="5"/>
  <c r="F33" i="5"/>
  <c r="F49" i="5"/>
  <c r="F65" i="5"/>
  <c r="F81" i="5"/>
  <c r="F97" i="5"/>
  <c r="F19" i="5"/>
  <c r="F30" i="5"/>
  <c r="F46" i="5"/>
  <c r="F62" i="5"/>
  <c r="F78" i="5"/>
  <c r="F94" i="5"/>
  <c r="F110" i="5"/>
  <c r="F27" i="5"/>
  <c r="F43" i="5"/>
  <c r="F59" i="5"/>
  <c r="F75" i="5"/>
  <c r="F91" i="5"/>
  <c r="F107" i="5"/>
  <c r="CI12" i="1"/>
  <c r="AQ11" i="5"/>
  <c r="AX11" i="5"/>
  <c r="BU11" i="5"/>
  <c r="BJ11" i="5"/>
  <c r="AS11" i="5"/>
  <c r="BX11" i="5"/>
  <c r="F24" i="5"/>
  <c r="F40" i="5"/>
  <c r="F56" i="5"/>
  <c r="F72" i="5"/>
  <c r="F88" i="5"/>
  <c r="F104" i="5"/>
  <c r="F37" i="5"/>
  <c r="F53" i="5"/>
  <c r="F69" i="5"/>
  <c r="F85" i="5"/>
  <c r="F101" i="5"/>
  <c r="F15" i="5"/>
  <c r="F34" i="5"/>
  <c r="F50" i="5"/>
  <c r="F66" i="5"/>
  <c r="F82" i="5"/>
  <c r="F98" i="5"/>
  <c r="F18" i="5"/>
  <c r="F31" i="5"/>
  <c r="F47" i="5"/>
  <c r="F63" i="5"/>
  <c r="F79" i="5"/>
  <c r="F95" i="5"/>
  <c r="F111" i="5"/>
  <c r="I14" i="5"/>
  <c r="J14" i="5"/>
  <c r="BM11" i="5"/>
  <c r="R11" i="5"/>
  <c r="CV11" i="5"/>
  <c r="CR11" i="5"/>
  <c r="BD11" i="1"/>
  <c r="BD11" i="5"/>
  <c r="CW11" i="5"/>
  <c r="AW11" i="5"/>
  <c r="BS11" i="5"/>
  <c r="AV11" i="5"/>
  <c r="N11" i="5"/>
  <c r="CH12" i="1"/>
  <c r="BO11" i="1"/>
  <c r="AZ11" i="5"/>
  <c r="CM11" i="5"/>
  <c r="X11" i="5"/>
  <c r="CH11" i="5"/>
  <c r="O11" i="5"/>
  <c r="CT11" i="5"/>
  <c r="AH11" i="5"/>
  <c r="AR11" i="5"/>
  <c r="CS11" i="5"/>
  <c r="AG11" i="5"/>
  <c r="BP11" i="5"/>
  <c r="CQ11" i="5"/>
  <c r="AE11" i="5"/>
  <c r="CF11" i="5"/>
  <c r="AP11" i="5"/>
  <c r="BL11" i="5"/>
  <c r="DA11" i="5"/>
  <c r="AO11" i="5"/>
  <c r="M11" i="5"/>
  <c r="AN11" i="5"/>
  <c r="AM11" i="5"/>
  <c r="CB11" i="5"/>
  <c r="CU11" i="5"/>
  <c r="CO11" i="5"/>
  <c r="BV11" i="1"/>
  <c r="BZ11" i="1"/>
  <c r="BQ11" i="5"/>
  <c r="V11" i="5"/>
  <c r="BC11" i="5"/>
  <c r="P11" i="5"/>
  <c r="CC11" i="5"/>
  <c r="K11" i="5"/>
  <c r="L11" i="5"/>
  <c r="CA11" i="5"/>
  <c r="AJ11" i="5"/>
  <c r="CL11" i="5"/>
  <c r="T11" i="5"/>
  <c r="CK11" i="5"/>
  <c r="Y11" i="5"/>
  <c r="CZ11" i="5"/>
  <c r="Q11" i="5"/>
  <c r="AB11" i="5"/>
  <c r="CE11" i="5"/>
  <c r="S11" i="5"/>
  <c r="BZ11" i="5"/>
  <c r="BI11" i="5"/>
  <c r="T12" i="1"/>
  <c r="BB11" i="1"/>
  <c r="CV11" i="1"/>
  <c r="L12" i="1"/>
  <c r="AN11" i="1"/>
  <c r="N12" i="1"/>
  <c r="P11" i="1"/>
  <c r="S12" i="1"/>
  <c r="G11" i="1"/>
  <c r="CG12" i="1"/>
  <c r="CT12" i="1"/>
  <c r="CF12" i="1"/>
  <c r="BA11" i="1"/>
  <c r="AQ12" i="1"/>
  <c r="CW12" i="1"/>
  <c r="BS11" i="1"/>
  <c r="BZ12" i="1"/>
  <c r="CC11" i="1"/>
  <c r="R12" i="1"/>
  <c r="CT11" i="1"/>
  <c r="BM11" i="1"/>
  <c r="BL12" i="1"/>
  <c r="BI12" i="1"/>
  <c r="BY12" i="1"/>
  <c r="BG12" i="1"/>
  <c r="CW11" i="1"/>
  <c r="AW12" i="1"/>
  <c r="V12" i="1"/>
  <c r="U12" i="1"/>
  <c r="W12" i="1"/>
  <c r="AO12" i="1"/>
  <c r="Z11" i="1"/>
  <c r="AR12" i="1"/>
  <c r="AH11" i="1"/>
  <c r="AW11" i="1"/>
  <c r="CB12" i="1"/>
  <c r="AK12" i="1"/>
  <c r="CO11" i="1"/>
  <c r="BG11" i="1"/>
  <c r="Z12" i="1"/>
  <c r="CL12" i="1"/>
  <c r="V11" i="1"/>
  <c r="Q11" i="1"/>
  <c r="BK12" i="1"/>
  <c r="Q12" i="1"/>
  <c r="AG11" i="1"/>
  <c r="AB12" i="1"/>
  <c r="CB11" i="1"/>
  <c r="AY11" i="1"/>
  <c r="AH12" i="1"/>
  <c r="BA12" i="1"/>
  <c r="CU12" i="1"/>
  <c r="BI11" i="1"/>
  <c r="AN12" i="1"/>
  <c r="AZ11" i="1"/>
  <c r="CM11" i="1"/>
  <c r="BF12" i="1"/>
  <c r="X11" i="1"/>
  <c r="CH11" i="1"/>
  <c r="K12" i="1"/>
  <c r="BW12" i="1"/>
  <c r="H11" i="1"/>
  <c r="O11" i="1"/>
  <c r="AJ12" i="1"/>
  <c r="BP11" i="1"/>
  <c r="CQ11" i="1"/>
  <c r="AE11" i="1"/>
  <c r="BB12" i="1"/>
  <c r="CF11" i="1"/>
  <c r="P12" i="1"/>
  <c r="AP11" i="1"/>
  <c r="BC12" i="1"/>
  <c r="BL11" i="1"/>
  <c r="DA11" i="1"/>
  <c r="AO11" i="1"/>
  <c r="M11" i="1"/>
  <c r="AV12" i="1"/>
  <c r="CJ12" i="1"/>
  <c r="BU12" i="1"/>
  <c r="BC11" i="1"/>
  <c r="AD12" i="1"/>
  <c r="CP12" i="1"/>
  <c r="AS12" i="1"/>
  <c r="BN11" i="1"/>
  <c r="K11" i="1"/>
  <c r="CE12" i="1"/>
  <c r="BY11" i="1"/>
  <c r="BM12" i="1"/>
  <c r="R11" i="1"/>
  <c r="CU11" i="1"/>
  <c r="AI11" i="1"/>
  <c r="AX12" i="1"/>
  <c r="CN11" i="1"/>
  <c r="DA12" i="1"/>
  <c r="AD11" i="1"/>
  <c r="AF11" i="1"/>
  <c r="AU12" i="1"/>
  <c r="AR11" i="1"/>
  <c r="H12" i="1"/>
  <c r="CN12" i="1"/>
  <c r="I12" i="1"/>
  <c r="BO12" i="1"/>
  <c r="AQ11" i="1"/>
  <c r="AP12" i="1"/>
  <c r="CX11" i="1"/>
  <c r="BP12" i="1"/>
  <c r="Y12" i="1"/>
  <c r="BH12" i="1"/>
  <c r="M12" i="1"/>
  <c r="J12" i="1"/>
  <c r="BV12" i="1"/>
  <c r="AA12" i="1"/>
  <c r="CM12" i="1"/>
  <c r="BE12" i="1"/>
  <c r="BQ11" i="1"/>
  <c r="F11" i="1"/>
  <c r="BD12" i="1"/>
  <c r="L11" i="1"/>
  <c r="CA11" i="1"/>
  <c r="F12" i="1"/>
  <c r="BR12" i="1"/>
  <c r="AJ11" i="1"/>
  <c r="CL11" i="1"/>
  <c r="G12" i="1"/>
  <c r="BS12" i="1"/>
  <c r="T11" i="1"/>
  <c r="CK11" i="1"/>
  <c r="Y11" i="1"/>
  <c r="CR11" i="1"/>
  <c r="CY11" i="1"/>
  <c r="AM11" i="1"/>
  <c r="AT12" i="1"/>
  <c r="CZ11" i="1"/>
  <c r="CK12" i="1"/>
  <c r="AX11" i="1"/>
  <c r="AF12" i="1"/>
  <c r="BJ11" i="1"/>
  <c r="BX11" i="1"/>
  <c r="AS11" i="1"/>
  <c r="AE12" i="1"/>
  <c r="CQ12" i="1"/>
  <c r="CS11" i="1"/>
  <c r="U11" i="1"/>
  <c r="BT12" i="1"/>
  <c r="AB11" i="1"/>
  <c r="CE11" i="1"/>
  <c r="S11" i="1"/>
  <c r="BN12" i="1"/>
  <c r="AV11" i="1"/>
  <c r="AI12" i="1"/>
  <c r="N11" i="1"/>
  <c r="L6" i="3" l="1"/>
  <c r="E14" i="5"/>
  <c r="E5" i="4"/>
  <c r="E5" i="2"/>
  <c r="CZ12" i="1"/>
  <c r="CC12" i="1"/>
  <c r="BJ12" i="1"/>
  <c r="BF11" i="1"/>
  <c r="AC12" i="1"/>
  <c r="BR11" i="1"/>
  <c r="AL12" i="1"/>
  <c r="CR12" i="1"/>
  <c r="CI11" i="1"/>
  <c r="I15" i="5"/>
  <c r="AZ12" i="1"/>
  <c r="AK11" i="1"/>
  <c r="CD11" i="5"/>
  <c r="BE11" i="5"/>
  <c r="CX12" i="1"/>
  <c r="AY12" i="1"/>
  <c r="CV12" i="1"/>
  <c r="AC11" i="5"/>
  <c r="AK11" i="5"/>
  <c r="AC11" i="1"/>
  <c r="BF11" i="5"/>
  <c r="W11" i="1"/>
  <c r="AM12" i="1"/>
  <c r="BQ12" i="1"/>
  <c r="BH11" i="1"/>
  <c r="CA12" i="1"/>
  <c r="AU11" i="5"/>
  <c r="CI11" i="5"/>
  <c r="AA11" i="5"/>
  <c r="CP11" i="1"/>
  <c r="AG12" i="1"/>
  <c r="O12" i="1"/>
  <c r="AA11" i="1"/>
  <c r="CD12" i="1"/>
  <c r="AT11" i="1"/>
  <c r="CD11" i="1"/>
  <c r="BE11" i="1"/>
  <c r="AU11" i="1"/>
  <c r="CO12" i="1"/>
  <c r="CS12" i="1"/>
  <c r="AT11" i="5"/>
  <c r="AI11" i="5"/>
  <c r="BH11" i="5"/>
  <c r="W11" i="5"/>
  <c r="BR11" i="5"/>
  <c r="X12" i="1"/>
  <c r="CY12" i="1"/>
  <c r="CP11" i="5"/>
  <c r="L7" i="3" l="1"/>
  <c r="E15" i="5"/>
  <c r="E6" i="4"/>
  <c r="E6" i="2"/>
  <c r="I16" i="5"/>
  <c r="J15" i="5"/>
  <c r="D12" i="1"/>
  <c r="D11" i="5"/>
  <c r="L8" i="3" l="1"/>
  <c r="E16" i="5"/>
  <c r="E7" i="2"/>
  <c r="E7" i="4"/>
  <c r="J16" i="5"/>
  <c r="I17" i="5"/>
  <c r="L9" i="3" l="1"/>
  <c r="E17" i="5"/>
  <c r="E8" i="4"/>
  <c r="E8" i="2"/>
  <c r="J17" i="5"/>
  <c r="L10" i="3" l="1"/>
  <c r="E18" i="5"/>
  <c r="E9" i="4"/>
  <c r="E9" i="2"/>
  <c r="J18" i="5"/>
  <c r="I18" i="5"/>
  <c r="L11" i="3" l="1"/>
  <c r="E19" i="5"/>
  <c r="E10" i="4"/>
  <c r="E10" i="2"/>
  <c r="I19" i="5"/>
  <c r="J19" i="5"/>
  <c r="L12" i="3" l="1"/>
  <c r="E20" i="5"/>
  <c r="E11" i="2"/>
  <c r="E11" i="4"/>
  <c r="J20" i="5"/>
  <c r="J21" i="5"/>
  <c r="I20" i="5"/>
  <c r="J22" i="5"/>
  <c r="J23" i="5"/>
  <c r="L13" i="3" l="1"/>
  <c r="E21" i="5"/>
  <c r="E12" i="4"/>
  <c r="E12" i="2"/>
  <c r="J24" i="5"/>
  <c r="I21" i="5"/>
  <c r="L14" i="3" l="1"/>
  <c r="E22" i="5"/>
  <c r="E13" i="2"/>
  <c r="E13" i="4"/>
  <c r="I22" i="5"/>
  <c r="J25" i="5"/>
  <c r="L15" i="3" l="1"/>
  <c r="E23" i="5"/>
  <c r="E14" i="4"/>
  <c r="E14" i="2"/>
  <c r="J26" i="5"/>
  <c r="I23" i="5"/>
  <c r="L16" i="3" l="1"/>
  <c r="E24" i="5"/>
  <c r="E15" i="2"/>
  <c r="E15" i="4"/>
  <c r="I24" i="5"/>
  <c r="J27" i="5"/>
  <c r="L17" i="3" l="1"/>
  <c r="E25" i="5"/>
  <c r="E16" i="4"/>
  <c r="E16" i="2"/>
  <c r="J28" i="5"/>
  <c r="I25" i="5"/>
  <c r="L18" i="3" l="1"/>
  <c r="E26" i="5"/>
  <c r="E17" i="4"/>
  <c r="E17" i="2"/>
  <c r="I26" i="5"/>
  <c r="J29" i="5"/>
  <c r="L19" i="3" l="1"/>
  <c r="E27" i="5"/>
  <c r="E18" i="4"/>
  <c r="E18" i="2"/>
  <c r="J30" i="5"/>
  <c r="I27" i="5"/>
  <c r="L20" i="3" l="1"/>
  <c r="E28" i="5"/>
  <c r="E19" i="4"/>
  <c r="E19" i="2"/>
  <c r="I28" i="5"/>
  <c r="J31" i="5"/>
  <c r="L21" i="3" l="1"/>
  <c r="E29" i="5"/>
  <c r="E20" i="4"/>
  <c r="E20" i="2"/>
  <c r="J32" i="5"/>
  <c r="I29" i="5"/>
  <c r="L22" i="3" l="1"/>
  <c r="E30" i="5"/>
  <c r="E21" i="4"/>
  <c r="E21" i="2"/>
  <c r="I30" i="5"/>
  <c r="J33" i="5"/>
  <c r="L23" i="3" l="1"/>
  <c r="E31" i="5"/>
  <c r="E22" i="4"/>
  <c r="E22" i="2"/>
  <c r="J34" i="5"/>
  <c r="I31" i="5"/>
  <c r="L24" i="3" l="1"/>
  <c r="E32" i="5"/>
  <c r="E23" i="2"/>
  <c r="E23" i="4"/>
  <c r="I32" i="5"/>
  <c r="J35" i="5"/>
  <c r="L25" i="3" l="1"/>
  <c r="E33" i="5"/>
  <c r="E24" i="4"/>
  <c r="E24" i="2"/>
  <c r="J36" i="5"/>
  <c r="I33" i="5"/>
  <c r="L26" i="3" l="1"/>
  <c r="E34" i="5"/>
  <c r="E25" i="4"/>
  <c r="E25" i="2"/>
  <c r="I34" i="5"/>
  <c r="J37" i="5"/>
  <c r="L27" i="3" l="1"/>
  <c r="E35" i="5"/>
  <c r="E26" i="4"/>
  <c r="E26" i="2"/>
  <c r="J38" i="5"/>
  <c r="I35" i="5"/>
  <c r="L28" i="3" l="1"/>
  <c r="E36" i="5"/>
  <c r="E27" i="2"/>
  <c r="E27" i="4"/>
  <c r="I36" i="5"/>
  <c r="J39" i="5"/>
  <c r="L29" i="3" l="1"/>
  <c r="E37" i="5"/>
  <c r="E28" i="4"/>
  <c r="E28" i="2"/>
  <c r="J40" i="5"/>
  <c r="I37" i="5"/>
  <c r="L30" i="3" l="1"/>
  <c r="E38" i="5"/>
  <c r="E29" i="2"/>
  <c r="E29" i="4"/>
  <c r="I38" i="5"/>
  <c r="J41" i="5"/>
  <c r="L31" i="3" l="1"/>
  <c r="E39" i="5"/>
  <c r="E30" i="4"/>
  <c r="E30" i="2"/>
  <c r="J42" i="5"/>
  <c r="I39" i="5"/>
  <c r="L32" i="3" l="1"/>
  <c r="E40" i="5"/>
  <c r="E31" i="2"/>
  <c r="E31" i="4"/>
  <c r="I40" i="5"/>
  <c r="J43" i="5"/>
  <c r="L33" i="3" l="1"/>
  <c r="E41" i="5"/>
  <c r="E32" i="4"/>
  <c r="E32" i="2"/>
  <c r="J44" i="5"/>
  <c r="I41" i="5"/>
  <c r="L34" i="3" l="1"/>
  <c r="E42" i="5"/>
  <c r="E33" i="4"/>
  <c r="E33" i="2"/>
  <c r="I42" i="5"/>
  <c r="J45" i="5"/>
  <c r="L35" i="3" l="1"/>
  <c r="E43" i="5"/>
  <c r="E34" i="4"/>
  <c r="E34" i="2"/>
  <c r="J46" i="5"/>
  <c r="I43" i="5"/>
  <c r="L36" i="3" l="1"/>
  <c r="E44" i="5"/>
  <c r="E35" i="2"/>
  <c r="E35" i="4"/>
  <c r="I44" i="5"/>
  <c r="J47" i="5"/>
  <c r="L37" i="3" l="1"/>
  <c r="E45" i="5"/>
  <c r="E36" i="4"/>
  <c r="E36" i="2"/>
  <c r="J48" i="5"/>
  <c r="I45" i="5"/>
  <c r="L38" i="3" l="1"/>
  <c r="E46" i="5"/>
  <c r="E37" i="4"/>
  <c r="E37" i="2"/>
  <c r="I46" i="5"/>
  <c r="J49" i="5"/>
  <c r="L39" i="3" l="1"/>
  <c r="E47" i="5"/>
  <c r="E38" i="4"/>
  <c r="E38" i="2"/>
  <c r="J50" i="5"/>
  <c r="I47" i="5"/>
  <c r="L40" i="3" l="1"/>
  <c r="E48" i="5"/>
  <c r="E39" i="4"/>
  <c r="E39" i="2"/>
  <c r="I48" i="5"/>
  <c r="J51" i="5"/>
  <c r="L41" i="3" l="1"/>
  <c r="E49" i="5"/>
  <c r="E40" i="4"/>
  <c r="E40" i="2"/>
  <c r="J52" i="5"/>
  <c r="I49" i="5"/>
  <c r="L42" i="3" l="1"/>
  <c r="E50" i="5"/>
  <c r="E41" i="2"/>
  <c r="E41" i="4"/>
  <c r="I50" i="5"/>
  <c r="J53" i="5"/>
  <c r="L43" i="3" l="1"/>
  <c r="E51" i="5"/>
  <c r="E42" i="4"/>
  <c r="E42" i="2"/>
  <c r="J54" i="5"/>
  <c r="I51" i="5"/>
  <c r="L44" i="3" l="1"/>
  <c r="E52" i="5"/>
  <c r="E43" i="2"/>
  <c r="E43" i="4"/>
  <c r="I52" i="5"/>
  <c r="J55" i="5"/>
  <c r="L45" i="3" l="1"/>
  <c r="E53" i="5"/>
  <c r="E44" i="4"/>
  <c r="E44" i="2"/>
  <c r="J56" i="5"/>
  <c r="I53" i="5"/>
  <c r="L46" i="3" l="1"/>
  <c r="E54" i="5"/>
  <c r="E45" i="4"/>
  <c r="E45" i="2"/>
  <c r="I54" i="5"/>
  <c r="J57" i="5"/>
  <c r="L47" i="3" l="1"/>
  <c r="E55" i="5"/>
  <c r="E46" i="4"/>
  <c r="E46" i="2"/>
  <c r="J58" i="5"/>
  <c r="I55" i="5"/>
  <c r="L48" i="3" l="1"/>
  <c r="E56" i="5"/>
  <c r="E47" i="2"/>
  <c r="E47" i="4"/>
  <c r="I56" i="5"/>
  <c r="J59" i="5"/>
  <c r="L49" i="3" l="1"/>
  <c r="E57" i="5"/>
  <c r="E48" i="4"/>
  <c r="E48" i="2"/>
  <c r="J60" i="5"/>
  <c r="I57" i="5"/>
  <c r="L50" i="3" l="1"/>
  <c r="E58" i="5"/>
  <c r="E49" i="4"/>
  <c r="E49" i="2"/>
  <c r="I58" i="5"/>
  <c r="J61" i="5"/>
  <c r="L51" i="3" l="1"/>
  <c r="E59" i="5"/>
  <c r="E50" i="4"/>
  <c r="E50" i="2"/>
  <c r="J62" i="5"/>
  <c r="I59" i="5"/>
  <c r="L52" i="3" l="1"/>
  <c r="E60" i="5"/>
  <c r="E51" i="4"/>
  <c r="E51" i="2"/>
  <c r="I60" i="5"/>
  <c r="J63" i="5"/>
  <c r="L53" i="3" l="1"/>
  <c r="E61" i="5"/>
  <c r="E52" i="4"/>
  <c r="E52" i="2"/>
  <c r="J64" i="5"/>
  <c r="I61" i="5"/>
  <c r="L54" i="3" l="1"/>
  <c r="E62" i="5"/>
  <c r="E53" i="4"/>
  <c r="E53" i="2"/>
  <c r="I62" i="5"/>
  <c r="J65" i="5"/>
  <c r="L55" i="3" l="1"/>
  <c r="E63" i="5"/>
  <c r="E54" i="4"/>
  <c r="E54" i="2"/>
  <c r="J66" i="5"/>
  <c r="I63" i="5"/>
  <c r="L56" i="3" l="1"/>
  <c r="E64" i="5"/>
  <c r="E55" i="2"/>
  <c r="E55" i="4"/>
  <c r="I64" i="5"/>
  <c r="J67" i="5"/>
  <c r="L57" i="3" l="1"/>
  <c r="E65" i="5"/>
  <c r="E56" i="4"/>
  <c r="E56" i="2"/>
  <c r="J68" i="5"/>
  <c r="I65" i="5"/>
  <c r="L58" i="3" l="1"/>
  <c r="E66" i="5"/>
  <c r="E57" i="2"/>
  <c r="E57" i="4"/>
  <c r="I66" i="5"/>
  <c r="J69" i="5"/>
  <c r="L59" i="3" l="1"/>
  <c r="E67" i="5"/>
  <c r="E58" i="4"/>
  <c r="E58" i="2"/>
  <c r="J70" i="5"/>
  <c r="I67" i="5"/>
  <c r="L60" i="3" l="1"/>
  <c r="E68" i="5"/>
  <c r="E59" i="2"/>
  <c r="E59" i="4"/>
  <c r="I68" i="5"/>
  <c r="J71" i="5"/>
  <c r="L61" i="3" l="1"/>
  <c r="E69" i="5"/>
  <c r="E60" i="4"/>
  <c r="E60" i="2"/>
  <c r="J72" i="5"/>
  <c r="I69" i="5"/>
  <c r="L62" i="3" l="1"/>
  <c r="E70" i="5"/>
  <c r="E61" i="4"/>
  <c r="E61" i="2"/>
  <c r="I70" i="5"/>
  <c r="J73" i="5"/>
  <c r="L63" i="3" l="1"/>
  <c r="E71" i="5"/>
  <c r="E62" i="4"/>
  <c r="E62" i="2"/>
  <c r="J74" i="5"/>
  <c r="I71" i="5"/>
  <c r="L64" i="3" l="1"/>
  <c r="E72" i="5"/>
  <c r="E63" i="2"/>
  <c r="E63" i="4"/>
  <c r="I72" i="5"/>
  <c r="J75" i="5"/>
  <c r="L65" i="3" l="1"/>
  <c r="E73" i="5"/>
  <c r="E64" i="4"/>
  <c r="E64" i="2"/>
  <c r="J76" i="5"/>
  <c r="I73" i="5"/>
  <c r="L66" i="3" l="1"/>
  <c r="E74" i="5"/>
  <c r="E65" i="2"/>
  <c r="E65" i="4"/>
  <c r="I74" i="5"/>
  <c r="J77" i="5"/>
  <c r="L67" i="3" l="1"/>
  <c r="E75" i="5"/>
  <c r="E66" i="4"/>
  <c r="E66" i="2"/>
  <c r="J78" i="5"/>
  <c r="I75" i="5"/>
  <c r="L68" i="3" l="1"/>
  <c r="E76" i="5"/>
  <c r="E67" i="4"/>
  <c r="E67" i="2"/>
  <c r="I76" i="5"/>
  <c r="J79" i="5"/>
  <c r="L69" i="3" l="1"/>
  <c r="E77" i="5"/>
  <c r="E68" i="4"/>
  <c r="E68" i="2"/>
  <c r="J80" i="5"/>
  <c r="I77" i="5"/>
  <c r="L70" i="3" l="1"/>
  <c r="E78" i="5"/>
  <c r="E69" i="4"/>
  <c r="E69" i="2"/>
  <c r="I78" i="5"/>
  <c r="J81" i="5"/>
  <c r="L71" i="3" l="1"/>
  <c r="E79" i="5"/>
  <c r="E70" i="4"/>
  <c r="E70" i="2"/>
  <c r="J82" i="5"/>
  <c r="I79" i="5"/>
  <c r="L72" i="3" l="1"/>
  <c r="E80" i="5"/>
  <c r="E71" i="2"/>
  <c r="E71" i="4"/>
  <c r="I80" i="5"/>
  <c r="J83" i="5"/>
  <c r="L73" i="3" l="1"/>
  <c r="E81" i="5"/>
  <c r="E72" i="4"/>
  <c r="E72" i="2"/>
  <c r="J84" i="5"/>
  <c r="I81" i="5"/>
  <c r="L74" i="3" l="1"/>
  <c r="E82" i="5"/>
  <c r="E73" i="4"/>
  <c r="E73" i="2"/>
  <c r="I82" i="5"/>
  <c r="J85" i="5"/>
  <c r="L75" i="3" l="1"/>
  <c r="E83" i="5"/>
  <c r="E74" i="4"/>
  <c r="E74" i="2"/>
  <c r="J86" i="5"/>
  <c r="I83" i="5"/>
  <c r="L76" i="3" l="1"/>
  <c r="E84" i="5"/>
  <c r="E75" i="2"/>
  <c r="E75" i="4"/>
  <c r="I84" i="5"/>
  <c r="J87" i="5"/>
  <c r="L77" i="3" l="1"/>
  <c r="E85" i="5"/>
  <c r="E76" i="4"/>
  <c r="E76" i="2"/>
  <c r="J88" i="5"/>
  <c r="I85" i="5"/>
  <c r="L78" i="3" l="1"/>
  <c r="E86" i="5"/>
  <c r="E77" i="4"/>
  <c r="E77" i="2"/>
  <c r="I86" i="5"/>
  <c r="J89" i="5"/>
  <c r="L79" i="3" l="1"/>
  <c r="E87" i="5"/>
  <c r="E78" i="4"/>
  <c r="E78" i="2"/>
  <c r="J90" i="5"/>
  <c r="I87" i="5"/>
  <c r="L80" i="3" l="1"/>
  <c r="E88" i="5"/>
  <c r="E79" i="2"/>
  <c r="E79" i="4"/>
  <c r="I88" i="5"/>
  <c r="J91" i="5"/>
  <c r="L81" i="3" l="1"/>
  <c r="E89" i="5"/>
  <c r="E80" i="4"/>
  <c r="E80" i="2"/>
  <c r="J92" i="5"/>
  <c r="I89" i="5"/>
  <c r="L82" i="3" l="1"/>
  <c r="E90" i="5"/>
  <c r="E81" i="2"/>
  <c r="E81" i="4"/>
  <c r="I90" i="5"/>
  <c r="J93" i="5"/>
  <c r="L83" i="3" l="1"/>
  <c r="E91" i="5"/>
  <c r="E82" i="4"/>
  <c r="E82" i="2"/>
  <c r="J94" i="5"/>
  <c r="I91" i="5"/>
  <c r="L84" i="3" l="1"/>
  <c r="E92" i="5"/>
  <c r="E83" i="4"/>
  <c r="E83" i="2"/>
  <c r="I92" i="5"/>
  <c r="J95" i="5"/>
  <c r="L85" i="3" l="1"/>
  <c r="E93" i="5"/>
  <c r="E84" i="4"/>
  <c r="E84" i="2"/>
  <c r="J96" i="5"/>
  <c r="I93" i="5"/>
  <c r="L86" i="3" l="1"/>
  <c r="E94" i="5"/>
  <c r="E85" i="4"/>
  <c r="E85" i="2"/>
  <c r="I94" i="5"/>
  <c r="J97" i="5"/>
  <c r="L87" i="3" l="1"/>
  <c r="E95" i="5"/>
  <c r="E86" i="4"/>
  <c r="E86" i="2"/>
  <c r="J98" i="5"/>
  <c r="I95" i="5"/>
  <c r="L88" i="3" l="1"/>
  <c r="E96" i="5"/>
  <c r="E87" i="2"/>
  <c r="E87" i="4"/>
  <c r="I96" i="5"/>
  <c r="J99" i="5"/>
  <c r="L89" i="3" l="1"/>
  <c r="E97" i="5"/>
  <c r="E88" i="4"/>
  <c r="E88" i="2"/>
  <c r="J100" i="5"/>
  <c r="I97" i="5"/>
  <c r="L90" i="3" l="1"/>
  <c r="E98" i="5"/>
  <c r="E89" i="2"/>
  <c r="E89" i="4"/>
  <c r="I98" i="5"/>
  <c r="J101" i="5"/>
  <c r="L91" i="3" l="1"/>
  <c r="E99" i="5"/>
  <c r="E90" i="4"/>
  <c r="E90" i="2"/>
  <c r="J102" i="5"/>
  <c r="I99" i="5"/>
  <c r="L92" i="3" l="1"/>
  <c r="E100" i="5"/>
  <c r="E91" i="2"/>
  <c r="E91" i="4"/>
  <c r="I100" i="5"/>
  <c r="J103" i="5"/>
  <c r="L93" i="3" l="1"/>
  <c r="E101" i="5"/>
  <c r="E92" i="4"/>
  <c r="E92" i="2"/>
  <c r="J104" i="5"/>
  <c r="I101" i="5"/>
  <c r="L94" i="3" l="1"/>
  <c r="E102" i="5"/>
  <c r="E93" i="4"/>
  <c r="E93" i="2"/>
  <c r="I102" i="5"/>
  <c r="J105" i="5"/>
  <c r="L95" i="3" l="1"/>
  <c r="E103" i="5"/>
  <c r="E94" i="4"/>
  <c r="E94" i="2"/>
  <c r="J106" i="5"/>
  <c r="I103" i="5"/>
  <c r="L96" i="3" l="1"/>
  <c r="E104" i="5"/>
  <c r="E95" i="4"/>
  <c r="E95" i="2"/>
  <c r="I104" i="5"/>
  <c r="J107" i="5"/>
  <c r="L97" i="3" l="1"/>
  <c r="E105" i="5"/>
  <c r="E96" i="4"/>
  <c r="E96" i="2"/>
  <c r="J108" i="5"/>
  <c r="I105" i="5"/>
  <c r="L98" i="3" l="1"/>
  <c r="E106" i="5"/>
  <c r="E97" i="4"/>
  <c r="E97" i="2"/>
  <c r="I106" i="5"/>
  <c r="J109" i="5"/>
  <c r="L99" i="3" l="1"/>
  <c r="E107" i="5"/>
  <c r="E98" i="4"/>
  <c r="E98" i="2"/>
  <c r="J110" i="5"/>
  <c r="I107" i="5"/>
  <c r="L100" i="3" l="1"/>
  <c r="E108" i="5"/>
  <c r="E99" i="2"/>
  <c r="E99" i="4"/>
  <c r="I108" i="5"/>
  <c r="J111" i="5"/>
  <c r="J11" i="1"/>
  <c r="L101" i="3" l="1"/>
  <c r="E109" i="5"/>
  <c r="E100" i="4"/>
  <c r="E100" i="2"/>
  <c r="I109" i="5"/>
  <c r="L102" i="3" l="1"/>
  <c r="E110" i="5"/>
  <c r="E101" i="2"/>
  <c r="E101" i="4"/>
  <c r="I110" i="5"/>
  <c r="E111" i="5" l="1"/>
  <c r="E102" i="4"/>
  <c r="E102" i="2"/>
  <c r="I111" i="5"/>
  <c r="I11" i="1"/>
  <c r="D11" i="1" s="1"/>
  <c r="D13" i="1" s="1"/>
</calcChain>
</file>

<file path=xl/comments1.xml><?xml version="1.0" encoding="utf-8"?>
<comments xmlns="http://schemas.openxmlformats.org/spreadsheetml/2006/main">
  <authors>
    <author>Sandoval, Tanya SIPC-ITD/ECM</author>
  </authors>
  <commentList>
    <comment ref="E3" authorId="0">
      <text>
        <r>
          <rPr>
            <sz val="9"/>
            <color indexed="81"/>
            <rFont val="Tahoma"/>
            <family val="2"/>
          </rPr>
          <t>=E2+dt</t>
        </r>
      </text>
    </comment>
  </commentList>
</comments>
</file>

<file path=xl/sharedStrings.xml><?xml version="1.0" encoding="utf-8"?>
<sst xmlns="http://schemas.openxmlformats.org/spreadsheetml/2006/main" count="648" uniqueCount="334">
  <si>
    <t>S_0</t>
  </si>
  <si>
    <t>Time</t>
  </si>
  <si>
    <t>Sim1</t>
  </si>
  <si>
    <t>Sim2</t>
  </si>
  <si>
    <t>Sim3</t>
  </si>
  <si>
    <t>Sim4</t>
  </si>
  <si>
    <t>Sim5</t>
  </si>
  <si>
    <t>Sim6</t>
  </si>
  <si>
    <t>Sim7</t>
  </si>
  <si>
    <t>Sim8</t>
  </si>
  <si>
    <t>Sim9</t>
  </si>
  <si>
    <t>Sim10</t>
  </si>
  <si>
    <t>Sim11</t>
  </si>
  <si>
    <t>Sim12</t>
  </si>
  <si>
    <t>Sim13</t>
  </si>
  <si>
    <t>Sim14</t>
  </si>
  <si>
    <t>Sim15</t>
  </si>
  <si>
    <t>Sim16</t>
  </si>
  <si>
    <t>Sim17</t>
  </si>
  <si>
    <t>Sim18</t>
  </si>
  <si>
    <t>Sim19</t>
  </si>
  <si>
    <t>Sim20</t>
  </si>
  <si>
    <t>Sim21</t>
  </si>
  <si>
    <t>Sim22</t>
  </si>
  <si>
    <t>Sim23</t>
  </si>
  <si>
    <t>Sim24</t>
  </si>
  <si>
    <t>Sim25</t>
  </si>
  <si>
    <t>Sim26</t>
  </si>
  <si>
    <t>Sim27</t>
  </si>
  <si>
    <t>Sim28</t>
  </si>
  <si>
    <t>Sim29</t>
  </si>
  <si>
    <t>Sim30</t>
  </si>
  <si>
    <t>Sim31</t>
  </si>
  <si>
    <t>Sim32</t>
  </si>
  <si>
    <t>Sim33</t>
  </si>
  <si>
    <t>Sim34</t>
  </si>
  <si>
    <t>Sim35</t>
  </si>
  <si>
    <t>Sim36</t>
  </si>
  <si>
    <t>Sim37</t>
  </si>
  <si>
    <t>Sim38</t>
  </si>
  <si>
    <t>Sim39</t>
  </si>
  <si>
    <t>Sim40</t>
  </si>
  <si>
    <t>Sim41</t>
  </si>
  <si>
    <t>Sim42</t>
  </si>
  <si>
    <t>Sim43</t>
  </si>
  <si>
    <t>Sim44</t>
  </si>
  <si>
    <t>Sim45</t>
  </si>
  <si>
    <t>Sim46</t>
  </si>
  <si>
    <t>Sim47</t>
  </si>
  <si>
    <t>Sim48</t>
  </si>
  <si>
    <t>Sim49</t>
  </si>
  <si>
    <t>Sim50</t>
  </si>
  <si>
    <t>Sim51</t>
  </si>
  <si>
    <t>Sim52</t>
  </si>
  <si>
    <t>Sim53</t>
  </si>
  <si>
    <t>Sim54</t>
  </si>
  <si>
    <t>Sim55</t>
  </si>
  <si>
    <t>Sim56</t>
  </si>
  <si>
    <t>Sim57</t>
  </si>
  <si>
    <t>Sim58</t>
  </si>
  <si>
    <t>Sim59</t>
  </si>
  <si>
    <t>Sim60</t>
  </si>
  <si>
    <t>Sim61</t>
  </si>
  <si>
    <t>Sim62</t>
  </si>
  <si>
    <t>Sim63</t>
  </si>
  <si>
    <t>Sim64</t>
  </si>
  <si>
    <t>Sim65</t>
  </si>
  <si>
    <t>Sim66</t>
  </si>
  <si>
    <t>Sim67</t>
  </si>
  <si>
    <t>Sim68</t>
  </si>
  <si>
    <t>Sim69</t>
  </si>
  <si>
    <t>Sim70</t>
  </si>
  <si>
    <t>Sim71</t>
  </si>
  <si>
    <t>Sim72</t>
  </si>
  <si>
    <t>Sim73</t>
  </si>
  <si>
    <t>Sim74</t>
  </si>
  <si>
    <t>Sim75</t>
  </si>
  <si>
    <t>Sim76</t>
  </si>
  <si>
    <t>Sim77</t>
  </si>
  <si>
    <t>Sim78</t>
  </si>
  <si>
    <t>Sim79</t>
  </si>
  <si>
    <t>Sim80</t>
  </si>
  <si>
    <t>Sim81</t>
  </si>
  <si>
    <t>Sim82</t>
  </si>
  <si>
    <t>Sim83</t>
  </si>
  <si>
    <t>Sim84</t>
  </si>
  <si>
    <t>Sim85</t>
  </si>
  <si>
    <t>Sim86</t>
  </si>
  <si>
    <t>Sim87</t>
  </si>
  <si>
    <t>Sim88</t>
  </si>
  <si>
    <t>Sim89</t>
  </si>
  <si>
    <t>Sim90</t>
  </si>
  <si>
    <t>Sim91</t>
  </si>
  <si>
    <t>Sim92</t>
  </si>
  <si>
    <t>Sim93</t>
  </si>
  <si>
    <t>Sim94</t>
  </si>
  <si>
    <t>Sim95</t>
  </si>
  <si>
    <t>Sim96</t>
  </si>
  <si>
    <t>Sim97</t>
  </si>
  <si>
    <t>Sim98</t>
  </si>
  <si>
    <t>Sim99</t>
  </si>
  <si>
    <t>Sim100</t>
  </si>
  <si>
    <t>Strike</t>
  </si>
  <si>
    <t>T-t</t>
  </si>
  <si>
    <t>sigma</t>
  </si>
  <si>
    <t>r</t>
  </si>
  <si>
    <t>dt</t>
  </si>
  <si>
    <t>Disc. Fac.</t>
  </si>
  <si>
    <t>Type</t>
  </si>
  <si>
    <t>Option val</t>
  </si>
  <si>
    <t>Payoff1</t>
  </si>
  <si>
    <t>Payoff2</t>
  </si>
  <si>
    <t>Payoff3</t>
  </si>
  <si>
    <t>Payoff4</t>
  </si>
  <si>
    <t>Payoff5</t>
  </si>
  <si>
    <t>Payoff6</t>
  </si>
  <si>
    <t>Payoff7</t>
  </si>
  <si>
    <t>Payoff8</t>
  </si>
  <si>
    <t>Payoff9</t>
  </si>
  <si>
    <t>Payoff10</t>
  </si>
  <si>
    <t>Payoff11</t>
  </si>
  <si>
    <t>Payoff12</t>
  </si>
  <si>
    <t>Payoff13</t>
  </si>
  <si>
    <t>Payoff14</t>
  </si>
  <si>
    <t>Payoff15</t>
  </si>
  <si>
    <t>Payoff16</t>
  </si>
  <si>
    <t>Payoff17</t>
  </si>
  <si>
    <t>Payoff18</t>
  </si>
  <si>
    <t>Payoff19</t>
  </si>
  <si>
    <t>Payoff20</t>
  </si>
  <si>
    <t>Payoff21</t>
  </si>
  <si>
    <t>Payoff22</t>
  </si>
  <si>
    <t>Payoff23</t>
  </si>
  <si>
    <t>Payoff24</t>
  </si>
  <si>
    <t>Payoff25</t>
  </si>
  <si>
    <t>Payoff26</t>
  </si>
  <si>
    <t>Payoff27</t>
  </si>
  <si>
    <t>Payoff28</t>
  </si>
  <si>
    <t>Payoff29</t>
  </si>
  <si>
    <t>Payoff30</t>
  </si>
  <si>
    <t>Payoff31</t>
  </si>
  <si>
    <t>Payoff32</t>
  </si>
  <si>
    <t>Payoff33</t>
  </si>
  <si>
    <t>Payoff34</t>
  </si>
  <si>
    <t>Payoff35</t>
  </si>
  <si>
    <t>Payoff36</t>
  </si>
  <si>
    <t>Payoff37</t>
  </si>
  <si>
    <t>Payoff38</t>
  </si>
  <si>
    <t>Payoff39</t>
  </si>
  <si>
    <t>Payoff40</t>
  </si>
  <si>
    <t>Payoff41</t>
  </si>
  <si>
    <t>Payoff42</t>
  </si>
  <si>
    <t>Payoff43</t>
  </si>
  <si>
    <t>Payoff44</t>
  </si>
  <si>
    <t>Payoff45</t>
  </si>
  <si>
    <t>Payoff46</t>
  </si>
  <si>
    <t>Payoff47</t>
  </si>
  <si>
    <t>Payoff48</t>
  </si>
  <si>
    <t>Payoff49</t>
  </si>
  <si>
    <t>Payoff50</t>
  </si>
  <si>
    <t>Payoff51</t>
  </si>
  <si>
    <t>Payoff52</t>
  </si>
  <si>
    <t>Payoff53</t>
  </si>
  <si>
    <t>Payoff54</t>
  </si>
  <si>
    <t>Payoff55</t>
  </si>
  <si>
    <t>Payoff56</t>
  </si>
  <si>
    <t>Payoff57</t>
  </si>
  <si>
    <t>Payoff58</t>
  </si>
  <si>
    <t>Payoff59</t>
  </si>
  <si>
    <t>Payoff60</t>
  </si>
  <si>
    <t>Payoff61</t>
  </si>
  <si>
    <t>Payoff62</t>
  </si>
  <si>
    <t>Payoff63</t>
  </si>
  <si>
    <t>Payoff64</t>
  </si>
  <si>
    <t>Payoff65</t>
  </si>
  <si>
    <t>Payoff66</t>
  </si>
  <si>
    <t>Payoff67</t>
  </si>
  <si>
    <t>Payoff68</t>
  </si>
  <si>
    <t>Payoff69</t>
  </si>
  <si>
    <t>Payoff70</t>
  </si>
  <si>
    <t>Payoff71</t>
  </si>
  <si>
    <t>Payoff72</t>
  </si>
  <si>
    <t>Payoff73</t>
  </si>
  <si>
    <t>Payoff74</t>
  </si>
  <si>
    <t>Payoff75</t>
  </si>
  <si>
    <t>Payoff76</t>
  </si>
  <si>
    <t>Payoff77</t>
  </si>
  <si>
    <t>Payoff78</t>
  </si>
  <si>
    <t>Payoff79</t>
  </si>
  <si>
    <t>Payoff80</t>
  </si>
  <si>
    <t>Payoff81</t>
  </si>
  <si>
    <t>Payoff82</t>
  </si>
  <si>
    <t>Payoff83</t>
  </si>
  <si>
    <t>Payoff84</t>
  </si>
  <si>
    <t>Payoff85</t>
  </si>
  <si>
    <t>Payoff86</t>
  </si>
  <si>
    <t>Payoff87</t>
  </si>
  <si>
    <t>Payoff88</t>
  </si>
  <si>
    <t>Payoff89</t>
  </si>
  <si>
    <t>Payoff90</t>
  </si>
  <si>
    <t>Payoff91</t>
  </si>
  <si>
    <t>Payoff92</t>
  </si>
  <si>
    <t>Payoff93</t>
  </si>
  <si>
    <t>Payoff94</t>
  </si>
  <si>
    <t>Payoff95</t>
  </si>
  <si>
    <t>Payoff96</t>
  </si>
  <si>
    <t>Payoff97</t>
  </si>
  <si>
    <t>Payoff98</t>
  </si>
  <si>
    <t>Payoff99</t>
  </si>
  <si>
    <t>Payoff100</t>
  </si>
  <si>
    <t>Rand100</t>
  </si>
  <si>
    <t>Rand99</t>
  </si>
  <si>
    <t>Rand98</t>
  </si>
  <si>
    <t>Rand97</t>
  </si>
  <si>
    <t>Rand96</t>
  </si>
  <si>
    <t>Rand95</t>
  </si>
  <si>
    <t>Rand94</t>
  </si>
  <si>
    <t>Rand93</t>
  </si>
  <si>
    <t>Rand92</t>
  </si>
  <si>
    <t>Rand91</t>
  </si>
  <si>
    <t>Rand90</t>
  </si>
  <si>
    <t>Rand89</t>
  </si>
  <si>
    <t>Rand88</t>
  </si>
  <si>
    <t>Rand87</t>
  </si>
  <si>
    <t>Rand86</t>
  </si>
  <si>
    <t>Rand85</t>
  </si>
  <si>
    <t>Rand84</t>
  </si>
  <si>
    <t>Rand83</t>
  </si>
  <si>
    <t>Rand82</t>
  </si>
  <si>
    <t>Rand81</t>
  </si>
  <si>
    <t>Rand80</t>
  </si>
  <si>
    <t>Rand79</t>
  </si>
  <si>
    <t>Rand78</t>
  </si>
  <si>
    <t>Rand77</t>
  </si>
  <si>
    <t>Rand76</t>
  </si>
  <si>
    <t>Rand75</t>
  </si>
  <si>
    <t>Rand74</t>
  </si>
  <si>
    <t>Rand73</t>
  </si>
  <si>
    <t>Rand72</t>
  </si>
  <si>
    <t>Rand71</t>
  </si>
  <si>
    <t>Rand70</t>
  </si>
  <si>
    <t>Rand69</t>
  </si>
  <si>
    <t>Rand68</t>
  </si>
  <si>
    <t>Rand67</t>
  </si>
  <si>
    <t>Rand66</t>
  </si>
  <si>
    <t>Rand65</t>
  </si>
  <si>
    <t>Rand64</t>
  </si>
  <si>
    <t>Rand63</t>
  </si>
  <si>
    <t>Rand62</t>
  </si>
  <si>
    <t>Rand61</t>
  </si>
  <si>
    <t>Rand60</t>
  </si>
  <si>
    <t>Rand59</t>
  </si>
  <si>
    <t>Rand58</t>
  </si>
  <si>
    <t>Rand57</t>
  </si>
  <si>
    <t>Rand56</t>
  </si>
  <si>
    <t>Rand55</t>
  </si>
  <si>
    <t>Rand54</t>
  </si>
  <si>
    <t>Rand53</t>
  </si>
  <si>
    <t>Rand52</t>
  </si>
  <si>
    <t>Rand51</t>
  </si>
  <si>
    <t>Rand50</t>
  </si>
  <si>
    <t>Rand49</t>
  </si>
  <si>
    <t>Rand48</t>
  </si>
  <si>
    <t>Rand47</t>
  </si>
  <si>
    <t>Rand46</t>
  </si>
  <si>
    <t>Rand45</t>
  </si>
  <si>
    <t>Rand44</t>
  </si>
  <si>
    <t>Rand43</t>
  </si>
  <si>
    <t>Rand42</t>
  </si>
  <si>
    <t>Rand41</t>
  </si>
  <si>
    <t>Rand40</t>
  </si>
  <si>
    <t>Rand39</t>
  </si>
  <si>
    <t>Rand38</t>
  </si>
  <si>
    <t>Rand37</t>
  </si>
  <si>
    <t>Rand36</t>
  </si>
  <si>
    <t>Rand35</t>
  </si>
  <si>
    <t>Rand34</t>
  </si>
  <si>
    <t>Rand33</t>
  </si>
  <si>
    <t>Rand32</t>
  </si>
  <si>
    <t>Rand31</t>
  </si>
  <si>
    <t>Rand30</t>
  </si>
  <si>
    <t>Rand29</t>
  </si>
  <si>
    <t>Rand28</t>
  </si>
  <si>
    <t>Rand27</t>
  </si>
  <si>
    <t>Rand26</t>
  </si>
  <si>
    <t>Rand25</t>
  </si>
  <si>
    <t>Rand24</t>
  </si>
  <si>
    <t>Rand23</t>
  </si>
  <si>
    <t>Rand22</t>
  </si>
  <si>
    <t>Rand21</t>
  </si>
  <si>
    <t>Rand20</t>
  </si>
  <si>
    <t>Rand19</t>
  </si>
  <si>
    <t>Rand18</t>
  </si>
  <si>
    <t>Rand17</t>
  </si>
  <si>
    <t>Rand16</t>
  </si>
  <si>
    <t>Rand15</t>
  </si>
  <si>
    <t>Rand14</t>
  </si>
  <si>
    <t>Rand13</t>
  </si>
  <si>
    <t>Rand12</t>
  </si>
  <si>
    <t>Rand11</t>
  </si>
  <si>
    <t>Rand10</t>
  </si>
  <si>
    <t>Rand9</t>
  </si>
  <si>
    <t>Rand8</t>
  </si>
  <si>
    <t>Rand7</t>
  </si>
  <si>
    <t>Rand6</t>
  </si>
  <si>
    <t>Rand5</t>
  </si>
  <si>
    <t>Rand4</t>
  </si>
  <si>
    <t>Rand3</t>
  </si>
  <si>
    <t>Rand2</t>
  </si>
  <si>
    <t>Rand1</t>
  </si>
  <si>
    <t>C_plus</t>
  </si>
  <si>
    <t>C_minus</t>
  </si>
  <si>
    <t>C_average</t>
  </si>
  <si>
    <t>Sampling</t>
  </si>
  <si>
    <t>Mode</t>
  </si>
  <si>
    <t>Arithmetic</t>
  </si>
  <si>
    <t>Continuous</t>
  </si>
  <si>
    <t>time</t>
  </si>
  <si>
    <t>sim1</t>
  </si>
  <si>
    <t>sim2</t>
  </si>
  <si>
    <t>sim3</t>
  </si>
  <si>
    <t>sim4</t>
  </si>
  <si>
    <t>sim5</t>
  </si>
  <si>
    <t>sim6</t>
  </si>
  <si>
    <t>\</t>
  </si>
  <si>
    <t>A_c</t>
  </si>
  <si>
    <t>A_d_4</t>
  </si>
  <si>
    <t>d_4</t>
  </si>
  <si>
    <t>d_10</t>
  </si>
  <si>
    <t>A_d_10</t>
  </si>
  <si>
    <t>diff_d_4</t>
  </si>
  <si>
    <t>diff_d_10</t>
  </si>
  <si>
    <t>G_c</t>
  </si>
  <si>
    <t>ln(S)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</si>
</sst>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0"/>
    <numFmt numFmtId="165" formatCode="0.000000"/>
    <numFmt numFmtId="166" formatCode="0.0000000"/>
    <numFmt numFmtId="167" formatCode="0.00000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0" xfId="0" applyFill="1"/>
    <xf numFmtId="0" fontId="1" fillId="0" borderId="0" xfId="0" applyFont="1"/>
    <xf numFmtId="0" fontId="0" fillId="0" borderId="0" xfId="0" applyFill="1"/>
    <xf numFmtId="0" fontId="0" fillId="0" borderId="0" xfId="0" applyFont="1"/>
    <xf numFmtId="164" fontId="0" fillId="0" borderId="0" xfId="0" applyNumberFormat="1"/>
    <xf numFmtId="165" fontId="0" fillId="0" borderId="0" xfId="0" applyNumberFormat="1"/>
    <xf numFmtId="165" fontId="0" fillId="0" borderId="0" xfId="0" applyNumberFormat="1" applyAlignment="1">
      <alignment horizontal="left"/>
    </xf>
    <xf numFmtId="166" fontId="0" fillId="0" borderId="0" xfId="0" applyNumberFormat="1"/>
    <xf numFmtId="167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Call_plus</a:t>
            </a:r>
          </a:p>
          <a:p>
            <a:pPr>
              <a:defRPr/>
            </a:pPr>
            <a:r>
              <a:rPr lang="en-US"/>
              <a:t> Payoff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Call Payoff</c:v>
          </c:tx>
          <c:spPr>
            <a:ln w="28575">
              <a:noFill/>
            </a:ln>
          </c:spPr>
          <c:xVal>
            <c:numRef>
              <c:f>S_plus!$M$102:$DH$102</c:f>
              <c:numCache>
                <c:formatCode>General</c:formatCode>
                <c:ptCount val="100"/>
                <c:pt idx="0">
                  <c:v>79.786457646399995</c:v>
                </c:pt>
                <c:pt idx="1">
                  <c:v>109.26364646899999</c:v>
                </c:pt>
                <c:pt idx="2">
                  <c:v>102.081532831</c:v>
                </c:pt>
                <c:pt idx="3">
                  <c:v>91.014539925500003</c:v>
                </c:pt>
                <c:pt idx="4">
                  <c:v>66.3365382737</c:v>
                </c:pt>
                <c:pt idx="5">
                  <c:v>98.523446429800003</c:v>
                </c:pt>
                <c:pt idx="6">
                  <c:v>97.413577671400006</c:v>
                </c:pt>
                <c:pt idx="7">
                  <c:v>98.769120771600001</c:v>
                </c:pt>
                <c:pt idx="8">
                  <c:v>111.213842744</c:v>
                </c:pt>
                <c:pt idx="9">
                  <c:v>139.79379029500001</c:v>
                </c:pt>
                <c:pt idx="10">
                  <c:v>94.337950356099995</c:v>
                </c:pt>
                <c:pt idx="11">
                  <c:v>132.66823680499999</c:v>
                </c:pt>
                <c:pt idx="12">
                  <c:v>89.779985723400003</c:v>
                </c:pt>
                <c:pt idx="13">
                  <c:v>90.903540713200002</c:v>
                </c:pt>
                <c:pt idx="14">
                  <c:v>92.6589161948</c:v>
                </c:pt>
                <c:pt idx="15">
                  <c:v>98.841343047999999</c:v>
                </c:pt>
                <c:pt idx="16">
                  <c:v>83.735123966100005</c:v>
                </c:pt>
                <c:pt idx="17">
                  <c:v>87.529478935200004</c:v>
                </c:pt>
                <c:pt idx="18">
                  <c:v>124.014307453</c:v>
                </c:pt>
                <c:pt idx="19">
                  <c:v>132.916989226</c:v>
                </c:pt>
                <c:pt idx="20">
                  <c:v>115.212228091</c:v>
                </c:pt>
                <c:pt idx="21">
                  <c:v>107.48532954700001</c:v>
                </c:pt>
                <c:pt idx="22">
                  <c:v>82.499792795100007</c:v>
                </c:pt>
                <c:pt idx="23">
                  <c:v>89.955125056599996</c:v>
                </c:pt>
                <c:pt idx="24">
                  <c:v>90.101311575099999</c:v>
                </c:pt>
                <c:pt idx="25">
                  <c:v>136.837745544</c:v>
                </c:pt>
                <c:pt idx="26">
                  <c:v>107.677553887</c:v>
                </c:pt>
                <c:pt idx="27">
                  <c:v>87.913569730700004</c:v>
                </c:pt>
                <c:pt idx="28">
                  <c:v>111.81510859399999</c:v>
                </c:pt>
                <c:pt idx="29">
                  <c:v>93.0575334177</c:v>
                </c:pt>
                <c:pt idx="30">
                  <c:v>109.270887182</c:v>
                </c:pt>
                <c:pt idx="31">
                  <c:v>89.743163913299995</c:v>
                </c:pt>
                <c:pt idx="32">
                  <c:v>126.077077425</c:v>
                </c:pt>
                <c:pt idx="33">
                  <c:v>98.0742837584</c:v>
                </c:pt>
                <c:pt idx="34">
                  <c:v>127.690001732</c:v>
                </c:pt>
                <c:pt idx="35">
                  <c:v>118.401014246</c:v>
                </c:pt>
                <c:pt idx="36">
                  <c:v>114.48042743000001</c:v>
                </c:pt>
                <c:pt idx="37">
                  <c:v>87.159578359899996</c:v>
                </c:pt>
                <c:pt idx="38">
                  <c:v>90.477026760699999</c:v>
                </c:pt>
                <c:pt idx="39">
                  <c:v>131.83587057599999</c:v>
                </c:pt>
                <c:pt idx="40">
                  <c:v>114.059169774</c:v>
                </c:pt>
                <c:pt idx="41">
                  <c:v>106.61706357200001</c:v>
                </c:pt>
                <c:pt idx="42">
                  <c:v>116.499369853</c:v>
                </c:pt>
                <c:pt idx="43">
                  <c:v>125.022070568</c:v>
                </c:pt>
                <c:pt idx="44">
                  <c:v>94.943398966299995</c:v>
                </c:pt>
                <c:pt idx="45">
                  <c:v>84.757109372100004</c:v>
                </c:pt>
                <c:pt idx="46">
                  <c:v>73.369551772600005</c:v>
                </c:pt>
                <c:pt idx="47">
                  <c:v>123.034703974</c:v>
                </c:pt>
                <c:pt idx="48">
                  <c:v>110.562281222</c:v>
                </c:pt>
                <c:pt idx="49">
                  <c:v>106.596745989</c:v>
                </c:pt>
                <c:pt idx="50">
                  <c:v>103.027047302</c:v>
                </c:pt>
                <c:pt idx="51">
                  <c:v>76.158084828599996</c:v>
                </c:pt>
                <c:pt idx="52">
                  <c:v>108.363156719</c:v>
                </c:pt>
                <c:pt idx="53">
                  <c:v>117.624971641</c:v>
                </c:pt>
                <c:pt idx="54">
                  <c:v>82.995844508700003</c:v>
                </c:pt>
                <c:pt idx="55">
                  <c:v>73.197353734000004</c:v>
                </c:pt>
                <c:pt idx="56">
                  <c:v>97.242752522200007</c:v>
                </c:pt>
                <c:pt idx="57">
                  <c:v>119.98093916800001</c:v>
                </c:pt>
                <c:pt idx="58">
                  <c:v>121.730536253</c:v>
                </c:pt>
                <c:pt idx="59">
                  <c:v>130.12271998899999</c:v>
                </c:pt>
                <c:pt idx="60">
                  <c:v>88.327122280200001</c:v>
                </c:pt>
                <c:pt idx="61">
                  <c:v>112.970070513</c:v>
                </c:pt>
                <c:pt idx="62">
                  <c:v>126.953443892</c:v>
                </c:pt>
                <c:pt idx="63">
                  <c:v>77.245023311400004</c:v>
                </c:pt>
                <c:pt idx="64">
                  <c:v>82.393214740800005</c:v>
                </c:pt>
                <c:pt idx="65">
                  <c:v>148.02609429699999</c:v>
                </c:pt>
                <c:pt idx="66">
                  <c:v>82.567306097300005</c:v>
                </c:pt>
                <c:pt idx="67">
                  <c:v>85.212399596300003</c:v>
                </c:pt>
                <c:pt idx="68">
                  <c:v>76.222821455200005</c:v>
                </c:pt>
                <c:pt idx="69">
                  <c:v>107.2219817</c:v>
                </c:pt>
                <c:pt idx="70">
                  <c:v>81.6771318049</c:v>
                </c:pt>
                <c:pt idx="71">
                  <c:v>72.024807093199996</c:v>
                </c:pt>
                <c:pt idx="72">
                  <c:v>110.251030863</c:v>
                </c:pt>
                <c:pt idx="73">
                  <c:v>125.567341427</c:v>
                </c:pt>
                <c:pt idx="74">
                  <c:v>86.279920320499997</c:v>
                </c:pt>
                <c:pt idx="75">
                  <c:v>93.7353451627</c:v>
                </c:pt>
                <c:pt idx="76">
                  <c:v>86.650282848499998</c:v>
                </c:pt>
                <c:pt idx="77">
                  <c:v>84.938260103100006</c:v>
                </c:pt>
                <c:pt idx="78">
                  <c:v>91.630858505299997</c:v>
                </c:pt>
                <c:pt idx="79">
                  <c:v>109.245129918</c:v>
                </c:pt>
                <c:pt idx="80">
                  <c:v>168.32147416500001</c:v>
                </c:pt>
                <c:pt idx="81">
                  <c:v>86.032819421300005</c:v>
                </c:pt>
                <c:pt idx="82">
                  <c:v>96.961474263900001</c:v>
                </c:pt>
                <c:pt idx="83">
                  <c:v>105.059358675</c:v>
                </c:pt>
                <c:pt idx="84">
                  <c:v>83.351295963499993</c:v>
                </c:pt>
                <c:pt idx="85">
                  <c:v>119.17341175200001</c:v>
                </c:pt>
                <c:pt idx="86">
                  <c:v>126.824008652</c:v>
                </c:pt>
                <c:pt idx="87">
                  <c:v>84.245290261799994</c:v>
                </c:pt>
                <c:pt idx="88">
                  <c:v>103.874753871</c:v>
                </c:pt>
                <c:pt idx="89">
                  <c:v>126.21362697799999</c:v>
                </c:pt>
                <c:pt idx="90">
                  <c:v>101.183465994</c:v>
                </c:pt>
                <c:pt idx="91">
                  <c:v>118.53526859500001</c:v>
                </c:pt>
                <c:pt idx="92">
                  <c:v>103.940819592</c:v>
                </c:pt>
                <c:pt idx="93">
                  <c:v>69.120721688299994</c:v>
                </c:pt>
                <c:pt idx="94">
                  <c:v>115.359499441</c:v>
                </c:pt>
                <c:pt idx="95">
                  <c:v>102.116541286</c:v>
                </c:pt>
                <c:pt idx="96">
                  <c:v>103.35093806</c:v>
                </c:pt>
                <c:pt idx="97">
                  <c:v>81.996183911000003</c:v>
                </c:pt>
                <c:pt idx="98">
                  <c:v>87.832134911099999</c:v>
                </c:pt>
                <c:pt idx="99">
                  <c:v>79.515175946699998</c:v>
                </c:pt>
              </c:numCache>
            </c:numRef>
          </c:xVal>
          <c:yVal>
            <c:numRef>
              <c:f>Asian!$F$11:$DA$11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5.7447214753257612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9.4661495792920647</c:v>
                </c:pt>
                <c:pt idx="7">
                  <c:v>0</c:v>
                </c:pt>
                <c:pt idx="8">
                  <c:v>12.808194240663383</c:v>
                </c:pt>
                <c:pt idx="9">
                  <c:v>13.830639308603892</c:v>
                </c:pt>
                <c:pt idx="10">
                  <c:v>4.4286354372445658</c:v>
                </c:pt>
                <c:pt idx="11">
                  <c:v>19.072724275811922</c:v>
                </c:pt>
                <c:pt idx="12">
                  <c:v>0</c:v>
                </c:pt>
                <c:pt idx="13">
                  <c:v>5.5087029557009828</c:v>
                </c:pt>
                <c:pt idx="14">
                  <c:v>3.9584064339415335</c:v>
                </c:pt>
                <c:pt idx="15">
                  <c:v>1.7529843177346009</c:v>
                </c:pt>
                <c:pt idx="16">
                  <c:v>0</c:v>
                </c:pt>
                <c:pt idx="17">
                  <c:v>0</c:v>
                </c:pt>
                <c:pt idx="18">
                  <c:v>25.892813451272275</c:v>
                </c:pt>
                <c:pt idx="19">
                  <c:v>15.965684652565429</c:v>
                </c:pt>
                <c:pt idx="20">
                  <c:v>9.4127114050613869</c:v>
                </c:pt>
                <c:pt idx="21">
                  <c:v>9.448319902482254</c:v>
                </c:pt>
                <c:pt idx="22">
                  <c:v>0</c:v>
                </c:pt>
                <c:pt idx="23">
                  <c:v>0</c:v>
                </c:pt>
                <c:pt idx="24">
                  <c:v>7.6413870233346728</c:v>
                </c:pt>
                <c:pt idx="25">
                  <c:v>9.6676394211712875</c:v>
                </c:pt>
                <c:pt idx="26">
                  <c:v>0</c:v>
                </c:pt>
                <c:pt idx="27">
                  <c:v>8.6018389590851427</c:v>
                </c:pt>
                <c:pt idx="28">
                  <c:v>0.82326849910295152</c:v>
                </c:pt>
                <c:pt idx="29">
                  <c:v>0</c:v>
                </c:pt>
                <c:pt idx="30">
                  <c:v>8.0345739544415835</c:v>
                </c:pt>
                <c:pt idx="31">
                  <c:v>0</c:v>
                </c:pt>
                <c:pt idx="32">
                  <c:v>20.944695519953484</c:v>
                </c:pt>
                <c:pt idx="33">
                  <c:v>0</c:v>
                </c:pt>
                <c:pt idx="34">
                  <c:v>7.6661231477267364</c:v>
                </c:pt>
                <c:pt idx="35">
                  <c:v>11.78453995565738</c:v>
                </c:pt>
                <c:pt idx="36">
                  <c:v>15.049619312712878</c:v>
                </c:pt>
                <c:pt idx="37">
                  <c:v>0</c:v>
                </c:pt>
                <c:pt idx="38">
                  <c:v>0</c:v>
                </c:pt>
                <c:pt idx="39">
                  <c:v>21.083317132207895</c:v>
                </c:pt>
                <c:pt idx="40">
                  <c:v>16.436221864990102</c:v>
                </c:pt>
                <c:pt idx="41">
                  <c:v>5.7527895423247344</c:v>
                </c:pt>
                <c:pt idx="42">
                  <c:v>12.526322069962404</c:v>
                </c:pt>
                <c:pt idx="43">
                  <c:v>9.4853184569039257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5.0311829185990149</c:v>
                </c:pt>
                <c:pt idx="48">
                  <c:v>6.9187123450663393</c:v>
                </c:pt>
                <c:pt idx="49">
                  <c:v>7.5051729285425779</c:v>
                </c:pt>
                <c:pt idx="50">
                  <c:v>0</c:v>
                </c:pt>
                <c:pt idx="51">
                  <c:v>0</c:v>
                </c:pt>
                <c:pt idx="52">
                  <c:v>5.1071963660356232</c:v>
                </c:pt>
                <c:pt idx="53">
                  <c:v>6.9508773879277186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9.8847322871425547</c:v>
                </c:pt>
                <c:pt idx="58">
                  <c:v>10.869300663973277</c:v>
                </c:pt>
                <c:pt idx="59">
                  <c:v>15.03462851432279</c:v>
                </c:pt>
                <c:pt idx="60">
                  <c:v>0</c:v>
                </c:pt>
                <c:pt idx="61">
                  <c:v>0</c:v>
                </c:pt>
                <c:pt idx="62">
                  <c:v>2.1002887094197433</c:v>
                </c:pt>
                <c:pt idx="63">
                  <c:v>0</c:v>
                </c:pt>
                <c:pt idx="64">
                  <c:v>0</c:v>
                </c:pt>
                <c:pt idx="65">
                  <c:v>11.932562735051448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0.53846172499800105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18.100649784089057</c:v>
                </c:pt>
                <c:pt idx="74">
                  <c:v>0</c:v>
                </c:pt>
                <c:pt idx="75">
                  <c:v>0.1772843395524859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31.673313178475212</c:v>
                </c:pt>
                <c:pt idx="81">
                  <c:v>0</c:v>
                </c:pt>
                <c:pt idx="82">
                  <c:v>0</c:v>
                </c:pt>
                <c:pt idx="83">
                  <c:v>1.5148231896198041</c:v>
                </c:pt>
                <c:pt idx="84">
                  <c:v>0.57758764005450303</c:v>
                </c:pt>
                <c:pt idx="85">
                  <c:v>16.685232499382181</c:v>
                </c:pt>
                <c:pt idx="86">
                  <c:v>7.413843117759356</c:v>
                </c:pt>
                <c:pt idx="87">
                  <c:v>0</c:v>
                </c:pt>
                <c:pt idx="88">
                  <c:v>7.368920332407896</c:v>
                </c:pt>
                <c:pt idx="89">
                  <c:v>18.780972396679232</c:v>
                </c:pt>
                <c:pt idx="90">
                  <c:v>9.4875272457000079</c:v>
                </c:pt>
                <c:pt idx="91">
                  <c:v>8.5230104364772075</c:v>
                </c:pt>
                <c:pt idx="92">
                  <c:v>14.02619007689502</c:v>
                </c:pt>
                <c:pt idx="93">
                  <c:v>0</c:v>
                </c:pt>
                <c:pt idx="94">
                  <c:v>4.1089106076703104</c:v>
                </c:pt>
                <c:pt idx="95">
                  <c:v>0</c:v>
                </c:pt>
                <c:pt idx="96">
                  <c:v>3.5767627711504701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480320"/>
        <c:axId val="109212416"/>
      </c:scatterChart>
      <c:valAx>
        <c:axId val="1034803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9212416"/>
        <c:crosses val="autoZero"/>
        <c:crossBetween val="midCat"/>
      </c:valAx>
      <c:valAx>
        <c:axId val="1092124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348032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Monte</a:t>
            </a:r>
            <a:r>
              <a:rPr lang="en-GB" baseline="0"/>
              <a:t> Carlo S_plus</a:t>
            </a:r>
            <a:endParaRPr lang="en-GB"/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S_plus!$M$1</c:f>
              <c:strCache>
                <c:ptCount val="1"/>
                <c:pt idx="0">
                  <c:v>Sim1</c:v>
                </c:pt>
              </c:strCache>
            </c:strRef>
          </c:tx>
          <c:marker>
            <c:symbol val="none"/>
          </c:marker>
          <c:xVal>
            <c:numRef>
              <c:f>S_plus!$L$2:$L$102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S_plus!$M$2:$M$102</c:f>
              <c:numCache>
                <c:formatCode>General</c:formatCode>
                <c:ptCount val="101"/>
                <c:pt idx="0">
                  <c:v>100</c:v>
                </c:pt>
                <c:pt idx="1">
                  <c:v>99.252408283999998</c:v>
                </c:pt>
                <c:pt idx="2">
                  <c:v>97.092110909699997</c:v>
                </c:pt>
                <c:pt idx="3">
                  <c:v>97.948084297400001</c:v>
                </c:pt>
                <c:pt idx="4">
                  <c:v>94.611798193200002</c:v>
                </c:pt>
                <c:pt idx="5">
                  <c:v>94.361651823399995</c:v>
                </c:pt>
                <c:pt idx="6">
                  <c:v>96.642321633500003</c:v>
                </c:pt>
                <c:pt idx="7">
                  <c:v>93.982636959999994</c:v>
                </c:pt>
                <c:pt idx="8">
                  <c:v>94.253488593699998</c:v>
                </c:pt>
                <c:pt idx="9">
                  <c:v>92.520747708800002</c:v>
                </c:pt>
                <c:pt idx="10">
                  <c:v>92.480502543399993</c:v>
                </c:pt>
                <c:pt idx="11">
                  <c:v>89.564043385299996</c:v>
                </c:pt>
                <c:pt idx="12">
                  <c:v>87.442307152300003</c:v>
                </c:pt>
                <c:pt idx="13">
                  <c:v>84.098445528400006</c:v>
                </c:pt>
                <c:pt idx="14">
                  <c:v>85.379256147199996</c:v>
                </c:pt>
                <c:pt idx="15">
                  <c:v>85.263425749800007</c:v>
                </c:pt>
                <c:pt idx="16">
                  <c:v>85.645603839000003</c:v>
                </c:pt>
                <c:pt idx="17">
                  <c:v>84.920635800699998</c:v>
                </c:pt>
                <c:pt idx="18">
                  <c:v>87.500254019400003</c:v>
                </c:pt>
                <c:pt idx="19">
                  <c:v>84.344633133800002</c:v>
                </c:pt>
                <c:pt idx="20">
                  <c:v>85.2057388618</c:v>
                </c:pt>
                <c:pt idx="21">
                  <c:v>84.529749346800003</c:v>
                </c:pt>
                <c:pt idx="22">
                  <c:v>87.177049282699997</c:v>
                </c:pt>
                <c:pt idx="23">
                  <c:v>88.826550597500002</c:v>
                </c:pt>
                <c:pt idx="24">
                  <c:v>88.142619519099995</c:v>
                </c:pt>
                <c:pt idx="25">
                  <c:v>86.572764347499998</c:v>
                </c:pt>
                <c:pt idx="26">
                  <c:v>87.073465443200007</c:v>
                </c:pt>
                <c:pt idx="27">
                  <c:v>85.576567155299998</c:v>
                </c:pt>
                <c:pt idx="28">
                  <c:v>84.674835373099995</c:v>
                </c:pt>
                <c:pt idx="29">
                  <c:v>86.379619892899996</c:v>
                </c:pt>
                <c:pt idx="30">
                  <c:v>89.158730864800006</c:v>
                </c:pt>
                <c:pt idx="31">
                  <c:v>89.400591001400002</c:v>
                </c:pt>
                <c:pt idx="32">
                  <c:v>88.365949475500003</c:v>
                </c:pt>
                <c:pt idx="33">
                  <c:v>91.244788870700006</c:v>
                </c:pt>
                <c:pt idx="34">
                  <c:v>88.969787347099995</c:v>
                </c:pt>
                <c:pt idx="35">
                  <c:v>88.066760232600004</c:v>
                </c:pt>
                <c:pt idx="36">
                  <c:v>88.537006159499995</c:v>
                </c:pt>
                <c:pt idx="37">
                  <c:v>90.915502935800006</c:v>
                </c:pt>
                <c:pt idx="38">
                  <c:v>91.925068089000007</c:v>
                </c:pt>
                <c:pt idx="39">
                  <c:v>93.517150362699994</c:v>
                </c:pt>
                <c:pt idx="40">
                  <c:v>93.811701601300001</c:v>
                </c:pt>
                <c:pt idx="41">
                  <c:v>92.359194349600003</c:v>
                </c:pt>
                <c:pt idx="42">
                  <c:v>93.722449377499998</c:v>
                </c:pt>
                <c:pt idx="43">
                  <c:v>94.027785951599995</c:v>
                </c:pt>
                <c:pt idx="44">
                  <c:v>93.858559464400003</c:v>
                </c:pt>
                <c:pt idx="45">
                  <c:v>92.245380988299999</c:v>
                </c:pt>
                <c:pt idx="46">
                  <c:v>94.473943104599996</c:v>
                </c:pt>
                <c:pt idx="47">
                  <c:v>93.799876745099994</c:v>
                </c:pt>
                <c:pt idx="48">
                  <c:v>94.031810637999996</c:v>
                </c:pt>
                <c:pt idx="49">
                  <c:v>95.525788137800006</c:v>
                </c:pt>
                <c:pt idx="50">
                  <c:v>96.723029448000005</c:v>
                </c:pt>
                <c:pt idx="51">
                  <c:v>97.383575036099998</c:v>
                </c:pt>
                <c:pt idx="52">
                  <c:v>100.154882941</c:v>
                </c:pt>
                <c:pt idx="53">
                  <c:v>100.495377092</c:v>
                </c:pt>
                <c:pt idx="54">
                  <c:v>101.4031193</c:v>
                </c:pt>
                <c:pt idx="55">
                  <c:v>100.285899864</c:v>
                </c:pt>
                <c:pt idx="56">
                  <c:v>98.551606753599998</c:v>
                </c:pt>
                <c:pt idx="57">
                  <c:v>95.162534950500003</c:v>
                </c:pt>
                <c:pt idx="58">
                  <c:v>90.804298658899995</c:v>
                </c:pt>
                <c:pt idx="59">
                  <c:v>92.245913228399999</c:v>
                </c:pt>
                <c:pt idx="60">
                  <c:v>92.272060384100001</c:v>
                </c:pt>
                <c:pt idx="61">
                  <c:v>91.300474944300007</c:v>
                </c:pt>
                <c:pt idx="62">
                  <c:v>87.025443077199995</c:v>
                </c:pt>
                <c:pt idx="63">
                  <c:v>89.020149612400004</c:v>
                </c:pt>
                <c:pt idx="64">
                  <c:v>88.951523070299999</c:v>
                </c:pt>
                <c:pt idx="65">
                  <c:v>85.175426770499996</c:v>
                </c:pt>
                <c:pt idx="66">
                  <c:v>84.622838392199995</c:v>
                </c:pt>
                <c:pt idx="67">
                  <c:v>80.8056575831</c:v>
                </c:pt>
                <c:pt idx="68">
                  <c:v>83.091034164299998</c:v>
                </c:pt>
                <c:pt idx="69">
                  <c:v>82.659053251499998</c:v>
                </c:pt>
                <c:pt idx="70">
                  <c:v>82.788069260699999</c:v>
                </c:pt>
                <c:pt idx="71">
                  <c:v>84.795685483400007</c:v>
                </c:pt>
                <c:pt idx="72">
                  <c:v>86.248233294100004</c:v>
                </c:pt>
                <c:pt idx="73">
                  <c:v>87.7113655876</c:v>
                </c:pt>
                <c:pt idx="74">
                  <c:v>88.117849065000001</c:v>
                </c:pt>
                <c:pt idx="75">
                  <c:v>87.844281925800004</c:v>
                </c:pt>
                <c:pt idx="76">
                  <c:v>86.124543453599998</c:v>
                </c:pt>
                <c:pt idx="77">
                  <c:v>82.395106129699997</c:v>
                </c:pt>
                <c:pt idx="78">
                  <c:v>80.013842807200007</c:v>
                </c:pt>
                <c:pt idx="79">
                  <c:v>81.547570740099999</c:v>
                </c:pt>
                <c:pt idx="80">
                  <c:v>81.458324424799997</c:v>
                </c:pt>
                <c:pt idx="81">
                  <c:v>84.837847741800005</c:v>
                </c:pt>
                <c:pt idx="82">
                  <c:v>83.396521126300001</c:v>
                </c:pt>
                <c:pt idx="83">
                  <c:v>81.859443848500007</c:v>
                </c:pt>
                <c:pt idx="84">
                  <c:v>82.177423457100005</c:v>
                </c:pt>
                <c:pt idx="85">
                  <c:v>83.989387571500004</c:v>
                </c:pt>
                <c:pt idx="86">
                  <c:v>79.668543502999995</c:v>
                </c:pt>
                <c:pt idx="87">
                  <c:v>80.2639598409</c:v>
                </c:pt>
                <c:pt idx="88">
                  <c:v>80.409160316400005</c:v>
                </c:pt>
                <c:pt idx="89">
                  <c:v>77.811806692499999</c:v>
                </c:pt>
                <c:pt idx="90">
                  <c:v>74.511820541999995</c:v>
                </c:pt>
                <c:pt idx="91">
                  <c:v>74.207675577299995</c:v>
                </c:pt>
                <c:pt idx="92">
                  <c:v>75.191760243800005</c:v>
                </c:pt>
                <c:pt idx="93">
                  <c:v>74.9061733737</c:v>
                </c:pt>
                <c:pt idx="94">
                  <c:v>74.969927298200005</c:v>
                </c:pt>
                <c:pt idx="95">
                  <c:v>74.179573453299994</c:v>
                </c:pt>
                <c:pt idx="96">
                  <c:v>75.883176791899999</c:v>
                </c:pt>
                <c:pt idx="97">
                  <c:v>78.640268074000005</c:v>
                </c:pt>
                <c:pt idx="98">
                  <c:v>79.679241892799993</c:v>
                </c:pt>
                <c:pt idx="99">
                  <c:v>78.282317963300002</c:v>
                </c:pt>
                <c:pt idx="100">
                  <c:v>79.786457646399995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S_plus!$N$1</c:f>
              <c:strCache>
                <c:ptCount val="1"/>
                <c:pt idx="0">
                  <c:v>Sim2</c:v>
                </c:pt>
              </c:strCache>
            </c:strRef>
          </c:tx>
          <c:marker>
            <c:symbol val="none"/>
          </c:marker>
          <c:xVal>
            <c:numRef>
              <c:f>S_plus!$L$2:$L$102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S_plus!$N$2:$N$102</c:f>
              <c:numCache>
                <c:formatCode>General</c:formatCode>
                <c:ptCount val="101"/>
                <c:pt idx="0">
                  <c:v>100</c:v>
                </c:pt>
                <c:pt idx="1">
                  <c:v>98.875351489600007</c:v>
                </c:pt>
                <c:pt idx="2">
                  <c:v>96.281481001399996</c:v>
                </c:pt>
                <c:pt idx="3">
                  <c:v>93.340555362499998</c:v>
                </c:pt>
                <c:pt idx="4">
                  <c:v>93.239593706600004</c:v>
                </c:pt>
                <c:pt idx="5">
                  <c:v>95.907135858399997</c:v>
                </c:pt>
                <c:pt idx="6">
                  <c:v>95.352252464299994</c:v>
                </c:pt>
                <c:pt idx="7">
                  <c:v>96.3141342264</c:v>
                </c:pt>
                <c:pt idx="8">
                  <c:v>96.314212858199994</c:v>
                </c:pt>
                <c:pt idx="9">
                  <c:v>95.194122630400003</c:v>
                </c:pt>
                <c:pt idx="10">
                  <c:v>93.151415910300003</c:v>
                </c:pt>
                <c:pt idx="11">
                  <c:v>90.906778322099996</c:v>
                </c:pt>
                <c:pt idx="12">
                  <c:v>90.231186126899999</c:v>
                </c:pt>
                <c:pt idx="13">
                  <c:v>88.927206158000004</c:v>
                </c:pt>
                <c:pt idx="14">
                  <c:v>89.1970886732</c:v>
                </c:pt>
                <c:pt idx="15">
                  <c:v>91.819146447099996</c:v>
                </c:pt>
                <c:pt idx="16">
                  <c:v>90.148692588499998</c:v>
                </c:pt>
                <c:pt idx="17">
                  <c:v>90.761723832900003</c:v>
                </c:pt>
                <c:pt idx="18">
                  <c:v>91.082837463100006</c:v>
                </c:pt>
                <c:pt idx="19">
                  <c:v>91.047382233700006</c:v>
                </c:pt>
                <c:pt idx="20">
                  <c:v>90.694107994199996</c:v>
                </c:pt>
                <c:pt idx="21">
                  <c:v>94.396420829199997</c:v>
                </c:pt>
                <c:pt idx="22">
                  <c:v>98.064603544999997</c:v>
                </c:pt>
                <c:pt idx="23">
                  <c:v>99.1744648807</c:v>
                </c:pt>
                <c:pt idx="24">
                  <c:v>97.985396399099997</c:v>
                </c:pt>
                <c:pt idx="25">
                  <c:v>100.81126507499999</c:v>
                </c:pt>
                <c:pt idx="26">
                  <c:v>103.345548761</c:v>
                </c:pt>
                <c:pt idx="27">
                  <c:v>102.85082638999999</c:v>
                </c:pt>
                <c:pt idx="28">
                  <c:v>100.94485554800001</c:v>
                </c:pt>
                <c:pt idx="29">
                  <c:v>100.43436796500001</c:v>
                </c:pt>
                <c:pt idx="30">
                  <c:v>101.470195847</c:v>
                </c:pt>
                <c:pt idx="31">
                  <c:v>100.230833463</c:v>
                </c:pt>
                <c:pt idx="32">
                  <c:v>98.681906402300001</c:v>
                </c:pt>
                <c:pt idx="33">
                  <c:v>99.998381237399997</c:v>
                </c:pt>
                <c:pt idx="34">
                  <c:v>98.893926910999994</c:v>
                </c:pt>
                <c:pt idx="35">
                  <c:v>97.890976696999999</c:v>
                </c:pt>
                <c:pt idx="36">
                  <c:v>94.857408428200003</c:v>
                </c:pt>
                <c:pt idx="37">
                  <c:v>92.078324454599993</c:v>
                </c:pt>
                <c:pt idx="38">
                  <c:v>94.187111661499998</c:v>
                </c:pt>
                <c:pt idx="39">
                  <c:v>92.802029456200003</c:v>
                </c:pt>
                <c:pt idx="40">
                  <c:v>89.927714564799999</c:v>
                </c:pt>
                <c:pt idx="41">
                  <c:v>89.170906070699999</c:v>
                </c:pt>
                <c:pt idx="42">
                  <c:v>86.298377697700005</c:v>
                </c:pt>
                <c:pt idx="43">
                  <c:v>86.509947818900002</c:v>
                </c:pt>
                <c:pt idx="44">
                  <c:v>85.9392688784</c:v>
                </c:pt>
                <c:pt idx="45">
                  <c:v>84.448892998399998</c:v>
                </c:pt>
                <c:pt idx="46">
                  <c:v>85.957019076400002</c:v>
                </c:pt>
                <c:pt idx="47">
                  <c:v>87.769293161500002</c:v>
                </c:pt>
                <c:pt idx="48">
                  <c:v>88.138401387599998</c:v>
                </c:pt>
                <c:pt idx="49">
                  <c:v>87.847807319200001</c:v>
                </c:pt>
                <c:pt idx="50">
                  <c:v>89.538474977999996</c:v>
                </c:pt>
                <c:pt idx="51">
                  <c:v>90.055722860200007</c:v>
                </c:pt>
                <c:pt idx="52">
                  <c:v>88.150706172499994</c:v>
                </c:pt>
                <c:pt idx="53">
                  <c:v>86.911183904300003</c:v>
                </c:pt>
                <c:pt idx="54">
                  <c:v>88.702019994799997</c:v>
                </c:pt>
                <c:pt idx="55">
                  <c:v>88.291530754299998</c:v>
                </c:pt>
                <c:pt idx="56">
                  <c:v>92.431477096500004</c:v>
                </c:pt>
                <c:pt idx="57">
                  <c:v>93.513365225300007</c:v>
                </c:pt>
                <c:pt idx="58">
                  <c:v>93.617511587600006</c:v>
                </c:pt>
                <c:pt idx="59">
                  <c:v>92.019887015799995</c:v>
                </c:pt>
                <c:pt idx="60">
                  <c:v>93.374336592500001</c:v>
                </c:pt>
                <c:pt idx="61">
                  <c:v>93.981020303799994</c:v>
                </c:pt>
                <c:pt idx="62">
                  <c:v>92.223463119599998</c:v>
                </c:pt>
                <c:pt idx="63">
                  <c:v>94.574104270500001</c:v>
                </c:pt>
                <c:pt idx="64">
                  <c:v>98.826932329900004</c:v>
                </c:pt>
                <c:pt idx="65">
                  <c:v>98.586250717300004</c:v>
                </c:pt>
                <c:pt idx="66">
                  <c:v>100.998421482</c:v>
                </c:pt>
                <c:pt idx="67">
                  <c:v>106.336803582</c:v>
                </c:pt>
                <c:pt idx="68">
                  <c:v>109.598527077</c:v>
                </c:pt>
                <c:pt idx="69">
                  <c:v>111.968633936</c:v>
                </c:pt>
                <c:pt idx="70">
                  <c:v>111.90969735900001</c:v>
                </c:pt>
                <c:pt idx="71">
                  <c:v>112.380870547</c:v>
                </c:pt>
                <c:pt idx="72">
                  <c:v>110.089021786</c:v>
                </c:pt>
                <c:pt idx="73">
                  <c:v>107.852235486</c:v>
                </c:pt>
                <c:pt idx="74">
                  <c:v>109.943420203</c:v>
                </c:pt>
                <c:pt idx="75">
                  <c:v>108.23731839200001</c:v>
                </c:pt>
                <c:pt idx="76">
                  <c:v>106.93428756599999</c:v>
                </c:pt>
                <c:pt idx="77">
                  <c:v>105.96971487</c:v>
                </c:pt>
                <c:pt idx="78">
                  <c:v>107.06250350000001</c:v>
                </c:pt>
                <c:pt idx="79">
                  <c:v>108.623645915</c:v>
                </c:pt>
                <c:pt idx="80">
                  <c:v>108.85445649</c:v>
                </c:pt>
                <c:pt idx="81">
                  <c:v>103.62063929200001</c:v>
                </c:pt>
                <c:pt idx="82">
                  <c:v>105.25490106300001</c:v>
                </c:pt>
                <c:pt idx="83">
                  <c:v>104.704923912</c:v>
                </c:pt>
                <c:pt idx="84">
                  <c:v>104.872781598</c:v>
                </c:pt>
                <c:pt idx="85">
                  <c:v>104.591812382</c:v>
                </c:pt>
                <c:pt idx="86">
                  <c:v>102.68322548899999</c:v>
                </c:pt>
                <c:pt idx="87">
                  <c:v>105.229456887</c:v>
                </c:pt>
                <c:pt idx="88">
                  <c:v>103.602710938</c:v>
                </c:pt>
                <c:pt idx="89">
                  <c:v>101.20582342599999</c:v>
                </c:pt>
                <c:pt idx="90">
                  <c:v>102.97292540700001</c:v>
                </c:pt>
                <c:pt idx="91">
                  <c:v>102.21585463300001</c:v>
                </c:pt>
                <c:pt idx="92">
                  <c:v>99.644311506400001</c:v>
                </c:pt>
                <c:pt idx="93">
                  <c:v>102.328091543</c:v>
                </c:pt>
                <c:pt idx="94">
                  <c:v>100.966622336</c:v>
                </c:pt>
                <c:pt idx="95">
                  <c:v>103.477448082</c:v>
                </c:pt>
                <c:pt idx="96">
                  <c:v>101.798453514</c:v>
                </c:pt>
                <c:pt idx="97">
                  <c:v>104.703207616</c:v>
                </c:pt>
                <c:pt idx="98">
                  <c:v>103.85089229</c:v>
                </c:pt>
                <c:pt idx="99">
                  <c:v>105.37164072100001</c:v>
                </c:pt>
                <c:pt idx="100">
                  <c:v>109.26364646899999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S_plus!$O$1</c:f>
              <c:strCache>
                <c:ptCount val="1"/>
                <c:pt idx="0">
                  <c:v>Sim3</c:v>
                </c:pt>
              </c:strCache>
            </c:strRef>
          </c:tx>
          <c:marker>
            <c:symbol val="none"/>
          </c:marker>
          <c:xVal>
            <c:numRef>
              <c:f>S_plus!$L$2:$L$102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S_plus!$O$2:$O$102</c:f>
              <c:numCache>
                <c:formatCode>General</c:formatCode>
                <c:ptCount val="101"/>
                <c:pt idx="0">
                  <c:v>100</c:v>
                </c:pt>
                <c:pt idx="1">
                  <c:v>104.003944946</c:v>
                </c:pt>
                <c:pt idx="2">
                  <c:v>105.613965552</c:v>
                </c:pt>
                <c:pt idx="3">
                  <c:v>107.273902741</c:v>
                </c:pt>
                <c:pt idx="4">
                  <c:v>110.630524405</c:v>
                </c:pt>
                <c:pt idx="5">
                  <c:v>111.636187986</c:v>
                </c:pt>
                <c:pt idx="6">
                  <c:v>109.51283137999999</c:v>
                </c:pt>
                <c:pt idx="7">
                  <c:v>109.76975740899999</c:v>
                </c:pt>
                <c:pt idx="8">
                  <c:v>108.33064629</c:v>
                </c:pt>
                <c:pt idx="9">
                  <c:v>110.153203977</c:v>
                </c:pt>
                <c:pt idx="10">
                  <c:v>113.024400671</c:v>
                </c:pt>
                <c:pt idx="11">
                  <c:v>114.39417325399999</c:v>
                </c:pt>
                <c:pt idx="12">
                  <c:v>115.488616103</c:v>
                </c:pt>
                <c:pt idx="13">
                  <c:v>118.377154932</c:v>
                </c:pt>
                <c:pt idx="14">
                  <c:v>119.242119213</c:v>
                </c:pt>
                <c:pt idx="15">
                  <c:v>115.75552027099999</c:v>
                </c:pt>
                <c:pt idx="16">
                  <c:v>113.997605964</c:v>
                </c:pt>
                <c:pt idx="17">
                  <c:v>112.11877878999999</c:v>
                </c:pt>
                <c:pt idx="18">
                  <c:v>116.015149392</c:v>
                </c:pt>
                <c:pt idx="19">
                  <c:v>115.787340632</c:v>
                </c:pt>
                <c:pt idx="20">
                  <c:v>111.342320121</c:v>
                </c:pt>
                <c:pt idx="21">
                  <c:v>112.779073466</c:v>
                </c:pt>
                <c:pt idx="22">
                  <c:v>110.44662602</c:v>
                </c:pt>
                <c:pt idx="23">
                  <c:v>110.253360266</c:v>
                </c:pt>
                <c:pt idx="24">
                  <c:v>105.408971327</c:v>
                </c:pt>
                <c:pt idx="25">
                  <c:v>103.78222264599999</c:v>
                </c:pt>
                <c:pt idx="26">
                  <c:v>103.950964126</c:v>
                </c:pt>
                <c:pt idx="27">
                  <c:v>103.041511855</c:v>
                </c:pt>
                <c:pt idx="28">
                  <c:v>99.0107222181</c:v>
                </c:pt>
                <c:pt idx="29">
                  <c:v>100.168391339</c:v>
                </c:pt>
                <c:pt idx="30">
                  <c:v>103.20759517499999</c:v>
                </c:pt>
                <c:pt idx="31">
                  <c:v>101.446863509</c:v>
                </c:pt>
                <c:pt idx="32">
                  <c:v>101.03464972099999</c:v>
                </c:pt>
                <c:pt idx="33">
                  <c:v>102.327888176</c:v>
                </c:pt>
                <c:pt idx="34">
                  <c:v>99.680622395699999</c:v>
                </c:pt>
                <c:pt idx="35">
                  <c:v>99.713131925100001</c:v>
                </c:pt>
                <c:pt idx="36">
                  <c:v>102.63885691</c:v>
                </c:pt>
                <c:pt idx="37">
                  <c:v>99.817385045500004</c:v>
                </c:pt>
                <c:pt idx="38">
                  <c:v>101.380382328</c:v>
                </c:pt>
                <c:pt idx="39">
                  <c:v>102.92205610400001</c:v>
                </c:pt>
                <c:pt idx="40">
                  <c:v>103.04040255</c:v>
                </c:pt>
                <c:pt idx="41">
                  <c:v>101.26528463</c:v>
                </c:pt>
                <c:pt idx="42">
                  <c:v>101.329005823</c:v>
                </c:pt>
                <c:pt idx="43">
                  <c:v>103.289612629</c:v>
                </c:pt>
                <c:pt idx="44">
                  <c:v>103.73226505</c:v>
                </c:pt>
                <c:pt idx="45">
                  <c:v>101.727860537</c:v>
                </c:pt>
                <c:pt idx="46">
                  <c:v>103.193336452</c:v>
                </c:pt>
                <c:pt idx="47">
                  <c:v>100.69341900000001</c:v>
                </c:pt>
                <c:pt idx="48">
                  <c:v>100.638378532</c:v>
                </c:pt>
                <c:pt idx="49">
                  <c:v>100.52868339699999</c:v>
                </c:pt>
                <c:pt idx="50">
                  <c:v>98.8677831965</c:v>
                </c:pt>
                <c:pt idx="51">
                  <c:v>100.530404342</c:v>
                </c:pt>
                <c:pt idx="52">
                  <c:v>101.605145154</c:v>
                </c:pt>
                <c:pt idx="53">
                  <c:v>102.976040989</c:v>
                </c:pt>
                <c:pt idx="54">
                  <c:v>105.74343216</c:v>
                </c:pt>
                <c:pt idx="55">
                  <c:v>107.694547063</c:v>
                </c:pt>
                <c:pt idx="56">
                  <c:v>105.82825546700001</c:v>
                </c:pt>
                <c:pt idx="57">
                  <c:v>105.223073144</c:v>
                </c:pt>
                <c:pt idx="58">
                  <c:v>105.419871992</c:v>
                </c:pt>
                <c:pt idx="59">
                  <c:v>105.993638809</c:v>
                </c:pt>
                <c:pt idx="60">
                  <c:v>103.884652629</c:v>
                </c:pt>
                <c:pt idx="61">
                  <c:v>100.940370583</c:v>
                </c:pt>
                <c:pt idx="62">
                  <c:v>100.260821355</c:v>
                </c:pt>
                <c:pt idx="63">
                  <c:v>101.109225344</c:v>
                </c:pt>
                <c:pt idx="64">
                  <c:v>104.164965735</c:v>
                </c:pt>
                <c:pt idx="65">
                  <c:v>103.66749011</c:v>
                </c:pt>
                <c:pt idx="66">
                  <c:v>102.283877542</c:v>
                </c:pt>
                <c:pt idx="67">
                  <c:v>101.65865272800001</c:v>
                </c:pt>
                <c:pt idx="68">
                  <c:v>103.86381970799999</c:v>
                </c:pt>
                <c:pt idx="69">
                  <c:v>105.35707205</c:v>
                </c:pt>
                <c:pt idx="70">
                  <c:v>106.527649913</c:v>
                </c:pt>
                <c:pt idx="71">
                  <c:v>107.945050606</c:v>
                </c:pt>
                <c:pt idx="72">
                  <c:v>109.923188952</c:v>
                </c:pt>
                <c:pt idx="73">
                  <c:v>111.04528132599999</c:v>
                </c:pt>
                <c:pt idx="74">
                  <c:v>108.679759761</c:v>
                </c:pt>
                <c:pt idx="75">
                  <c:v>107.077337521</c:v>
                </c:pt>
                <c:pt idx="76">
                  <c:v>107.869604784</c:v>
                </c:pt>
                <c:pt idx="77">
                  <c:v>103.74815716099999</c:v>
                </c:pt>
                <c:pt idx="78">
                  <c:v>104.56685241700001</c:v>
                </c:pt>
                <c:pt idx="79">
                  <c:v>104.259955191</c:v>
                </c:pt>
                <c:pt idx="80">
                  <c:v>105.288487315</c:v>
                </c:pt>
                <c:pt idx="81">
                  <c:v>105.09249456000001</c:v>
                </c:pt>
                <c:pt idx="82">
                  <c:v>104.487644011</c:v>
                </c:pt>
                <c:pt idx="83">
                  <c:v>106.083204517</c:v>
                </c:pt>
                <c:pt idx="84">
                  <c:v>105.061673814</c:v>
                </c:pt>
                <c:pt idx="85">
                  <c:v>106.051069477</c:v>
                </c:pt>
                <c:pt idx="86">
                  <c:v>106.79447528599999</c:v>
                </c:pt>
                <c:pt idx="87">
                  <c:v>106.90917332399999</c:v>
                </c:pt>
                <c:pt idx="88">
                  <c:v>107.544856177</c:v>
                </c:pt>
                <c:pt idx="89">
                  <c:v>106.70833166</c:v>
                </c:pt>
                <c:pt idx="90">
                  <c:v>106.9111358</c:v>
                </c:pt>
                <c:pt idx="91">
                  <c:v>109.00230652</c:v>
                </c:pt>
                <c:pt idx="92">
                  <c:v>107.488982467</c:v>
                </c:pt>
                <c:pt idx="93">
                  <c:v>105.508069029</c:v>
                </c:pt>
                <c:pt idx="94">
                  <c:v>105.384050065</c:v>
                </c:pt>
                <c:pt idx="95">
                  <c:v>102.13059176599999</c:v>
                </c:pt>
                <c:pt idx="96">
                  <c:v>104.73942616799999</c:v>
                </c:pt>
                <c:pt idx="97">
                  <c:v>105.74481554400001</c:v>
                </c:pt>
                <c:pt idx="98">
                  <c:v>103.223381358</c:v>
                </c:pt>
                <c:pt idx="99">
                  <c:v>104.34752240500001</c:v>
                </c:pt>
                <c:pt idx="100">
                  <c:v>102.081532831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S_plus!$P$1</c:f>
              <c:strCache>
                <c:ptCount val="1"/>
                <c:pt idx="0">
                  <c:v>Sim4</c:v>
                </c:pt>
              </c:strCache>
            </c:strRef>
          </c:tx>
          <c:marker>
            <c:symbol val="none"/>
          </c:marker>
          <c:xVal>
            <c:numRef>
              <c:f>S_plus!$L$2:$L$102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S_plus!$P$2:$P$102</c:f>
              <c:numCache>
                <c:formatCode>General</c:formatCode>
                <c:ptCount val="101"/>
                <c:pt idx="0">
                  <c:v>100</c:v>
                </c:pt>
                <c:pt idx="1">
                  <c:v>96.374279263399998</c:v>
                </c:pt>
                <c:pt idx="2">
                  <c:v>100.353847075</c:v>
                </c:pt>
                <c:pt idx="3">
                  <c:v>101.16496309599999</c:v>
                </c:pt>
                <c:pt idx="4">
                  <c:v>102.275780668</c:v>
                </c:pt>
                <c:pt idx="5">
                  <c:v>98.541586852699993</c:v>
                </c:pt>
                <c:pt idx="6">
                  <c:v>97.683482170100007</c:v>
                </c:pt>
                <c:pt idx="7">
                  <c:v>100.475037202</c:v>
                </c:pt>
                <c:pt idx="8">
                  <c:v>98.109019580199998</c:v>
                </c:pt>
                <c:pt idx="9">
                  <c:v>99.126404535999995</c:v>
                </c:pt>
                <c:pt idx="10">
                  <c:v>98.434768839599997</c:v>
                </c:pt>
                <c:pt idx="11">
                  <c:v>100.20454067999999</c:v>
                </c:pt>
                <c:pt idx="12">
                  <c:v>100.995912625</c:v>
                </c:pt>
                <c:pt idx="13">
                  <c:v>101.255117864</c:v>
                </c:pt>
                <c:pt idx="14">
                  <c:v>100.902627635</c:v>
                </c:pt>
                <c:pt idx="15">
                  <c:v>102.608538092</c:v>
                </c:pt>
                <c:pt idx="16">
                  <c:v>99.077388997400007</c:v>
                </c:pt>
                <c:pt idx="17">
                  <c:v>100.467796842</c:v>
                </c:pt>
                <c:pt idx="18">
                  <c:v>100.04300571</c:v>
                </c:pt>
                <c:pt idx="19">
                  <c:v>98.9279316951</c:v>
                </c:pt>
                <c:pt idx="20">
                  <c:v>100.95325769599999</c:v>
                </c:pt>
                <c:pt idx="21">
                  <c:v>100.107358766</c:v>
                </c:pt>
                <c:pt idx="22">
                  <c:v>99.386863163499996</c:v>
                </c:pt>
                <c:pt idx="23">
                  <c:v>99.465576092899994</c:v>
                </c:pt>
                <c:pt idx="24">
                  <c:v>98.372042429399997</c:v>
                </c:pt>
                <c:pt idx="25">
                  <c:v>99.834645389399995</c:v>
                </c:pt>
                <c:pt idx="26">
                  <c:v>98.880918915500004</c:v>
                </c:pt>
                <c:pt idx="27">
                  <c:v>100.453325875</c:v>
                </c:pt>
                <c:pt idx="28">
                  <c:v>102.08515134699999</c:v>
                </c:pt>
                <c:pt idx="29">
                  <c:v>102.71017737699999</c:v>
                </c:pt>
                <c:pt idx="30">
                  <c:v>103.08847891800001</c:v>
                </c:pt>
                <c:pt idx="31">
                  <c:v>101.75260314000001</c:v>
                </c:pt>
                <c:pt idx="32">
                  <c:v>102.92168839</c:v>
                </c:pt>
                <c:pt idx="33">
                  <c:v>102.63873673099999</c:v>
                </c:pt>
                <c:pt idx="34">
                  <c:v>100.092955727</c:v>
                </c:pt>
                <c:pt idx="35">
                  <c:v>101.20614926499999</c:v>
                </c:pt>
                <c:pt idx="36">
                  <c:v>102.88386392</c:v>
                </c:pt>
                <c:pt idx="37">
                  <c:v>102.50429424799999</c:v>
                </c:pt>
                <c:pt idx="38">
                  <c:v>101.208686738</c:v>
                </c:pt>
                <c:pt idx="39">
                  <c:v>104.270614763</c:v>
                </c:pt>
                <c:pt idx="40">
                  <c:v>102.22073998</c:v>
                </c:pt>
                <c:pt idx="41">
                  <c:v>103.87018278799999</c:v>
                </c:pt>
                <c:pt idx="42">
                  <c:v>101.06729035799999</c:v>
                </c:pt>
                <c:pt idx="43">
                  <c:v>100.666552283</c:v>
                </c:pt>
                <c:pt idx="44">
                  <c:v>96.191699718500004</c:v>
                </c:pt>
                <c:pt idx="45">
                  <c:v>94.649894489000005</c:v>
                </c:pt>
                <c:pt idx="46">
                  <c:v>96.475606451199994</c:v>
                </c:pt>
                <c:pt idx="47">
                  <c:v>96.194809668399998</c:v>
                </c:pt>
                <c:pt idx="48">
                  <c:v>92.646137070899997</c:v>
                </c:pt>
                <c:pt idx="49">
                  <c:v>90.323853600700005</c:v>
                </c:pt>
                <c:pt idx="50">
                  <c:v>91.953419934500005</c:v>
                </c:pt>
                <c:pt idx="51">
                  <c:v>90.227779709999993</c:v>
                </c:pt>
                <c:pt idx="52">
                  <c:v>88.621401520899994</c:v>
                </c:pt>
                <c:pt idx="53">
                  <c:v>89.384554247500006</c:v>
                </c:pt>
                <c:pt idx="54">
                  <c:v>90.712040446299994</c:v>
                </c:pt>
                <c:pt idx="55">
                  <c:v>89.509695706700001</c:v>
                </c:pt>
                <c:pt idx="56">
                  <c:v>91.973207996300005</c:v>
                </c:pt>
                <c:pt idx="57">
                  <c:v>92.451243711199993</c:v>
                </c:pt>
                <c:pt idx="58">
                  <c:v>95.017148034200005</c:v>
                </c:pt>
                <c:pt idx="59">
                  <c:v>94.486100326799999</c:v>
                </c:pt>
                <c:pt idx="60">
                  <c:v>95.710515592999997</c:v>
                </c:pt>
                <c:pt idx="61">
                  <c:v>94.779122191900001</c:v>
                </c:pt>
                <c:pt idx="62">
                  <c:v>94.186743845099997</c:v>
                </c:pt>
                <c:pt idx="63">
                  <c:v>95.540321726800002</c:v>
                </c:pt>
                <c:pt idx="64">
                  <c:v>99.462784806900004</c:v>
                </c:pt>
                <c:pt idx="65">
                  <c:v>101.086619735</c:v>
                </c:pt>
                <c:pt idx="66">
                  <c:v>99.431384079400004</c:v>
                </c:pt>
                <c:pt idx="67">
                  <c:v>100.410912021</c:v>
                </c:pt>
                <c:pt idx="68">
                  <c:v>97.5532192915</c:v>
                </c:pt>
                <c:pt idx="69">
                  <c:v>97.990936762800004</c:v>
                </c:pt>
                <c:pt idx="70">
                  <c:v>98.173697227800005</c:v>
                </c:pt>
                <c:pt idx="71">
                  <c:v>98.570275555799995</c:v>
                </c:pt>
                <c:pt idx="72">
                  <c:v>98.299834930800003</c:v>
                </c:pt>
                <c:pt idx="73">
                  <c:v>98.983432360600005</c:v>
                </c:pt>
                <c:pt idx="74">
                  <c:v>97.375873330499999</c:v>
                </c:pt>
                <c:pt idx="75">
                  <c:v>96.062702529800006</c:v>
                </c:pt>
                <c:pt idx="76">
                  <c:v>99.402117292</c:v>
                </c:pt>
                <c:pt idx="77">
                  <c:v>102.714054463</c:v>
                </c:pt>
                <c:pt idx="78">
                  <c:v>99.206199032800001</c:v>
                </c:pt>
                <c:pt idx="79">
                  <c:v>100.80519227800001</c:v>
                </c:pt>
                <c:pt idx="80">
                  <c:v>99.000092838800001</c:v>
                </c:pt>
                <c:pt idx="81">
                  <c:v>102.802344271</c:v>
                </c:pt>
                <c:pt idx="82">
                  <c:v>100.065887226</c:v>
                </c:pt>
                <c:pt idx="83">
                  <c:v>100.065889169</c:v>
                </c:pt>
                <c:pt idx="84">
                  <c:v>101.44631053400001</c:v>
                </c:pt>
                <c:pt idx="85">
                  <c:v>101.60346458399999</c:v>
                </c:pt>
                <c:pt idx="86">
                  <c:v>99.932446592800005</c:v>
                </c:pt>
                <c:pt idx="87">
                  <c:v>99.314555718199998</c:v>
                </c:pt>
                <c:pt idx="88">
                  <c:v>98.747548058800007</c:v>
                </c:pt>
                <c:pt idx="89">
                  <c:v>97.074080631499996</c:v>
                </c:pt>
                <c:pt idx="90">
                  <c:v>95.0216432295</c:v>
                </c:pt>
                <c:pt idx="91">
                  <c:v>94.025172641200001</c:v>
                </c:pt>
                <c:pt idx="92">
                  <c:v>91.119383286599998</c:v>
                </c:pt>
                <c:pt idx="93">
                  <c:v>90.402817331199998</c:v>
                </c:pt>
                <c:pt idx="94">
                  <c:v>87.188820891500001</c:v>
                </c:pt>
                <c:pt idx="95">
                  <c:v>88.720702148300006</c:v>
                </c:pt>
                <c:pt idx="96">
                  <c:v>91.054243961599994</c:v>
                </c:pt>
                <c:pt idx="97">
                  <c:v>92.741555542699999</c:v>
                </c:pt>
                <c:pt idx="98">
                  <c:v>94.736034144000001</c:v>
                </c:pt>
                <c:pt idx="99">
                  <c:v>91.715978106400001</c:v>
                </c:pt>
                <c:pt idx="100">
                  <c:v>91.014539925500003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S_plus!$Q$1</c:f>
              <c:strCache>
                <c:ptCount val="1"/>
                <c:pt idx="0">
                  <c:v>Sim5</c:v>
                </c:pt>
              </c:strCache>
            </c:strRef>
          </c:tx>
          <c:marker>
            <c:symbol val="none"/>
          </c:marker>
          <c:xVal>
            <c:numRef>
              <c:f>S_plus!$L$2:$L$102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S_plus!$Q$2:$Q$102</c:f>
              <c:numCache>
                <c:formatCode>General</c:formatCode>
                <c:ptCount val="101"/>
                <c:pt idx="0">
                  <c:v>100</c:v>
                </c:pt>
                <c:pt idx="1">
                  <c:v>98.899747432300003</c:v>
                </c:pt>
                <c:pt idx="2">
                  <c:v>97.686113451200001</c:v>
                </c:pt>
                <c:pt idx="3">
                  <c:v>99.963802054400006</c:v>
                </c:pt>
                <c:pt idx="4">
                  <c:v>98.854880836500001</c:v>
                </c:pt>
                <c:pt idx="5">
                  <c:v>102.41895148099999</c:v>
                </c:pt>
                <c:pt idx="6">
                  <c:v>104.67655611799999</c:v>
                </c:pt>
                <c:pt idx="7">
                  <c:v>103.982585461</c:v>
                </c:pt>
                <c:pt idx="8">
                  <c:v>104.92956736399999</c:v>
                </c:pt>
                <c:pt idx="9">
                  <c:v>103.651498696</c:v>
                </c:pt>
                <c:pt idx="10">
                  <c:v>106.705444536</c:v>
                </c:pt>
                <c:pt idx="11">
                  <c:v>103.770506801</c:v>
                </c:pt>
                <c:pt idx="12">
                  <c:v>106.896608626</c:v>
                </c:pt>
                <c:pt idx="13">
                  <c:v>103.087157159</c:v>
                </c:pt>
                <c:pt idx="14">
                  <c:v>101.446089188</c:v>
                </c:pt>
                <c:pt idx="15">
                  <c:v>98.232238406099995</c:v>
                </c:pt>
                <c:pt idx="16">
                  <c:v>97.098541008699996</c:v>
                </c:pt>
                <c:pt idx="17">
                  <c:v>100.3316715</c:v>
                </c:pt>
                <c:pt idx="18">
                  <c:v>96.944718398199996</c:v>
                </c:pt>
                <c:pt idx="19">
                  <c:v>95.519807585799995</c:v>
                </c:pt>
                <c:pt idx="20">
                  <c:v>91.914763146699997</c:v>
                </c:pt>
                <c:pt idx="21">
                  <c:v>91.373994209800003</c:v>
                </c:pt>
                <c:pt idx="22">
                  <c:v>90.912976529600002</c:v>
                </c:pt>
                <c:pt idx="23">
                  <c:v>90.210833521200001</c:v>
                </c:pt>
                <c:pt idx="24">
                  <c:v>90.199468494399994</c:v>
                </c:pt>
                <c:pt idx="25">
                  <c:v>89.122153365299994</c:v>
                </c:pt>
                <c:pt idx="26">
                  <c:v>85.37201365</c:v>
                </c:pt>
                <c:pt idx="27">
                  <c:v>86.319907830099993</c:v>
                </c:pt>
                <c:pt idx="28">
                  <c:v>85.849933735400001</c:v>
                </c:pt>
                <c:pt idx="29">
                  <c:v>84.446871414699999</c:v>
                </c:pt>
                <c:pt idx="30">
                  <c:v>85.823709863299996</c:v>
                </c:pt>
                <c:pt idx="31">
                  <c:v>87.816767214999999</c:v>
                </c:pt>
                <c:pt idx="32">
                  <c:v>88.666065609100002</c:v>
                </c:pt>
                <c:pt idx="33">
                  <c:v>84.976832741999999</c:v>
                </c:pt>
                <c:pt idx="34">
                  <c:v>82.651065088500005</c:v>
                </c:pt>
                <c:pt idx="35">
                  <c:v>81.256137320899995</c:v>
                </c:pt>
                <c:pt idx="36">
                  <c:v>79.643434608500002</c:v>
                </c:pt>
                <c:pt idx="37">
                  <c:v>80.168051907500001</c:v>
                </c:pt>
                <c:pt idx="38">
                  <c:v>80.118177141000004</c:v>
                </c:pt>
                <c:pt idx="39">
                  <c:v>77.5673473242</c:v>
                </c:pt>
                <c:pt idx="40">
                  <c:v>78.032771845799999</c:v>
                </c:pt>
                <c:pt idx="41">
                  <c:v>77.020722592499993</c:v>
                </c:pt>
                <c:pt idx="42">
                  <c:v>76.187018840500002</c:v>
                </c:pt>
                <c:pt idx="43">
                  <c:v>75.4221430841</c:v>
                </c:pt>
                <c:pt idx="44">
                  <c:v>76.535478549900006</c:v>
                </c:pt>
                <c:pt idx="45">
                  <c:v>79.356584496400004</c:v>
                </c:pt>
                <c:pt idx="46">
                  <c:v>78.860932913200003</c:v>
                </c:pt>
                <c:pt idx="47">
                  <c:v>78.895957318599997</c:v>
                </c:pt>
                <c:pt idx="48">
                  <c:v>77.461060950299995</c:v>
                </c:pt>
                <c:pt idx="49">
                  <c:v>76.590603529700005</c:v>
                </c:pt>
                <c:pt idx="50">
                  <c:v>76.369610021499994</c:v>
                </c:pt>
                <c:pt idx="51">
                  <c:v>77.404604933399995</c:v>
                </c:pt>
                <c:pt idx="52">
                  <c:v>75.643331568500003</c:v>
                </c:pt>
                <c:pt idx="53">
                  <c:v>75.939303147299995</c:v>
                </c:pt>
                <c:pt idx="54">
                  <c:v>78.294287068000003</c:v>
                </c:pt>
                <c:pt idx="55">
                  <c:v>77.8276452769</c:v>
                </c:pt>
                <c:pt idx="56">
                  <c:v>76.520735354099997</c:v>
                </c:pt>
                <c:pt idx="57">
                  <c:v>76.979933388500001</c:v>
                </c:pt>
                <c:pt idx="58">
                  <c:v>75.393023141499995</c:v>
                </c:pt>
                <c:pt idx="59">
                  <c:v>73.964113759200004</c:v>
                </c:pt>
                <c:pt idx="60">
                  <c:v>72.207699820100004</c:v>
                </c:pt>
                <c:pt idx="61">
                  <c:v>71.918785294499997</c:v>
                </c:pt>
                <c:pt idx="62">
                  <c:v>72.011443268600004</c:v>
                </c:pt>
                <c:pt idx="63">
                  <c:v>71.493753185299994</c:v>
                </c:pt>
                <c:pt idx="64">
                  <c:v>71.506747069200003</c:v>
                </c:pt>
                <c:pt idx="65">
                  <c:v>69.490657154999994</c:v>
                </c:pt>
                <c:pt idx="66">
                  <c:v>68.859063743299998</c:v>
                </c:pt>
                <c:pt idx="67">
                  <c:v>68.286528513299999</c:v>
                </c:pt>
                <c:pt idx="68">
                  <c:v>67.993355011000006</c:v>
                </c:pt>
                <c:pt idx="69">
                  <c:v>67.518726847099998</c:v>
                </c:pt>
                <c:pt idx="70">
                  <c:v>64.690890460899993</c:v>
                </c:pt>
                <c:pt idx="71">
                  <c:v>63.561444686800002</c:v>
                </c:pt>
                <c:pt idx="72">
                  <c:v>67.110183634699993</c:v>
                </c:pt>
                <c:pt idx="73">
                  <c:v>67.261343339800007</c:v>
                </c:pt>
                <c:pt idx="74">
                  <c:v>66.154527398599996</c:v>
                </c:pt>
                <c:pt idx="75">
                  <c:v>65.871322636900004</c:v>
                </c:pt>
                <c:pt idx="76">
                  <c:v>64.6644464253</c:v>
                </c:pt>
                <c:pt idx="77">
                  <c:v>67.233361612400003</c:v>
                </c:pt>
                <c:pt idx="78">
                  <c:v>66.316139176899995</c:v>
                </c:pt>
                <c:pt idx="79">
                  <c:v>65.433387607300006</c:v>
                </c:pt>
                <c:pt idx="80">
                  <c:v>66.280530464799995</c:v>
                </c:pt>
                <c:pt idx="81">
                  <c:v>64.730203500499996</c:v>
                </c:pt>
                <c:pt idx="82">
                  <c:v>66.390462619000004</c:v>
                </c:pt>
                <c:pt idx="83">
                  <c:v>64.833253828599993</c:v>
                </c:pt>
                <c:pt idx="84">
                  <c:v>64.934549507900002</c:v>
                </c:pt>
                <c:pt idx="85">
                  <c:v>63.834289027399997</c:v>
                </c:pt>
                <c:pt idx="86">
                  <c:v>63.215775926299997</c:v>
                </c:pt>
                <c:pt idx="87">
                  <c:v>64.393361944000006</c:v>
                </c:pt>
                <c:pt idx="88">
                  <c:v>65.177753125799995</c:v>
                </c:pt>
                <c:pt idx="89">
                  <c:v>66.1991743114</c:v>
                </c:pt>
                <c:pt idx="90">
                  <c:v>66.329349925599999</c:v>
                </c:pt>
                <c:pt idx="91">
                  <c:v>67.7747119836</c:v>
                </c:pt>
                <c:pt idx="92">
                  <c:v>68.9938039317</c:v>
                </c:pt>
                <c:pt idx="93">
                  <c:v>67.409587991500004</c:v>
                </c:pt>
                <c:pt idx="94">
                  <c:v>66.824565918000005</c:v>
                </c:pt>
                <c:pt idx="95">
                  <c:v>67.429324320500001</c:v>
                </c:pt>
                <c:pt idx="96">
                  <c:v>67.483312155999997</c:v>
                </c:pt>
                <c:pt idx="97">
                  <c:v>66.370199874400001</c:v>
                </c:pt>
                <c:pt idx="98">
                  <c:v>67.417885422599994</c:v>
                </c:pt>
                <c:pt idx="99">
                  <c:v>66.165909324500007</c:v>
                </c:pt>
                <c:pt idx="100">
                  <c:v>66.3365382737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S_plus!$R$1</c:f>
              <c:strCache>
                <c:ptCount val="1"/>
                <c:pt idx="0">
                  <c:v>Sim6</c:v>
                </c:pt>
              </c:strCache>
            </c:strRef>
          </c:tx>
          <c:marker>
            <c:symbol val="none"/>
          </c:marker>
          <c:xVal>
            <c:numRef>
              <c:f>S_plus!$L$2:$L$102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S_plus!$R$2:$R$102</c:f>
              <c:numCache>
                <c:formatCode>General</c:formatCode>
                <c:ptCount val="101"/>
                <c:pt idx="0">
                  <c:v>100</c:v>
                </c:pt>
                <c:pt idx="1">
                  <c:v>102.007625645</c:v>
                </c:pt>
                <c:pt idx="2">
                  <c:v>101.5335595</c:v>
                </c:pt>
                <c:pt idx="3">
                  <c:v>100.938261191</c:v>
                </c:pt>
                <c:pt idx="4">
                  <c:v>100.348857377</c:v>
                </c:pt>
                <c:pt idx="5">
                  <c:v>101.69417720200001</c:v>
                </c:pt>
                <c:pt idx="6">
                  <c:v>102.308368907</c:v>
                </c:pt>
                <c:pt idx="7">
                  <c:v>98.747710769099996</c:v>
                </c:pt>
                <c:pt idx="8">
                  <c:v>98.926960951500007</c:v>
                </c:pt>
                <c:pt idx="9">
                  <c:v>100.088549262</c:v>
                </c:pt>
                <c:pt idx="10">
                  <c:v>100.84890780400001</c:v>
                </c:pt>
                <c:pt idx="11">
                  <c:v>97.842660698900005</c:v>
                </c:pt>
                <c:pt idx="12">
                  <c:v>96.576356293100005</c:v>
                </c:pt>
                <c:pt idx="13">
                  <c:v>99.7321846217</c:v>
                </c:pt>
                <c:pt idx="14">
                  <c:v>102.666719935</c:v>
                </c:pt>
                <c:pt idx="15">
                  <c:v>102.78024138799999</c:v>
                </c:pt>
                <c:pt idx="16">
                  <c:v>102.64298306400001</c:v>
                </c:pt>
                <c:pt idx="17">
                  <c:v>99.660208647800005</c:v>
                </c:pt>
                <c:pt idx="18">
                  <c:v>101.051376624</c:v>
                </c:pt>
                <c:pt idx="19">
                  <c:v>100.516513331</c:v>
                </c:pt>
                <c:pt idx="20">
                  <c:v>98.466427265099995</c:v>
                </c:pt>
                <c:pt idx="21">
                  <c:v>98.598995222200003</c:v>
                </c:pt>
                <c:pt idx="22">
                  <c:v>96.812423452100006</c:v>
                </c:pt>
                <c:pt idx="23">
                  <c:v>99.787960626900002</c:v>
                </c:pt>
                <c:pt idx="24">
                  <c:v>97.545324380599993</c:v>
                </c:pt>
                <c:pt idx="25">
                  <c:v>97.078960382700004</c:v>
                </c:pt>
                <c:pt idx="26">
                  <c:v>97.365009017299997</c:v>
                </c:pt>
                <c:pt idx="27">
                  <c:v>97.602656446500006</c:v>
                </c:pt>
                <c:pt idx="28">
                  <c:v>101.780396321</c:v>
                </c:pt>
                <c:pt idx="29">
                  <c:v>100.168019387</c:v>
                </c:pt>
                <c:pt idx="30">
                  <c:v>99.338255323200002</c:v>
                </c:pt>
                <c:pt idx="31">
                  <c:v>97.620116312899995</c:v>
                </c:pt>
                <c:pt idx="32">
                  <c:v>94.846305447299997</c:v>
                </c:pt>
                <c:pt idx="33">
                  <c:v>93.030459538900004</c:v>
                </c:pt>
                <c:pt idx="34">
                  <c:v>96.427644177900007</c:v>
                </c:pt>
                <c:pt idx="35">
                  <c:v>96.064633628699994</c:v>
                </c:pt>
                <c:pt idx="36">
                  <c:v>96.019777213599994</c:v>
                </c:pt>
                <c:pt idx="37">
                  <c:v>91.766022524999997</c:v>
                </c:pt>
                <c:pt idx="38">
                  <c:v>93.157819352900006</c:v>
                </c:pt>
                <c:pt idx="39">
                  <c:v>95.213156140500004</c:v>
                </c:pt>
                <c:pt idx="40">
                  <c:v>92.645623684</c:v>
                </c:pt>
                <c:pt idx="41">
                  <c:v>92.393258170999999</c:v>
                </c:pt>
                <c:pt idx="42">
                  <c:v>92.866981313899998</c:v>
                </c:pt>
                <c:pt idx="43">
                  <c:v>92.353633236600004</c:v>
                </c:pt>
                <c:pt idx="44">
                  <c:v>92.349593306299994</c:v>
                </c:pt>
                <c:pt idx="45">
                  <c:v>91.476942984000004</c:v>
                </c:pt>
                <c:pt idx="46">
                  <c:v>91.326707011899998</c:v>
                </c:pt>
                <c:pt idx="47">
                  <c:v>90.401897765200005</c:v>
                </c:pt>
                <c:pt idx="48">
                  <c:v>88.654267243299998</c:v>
                </c:pt>
                <c:pt idx="49">
                  <c:v>86.814367018900001</c:v>
                </c:pt>
                <c:pt idx="50">
                  <c:v>88.792918606900002</c:v>
                </c:pt>
                <c:pt idx="51">
                  <c:v>87.113628430999995</c:v>
                </c:pt>
                <c:pt idx="52">
                  <c:v>85.829638529700006</c:v>
                </c:pt>
                <c:pt idx="53">
                  <c:v>88.003863599300004</c:v>
                </c:pt>
                <c:pt idx="54">
                  <c:v>86.641568523000004</c:v>
                </c:pt>
                <c:pt idx="55">
                  <c:v>86.637178721200002</c:v>
                </c:pt>
                <c:pt idx="56">
                  <c:v>88.796627868399995</c:v>
                </c:pt>
                <c:pt idx="57">
                  <c:v>87.626917462500003</c:v>
                </c:pt>
                <c:pt idx="58">
                  <c:v>87.958723414199994</c:v>
                </c:pt>
                <c:pt idx="59">
                  <c:v>88.640521751799994</c:v>
                </c:pt>
                <c:pt idx="60">
                  <c:v>88.948510059699998</c:v>
                </c:pt>
                <c:pt idx="61">
                  <c:v>88.229496322800003</c:v>
                </c:pt>
                <c:pt idx="62">
                  <c:v>87.408911097000001</c:v>
                </c:pt>
                <c:pt idx="63">
                  <c:v>89.166916036700002</c:v>
                </c:pt>
                <c:pt idx="64">
                  <c:v>91.275577200900003</c:v>
                </c:pt>
                <c:pt idx="65">
                  <c:v>94.731047054900003</c:v>
                </c:pt>
                <c:pt idx="66">
                  <c:v>94.262377968300001</c:v>
                </c:pt>
                <c:pt idx="67">
                  <c:v>94.496737353200004</c:v>
                </c:pt>
                <c:pt idx="68">
                  <c:v>95.918266731100005</c:v>
                </c:pt>
                <c:pt idx="69">
                  <c:v>96.000579797499995</c:v>
                </c:pt>
                <c:pt idx="70">
                  <c:v>97.412843024799997</c:v>
                </c:pt>
                <c:pt idx="71">
                  <c:v>96.617541706300003</c:v>
                </c:pt>
                <c:pt idx="72">
                  <c:v>96.862978962200003</c:v>
                </c:pt>
                <c:pt idx="73">
                  <c:v>97.270261633600001</c:v>
                </c:pt>
                <c:pt idx="74">
                  <c:v>96.078974513199995</c:v>
                </c:pt>
                <c:pt idx="75">
                  <c:v>94.890611275099999</c:v>
                </c:pt>
                <c:pt idx="76">
                  <c:v>94.572437902800004</c:v>
                </c:pt>
                <c:pt idx="77">
                  <c:v>96.399001993799999</c:v>
                </c:pt>
                <c:pt idx="78">
                  <c:v>96.898546519099995</c:v>
                </c:pt>
                <c:pt idx="79">
                  <c:v>96.598861731100001</c:v>
                </c:pt>
                <c:pt idx="80">
                  <c:v>97.366314187499995</c:v>
                </c:pt>
                <c:pt idx="81">
                  <c:v>95.875713265000002</c:v>
                </c:pt>
                <c:pt idx="82">
                  <c:v>94.482218359800001</c:v>
                </c:pt>
                <c:pt idx="83">
                  <c:v>94.237679715200002</c:v>
                </c:pt>
                <c:pt idx="84">
                  <c:v>92.361904672899996</c:v>
                </c:pt>
                <c:pt idx="85">
                  <c:v>96.567501384799996</c:v>
                </c:pt>
                <c:pt idx="86">
                  <c:v>94.257568300100004</c:v>
                </c:pt>
                <c:pt idx="87">
                  <c:v>93.391261870199997</c:v>
                </c:pt>
                <c:pt idx="88">
                  <c:v>95.783189448399995</c:v>
                </c:pt>
                <c:pt idx="89">
                  <c:v>95.502941677300001</c:v>
                </c:pt>
                <c:pt idx="90">
                  <c:v>96.224021358800002</c:v>
                </c:pt>
                <c:pt idx="91">
                  <c:v>94.875374958099997</c:v>
                </c:pt>
                <c:pt idx="92">
                  <c:v>95.373097893500002</c:v>
                </c:pt>
                <c:pt idx="93">
                  <c:v>97.223186685100004</c:v>
                </c:pt>
                <c:pt idx="94">
                  <c:v>96.635929805499998</c:v>
                </c:pt>
                <c:pt idx="95">
                  <c:v>97.025583982100002</c:v>
                </c:pt>
                <c:pt idx="96">
                  <c:v>95.379559256899995</c:v>
                </c:pt>
                <c:pt idx="97">
                  <c:v>95.081512303099998</c:v>
                </c:pt>
                <c:pt idx="98">
                  <c:v>95.119970102300002</c:v>
                </c:pt>
                <c:pt idx="99">
                  <c:v>95.812501866900007</c:v>
                </c:pt>
                <c:pt idx="100">
                  <c:v>98.523446429800003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S_plus!$S$1</c:f>
              <c:strCache>
                <c:ptCount val="1"/>
                <c:pt idx="0">
                  <c:v>Sim7</c:v>
                </c:pt>
              </c:strCache>
            </c:strRef>
          </c:tx>
          <c:marker>
            <c:symbol val="none"/>
          </c:marker>
          <c:xVal>
            <c:numRef>
              <c:f>S_plus!$L$2:$L$102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S_plus!$S$2:$S$102</c:f>
              <c:numCache>
                <c:formatCode>General</c:formatCode>
                <c:ptCount val="101"/>
                <c:pt idx="0">
                  <c:v>100</c:v>
                </c:pt>
                <c:pt idx="1">
                  <c:v>101.83676130800001</c:v>
                </c:pt>
                <c:pt idx="2">
                  <c:v>102.711675329</c:v>
                </c:pt>
                <c:pt idx="3">
                  <c:v>103.939518961</c:v>
                </c:pt>
                <c:pt idx="4">
                  <c:v>104.079810322</c:v>
                </c:pt>
                <c:pt idx="5">
                  <c:v>108.58424350999999</c:v>
                </c:pt>
                <c:pt idx="6">
                  <c:v>109.350091748</c:v>
                </c:pt>
                <c:pt idx="7">
                  <c:v>107.75350796399999</c:v>
                </c:pt>
                <c:pt idx="8">
                  <c:v>108.963285898</c:v>
                </c:pt>
                <c:pt idx="9">
                  <c:v>110.71443836</c:v>
                </c:pt>
                <c:pt idx="10">
                  <c:v>111.00256170199999</c:v>
                </c:pt>
                <c:pt idx="11">
                  <c:v>111.704490429</c:v>
                </c:pt>
                <c:pt idx="12">
                  <c:v>110.33975109399999</c:v>
                </c:pt>
                <c:pt idx="13">
                  <c:v>107.133526792</c:v>
                </c:pt>
                <c:pt idx="14">
                  <c:v>111.26905753600001</c:v>
                </c:pt>
                <c:pt idx="15">
                  <c:v>110.529319598</c:v>
                </c:pt>
                <c:pt idx="16">
                  <c:v>109.423657687</c:v>
                </c:pt>
                <c:pt idx="17">
                  <c:v>112.020796241</c:v>
                </c:pt>
                <c:pt idx="18">
                  <c:v>113.583242473</c:v>
                </c:pt>
                <c:pt idx="19">
                  <c:v>112.651544856</c:v>
                </c:pt>
                <c:pt idx="20">
                  <c:v>118.319916733</c:v>
                </c:pt>
                <c:pt idx="21">
                  <c:v>122.06332079800001</c:v>
                </c:pt>
                <c:pt idx="22">
                  <c:v>124.801202276</c:v>
                </c:pt>
                <c:pt idx="23">
                  <c:v>125.968832956</c:v>
                </c:pt>
                <c:pt idx="24">
                  <c:v>129.840885816</c:v>
                </c:pt>
                <c:pt idx="25">
                  <c:v>127.23010482399999</c:v>
                </c:pt>
                <c:pt idx="26">
                  <c:v>124.42094558399999</c:v>
                </c:pt>
                <c:pt idx="27">
                  <c:v>124.479436573</c:v>
                </c:pt>
                <c:pt idx="28">
                  <c:v>123.320272054</c:v>
                </c:pt>
                <c:pt idx="29">
                  <c:v>123.252862959</c:v>
                </c:pt>
                <c:pt idx="30">
                  <c:v>119.779689215</c:v>
                </c:pt>
                <c:pt idx="31">
                  <c:v>118.153378465</c:v>
                </c:pt>
                <c:pt idx="32">
                  <c:v>121.087978732</c:v>
                </c:pt>
                <c:pt idx="33">
                  <c:v>118.847407348</c:v>
                </c:pt>
                <c:pt idx="34">
                  <c:v>120.104738342</c:v>
                </c:pt>
                <c:pt idx="35">
                  <c:v>119.573600735</c:v>
                </c:pt>
                <c:pt idx="36">
                  <c:v>118.74400512699999</c:v>
                </c:pt>
                <c:pt idx="37">
                  <c:v>116.361132735</c:v>
                </c:pt>
                <c:pt idx="38">
                  <c:v>114.138834143</c:v>
                </c:pt>
                <c:pt idx="39">
                  <c:v>116.556028426</c:v>
                </c:pt>
                <c:pt idx="40">
                  <c:v>117.03614975000001</c:v>
                </c:pt>
                <c:pt idx="41">
                  <c:v>118.01371627499999</c:v>
                </c:pt>
                <c:pt idx="42">
                  <c:v>118.36754578199999</c:v>
                </c:pt>
                <c:pt idx="43">
                  <c:v>114.13768509400001</c:v>
                </c:pt>
                <c:pt idx="44">
                  <c:v>118.313360651</c:v>
                </c:pt>
                <c:pt idx="45">
                  <c:v>121.54812081599999</c:v>
                </c:pt>
                <c:pt idx="46">
                  <c:v>119.70731380399999</c:v>
                </c:pt>
                <c:pt idx="47">
                  <c:v>118.515013946</c:v>
                </c:pt>
                <c:pt idx="48">
                  <c:v>117.29804356299999</c:v>
                </c:pt>
                <c:pt idx="49">
                  <c:v>113.44330024999999</c:v>
                </c:pt>
                <c:pt idx="50">
                  <c:v>114.364914363</c:v>
                </c:pt>
                <c:pt idx="51">
                  <c:v>115.791061496</c:v>
                </c:pt>
                <c:pt idx="52">
                  <c:v>109.698412699</c:v>
                </c:pt>
                <c:pt idx="53">
                  <c:v>111.918040248</c:v>
                </c:pt>
                <c:pt idx="54">
                  <c:v>114.734571643</c:v>
                </c:pt>
                <c:pt idx="55">
                  <c:v>112.79427266099999</c:v>
                </c:pt>
                <c:pt idx="56">
                  <c:v>113.156758454</c:v>
                </c:pt>
                <c:pt idx="57">
                  <c:v>109.27746357700001</c:v>
                </c:pt>
                <c:pt idx="58">
                  <c:v>106.446998906</c:v>
                </c:pt>
                <c:pt idx="59">
                  <c:v>106.95423781</c:v>
                </c:pt>
                <c:pt idx="60">
                  <c:v>107.73091675000001</c:v>
                </c:pt>
                <c:pt idx="61">
                  <c:v>106.698697205</c:v>
                </c:pt>
                <c:pt idx="62">
                  <c:v>108.670766869</c:v>
                </c:pt>
                <c:pt idx="63">
                  <c:v>103.525977326</c:v>
                </c:pt>
                <c:pt idx="64">
                  <c:v>102.72584346799999</c:v>
                </c:pt>
                <c:pt idx="65">
                  <c:v>103.127084622</c:v>
                </c:pt>
                <c:pt idx="66">
                  <c:v>102.87303675699999</c:v>
                </c:pt>
                <c:pt idx="67">
                  <c:v>102.069763014</c:v>
                </c:pt>
                <c:pt idx="68">
                  <c:v>101.43361595499999</c:v>
                </c:pt>
                <c:pt idx="69">
                  <c:v>103.751051366</c:v>
                </c:pt>
                <c:pt idx="70">
                  <c:v>105.493542023</c:v>
                </c:pt>
                <c:pt idx="71">
                  <c:v>100.955306738</c:v>
                </c:pt>
                <c:pt idx="72">
                  <c:v>102.355396472</c:v>
                </c:pt>
                <c:pt idx="73">
                  <c:v>102.47700257299999</c:v>
                </c:pt>
                <c:pt idx="74">
                  <c:v>103.260576331</c:v>
                </c:pt>
                <c:pt idx="75">
                  <c:v>101.313951493</c:v>
                </c:pt>
                <c:pt idx="76">
                  <c:v>100.062049425</c:v>
                </c:pt>
                <c:pt idx="77">
                  <c:v>99.1960355569</c:v>
                </c:pt>
                <c:pt idx="78">
                  <c:v>100.215337558</c:v>
                </c:pt>
                <c:pt idx="79">
                  <c:v>101.825609161</c:v>
                </c:pt>
                <c:pt idx="80">
                  <c:v>102.538239929</c:v>
                </c:pt>
                <c:pt idx="81">
                  <c:v>101.27849998799999</c:v>
                </c:pt>
                <c:pt idx="82">
                  <c:v>102.809953118</c:v>
                </c:pt>
                <c:pt idx="83">
                  <c:v>99.889645991400002</c:v>
                </c:pt>
                <c:pt idx="84">
                  <c:v>101.594751567</c:v>
                </c:pt>
                <c:pt idx="85">
                  <c:v>102.295567418</c:v>
                </c:pt>
                <c:pt idx="86">
                  <c:v>102.435732578</c:v>
                </c:pt>
                <c:pt idx="87">
                  <c:v>105.982644284</c:v>
                </c:pt>
                <c:pt idx="88">
                  <c:v>105.048293759</c:v>
                </c:pt>
                <c:pt idx="89">
                  <c:v>104.82859798699999</c:v>
                </c:pt>
                <c:pt idx="90">
                  <c:v>100.77507284000001</c:v>
                </c:pt>
                <c:pt idx="91">
                  <c:v>101.56464933399999</c:v>
                </c:pt>
                <c:pt idx="92">
                  <c:v>98.1131579993</c:v>
                </c:pt>
                <c:pt idx="93">
                  <c:v>96.544412078999997</c:v>
                </c:pt>
                <c:pt idx="94">
                  <c:v>98.188464016599994</c:v>
                </c:pt>
                <c:pt idx="95">
                  <c:v>99.367726573699997</c:v>
                </c:pt>
                <c:pt idx="96">
                  <c:v>97.117192531399994</c:v>
                </c:pt>
                <c:pt idx="97">
                  <c:v>97.571098738200007</c:v>
                </c:pt>
                <c:pt idx="98">
                  <c:v>97.254481024499995</c:v>
                </c:pt>
                <c:pt idx="99">
                  <c:v>97.554949981099995</c:v>
                </c:pt>
                <c:pt idx="100">
                  <c:v>97.413577671400006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S_plus!$T$1</c:f>
              <c:strCache>
                <c:ptCount val="1"/>
                <c:pt idx="0">
                  <c:v>Sim8</c:v>
                </c:pt>
              </c:strCache>
            </c:strRef>
          </c:tx>
          <c:marker>
            <c:symbol val="none"/>
          </c:marker>
          <c:xVal>
            <c:numRef>
              <c:f>S_plus!$L$2:$L$102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S_plus!$T$2:$T$102</c:f>
              <c:numCache>
                <c:formatCode>General</c:formatCode>
                <c:ptCount val="101"/>
                <c:pt idx="0">
                  <c:v>100</c:v>
                </c:pt>
                <c:pt idx="1">
                  <c:v>99.5585915013</c:v>
                </c:pt>
                <c:pt idx="2">
                  <c:v>97.765162008700003</c:v>
                </c:pt>
                <c:pt idx="3">
                  <c:v>95.798855118399999</c:v>
                </c:pt>
                <c:pt idx="4">
                  <c:v>99.174502757400006</c:v>
                </c:pt>
                <c:pt idx="5">
                  <c:v>101.18445079</c:v>
                </c:pt>
                <c:pt idx="6">
                  <c:v>101.58549997599999</c:v>
                </c:pt>
                <c:pt idx="7">
                  <c:v>100.03163111800001</c:v>
                </c:pt>
                <c:pt idx="8">
                  <c:v>102.06828950400001</c:v>
                </c:pt>
                <c:pt idx="9">
                  <c:v>102.974123869</c:v>
                </c:pt>
                <c:pt idx="10">
                  <c:v>99.260552889400003</c:v>
                </c:pt>
                <c:pt idx="11">
                  <c:v>96.238366172799999</c:v>
                </c:pt>
                <c:pt idx="12">
                  <c:v>95.193395458500007</c:v>
                </c:pt>
                <c:pt idx="13">
                  <c:v>90.4273066513</c:v>
                </c:pt>
                <c:pt idx="14">
                  <c:v>89.921048759900003</c:v>
                </c:pt>
                <c:pt idx="15">
                  <c:v>88.073536749699997</c:v>
                </c:pt>
                <c:pt idx="16">
                  <c:v>86.967367986699998</c:v>
                </c:pt>
                <c:pt idx="17">
                  <c:v>89.460217551</c:v>
                </c:pt>
                <c:pt idx="18">
                  <c:v>84.678330329600001</c:v>
                </c:pt>
                <c:pt idx="19">
                  <c:v>84.318823331800004</c:v>
                </c:pt>
                <c:pt idx="20">
                  <c:v>84.494359600600006</c:v>
                </c:pt>
                <c:pt idx="21">
                  <c:v>83.847986505700007</c:v>
                </c:pt>
                <c:pt idx="22">
                  <c:v>85.298102963299996</c:v>
                </c:pt>
                <c:pt idx="23">
                  <c:v>86.166490186000004</c:v>
                </c:pt>
                <c:pt idx="24">
                  <c:v>83.198761302099996</c:v>
                </c:pt>
                <c:pt idx="25">
                  <c:v>83.2725681302</c:v>
                </c:pt>
                <c:pt idx="26">
                  <c:v>82.099834671099998</c:v>
                </c:pt>
                <c:pt idx="27">
                  <c:v>82.810295689100002</c:v>
                </c:pt>
                <c:pt idx="28">
                  <c:v>82.041360611900004</c:v>
                </c:pt>
                <c:pt idx="29">
                  <c:v>82.806334777100005</c:v>
                </c:pt>
                <c:pt idx="30">
                  <c:v>81.8575582677</c:v>
                </c:pt>
                <c:pt idx="31">
                  <c:v>81.036065177200001</c:v>
                </c:pt>
                <c:pt idx="32">
                  <c:v>81.580317881200003</c:v>
                </c:pt>
                <c:pt idx="33">
                  <c:v>82.508650129200007</c:v>
                </c:pt>
                <c:pt idx="34">
                  <c:v>79.694567665500003</c:v>
                </c:pt>
                <c:pt idx="35">
                  <c:v>80.315037696900006</c:v>
                </c:pt>
                <c:pt idx="36">
                  <c:v>77.878742550699997</c:v>
                </c:pt>
                <c:pt idx="37">
                  <c:v>77.994337115999997</c:v>
                </c:pt>
                <c:pt idx="38">
                  <c:v>75.522391494000004</c:v>
                </c:pt>
                <c:pt idx="39">
                  <c:v>74.682802383199999</c:v>
                </c:pt>
                <c:pt idx="40">
                  <c:v>73.709334458399994</c:v>
                </c:pt>
                <c:pt idx="41">
                  <c:v>72.557265190999999</c:v>
                </c:pt>
                <c:pt idx="42">
                  <c:v>71.183229140500003</c:v>
                </c:pt>
                <c:pt idx="43">
                  <c:v>72.316121109999997</c:v>
                </c:pt>
                <c:pt idx="44">
                  <c:v>73.107685501600002</c:v>
                </c:pt>
                <c:pt idx="45">
                  <c:v>73.380242517599996</c:v>
                </c:pt>
                <c:pt idx="46">
                  <c:v>71.4484274884</c:v>
                </c:pt>
                <c:pt idx="47">
                  <c:v>72.686117186499999</c:v>
                </c:pt>
                <c:pt idx="48">
                  <c:v>71.856262028399996</c:v>
                </c:pt>
                <c:pt idx="49">
                  <c:v>72.583127975599993</c:v>
                </c:pt>
                <c:pt idx="50">
                  <c:v>73.013073098700005</c:v>
                </c:pt>
                <c:pt idx="51">
                  <c:v>73.659274878900007</c:v>
                </c:pt>
                <c:pt idx="52">
                  <c:v>73.369217731800006</c:v>
                </c:pt>
                <c:pt idx="53">
                  <c:v>76.198709376099998</c:v>
                </c:pt>
                <c:pt idx="54">
                  <c:v>76.270768839699997</c:v>
                </c:pt>
                <c:pt idx="55">
                  <c:v>75.219027315199995</c:v>
                </c:pt>
                <c:pt idx="56">
                  <c:v>73.908305715400004</c:v>
                </c:pt>
                <c:pt idx="57">
                  <c:v>74.577329581300006</c:v>
                </c:pt>
                <c:pt idx="58">
                  <c:v>74.767735931800004</c:v>
                </c:pt>
                <c:pt idx="59">
                  <c:v>75.503407978799999</c:v>
                </c:pt>
                <c:pt idx="60">
                  <c:v>76.797223948099997</c:v>
                </c:pt>
                <c:pt idx="61">
                  <c:v>74.964258796600006</c:v>
                </c:pt>
                <c:pt idx="62">
                  <c:v>76.661325062000003</c:v>
                </c:pt>
                <c:pt idx="63">
                  <c:v>78.534085487699997</c:v>
                </c:pt>
                <c:pt idx="64">
                  <c:v>78.452258847300001</c:v>
                </c:pt>
                <c:pt idx="65">
                  <c:v>78.8863827399</c:v>
                </c:pt>
                <c:pt idx="66">
                  <c:v>81.852922485199997</c:v>
                </c:pt>
                <c:pt idx="67">
                  <c:v>84.443214726799994</c:v>
                </c:pt>
                <c:pt idx="68">
                  <c:v>84.221896355599995</c:v>
                </c:pt>
                <c:pt idx="69">
                  <c:v>85.745622215099999</c:v>
                </c:pt>
                <c:pt idx="70">
                  <c:v>87.491899048999997</c:v>
                </c:pt>
                <c:pt idx="71">
                  <c:v>86.7271143201</c:v>
                </c:pt>
                <c:pt idx="72">
                  <c:v>87.760626400800007</c:v>
                </c:pt>
                <c:pt idx="73">
                  <c:v>88.740772699499999</c:v>
                </c:pt>
                <c:pt idx="74">
                  <c:v>88.711532648299993</c:v>
                </c:pt>
                <c:pt idx="75">
                  <c:v>89.939178971100006</c:v>
                </c:pt>
                <c:pt idx="76">
                  <c:v>90.099622207500005</c:v>
                </c:pt>
                <c:pt idx="77">
                  <c:v>86.996464597300005</c:v>
                </c:pt>
                <c:pt idx="78">
                  <c:v>90.294133693199996</c:v>
                </c:pt>
                <c:pt idx="79">
                  <c:v>90.397866950999997</c:v>
                </c:pt>
                <c:pt idx="80">
                  <c:v>89.083207731900004</c:v>
                </c:pt>
                <c:pt idx="81">
                  <c:v>87.872289031600005</c:v>
                </c:pt>
                <c:pt idx="82">
                  <c:v>87.620635219500002</c:v>
                </c:pt>
                <c:pt idx="83">
                  <c:v>86.093975237899997</c:v>
                </c:pt>
                <c:pt idx="84">
                  <c:v>84.103651939399995</c:v>
                </c:pt>
                <c:pt idx="85">
                  <c:v>83.468016906599999</c:v>
                </c:pt>
                <c:pt idx="86">
                  <c:v>83.934463410700005</c:v>
                </c:pt>
                <c:pt idx="87">
                  <c:v>84.910267244300002</c:v>
                </c:pt>
                <c:pt idx="88">
                  <c:v>86.414308635200001</c:v>
                </c:pt>
                <c:pt idx="89">
                  <c:v>87.688748092599994</c:v>
                </c:pt>
                <c:pt idx="90">
                  <c:v>89.655467012200006</c:v>
                </c:pt>
                <c:pt idx="91">
                  <c:v>91.687668925799997</c:v>
                </c:pt>
                <c:pt idx="92">
                  <c:v>92.627585091100002</c:v>
                </c:pt>
                <c:pt idx="93">
                  <c:v>92.748598075700002</c:v>
                </c:pt>
                <c:pt idx="94">
                  <c:v>91.922665398800007</c:v>
                </c:pt>
                <c:pt idx="95">
                  <c:v>91.446667223600002</c:v>
                </c:pt>
                <c:pt idx="96">
                  <c:v>93.1586169208</c:v>
                </c:pt>
                <c:pt idx="97">
                  <c:v>89.999755477299999</c:v>
                </c:pt>
                <c:pt idx="98">
                  <c:v>93.426753898900003</c:v>
                </c:pt>
                <c:pt idx="99">
                  <c:v>97.528117922500002</c:v>
                </c:pt>
                <c:pt idx="100">
                  <c:v>98.769120771600001</c:v>
                </c:pt>
              </c:numCache>
            </c:numRef>
          </c:yVal>
          <c:smooth val="1"/>
        </c:ser>
        <c:ser>
          <c:idx val="8"/>
          <c:order val="8"/>
          <c:tx>
            <c:strRef>
              <c:f>S_plus!$U$1</c:f>
              <c:strCache>
                <c:ptCount val="1"/>
                <c:pt idx="0">
                  <c:v>Sim9</c:v>
                </c:pt>
              </c:strCache>
            </c:strRef>
          </c:tx>
          <c:marker>
            <c:symbol val="none"/>
          </c:marker>
          <c:xVal>
            <c:numRef>
              <c:f>S_plus!$L$2:$L$102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S_plus!$U$2:$U$102</c:f>
              <c:numCache>
                <c:formatCode>General</c:formatCode>
                <c:ptCount val="101"/>
                <c:pt idx="0">
                  <c:v>100</c:v>
                </c:pt>
                <c:pt idx="1">
                  <c:v>100.91608721199999</c:v>
                </c:pt>
                <c:pt idx="2">
                  <c:v>103.756453169</c:v>
                </c:pt>
                <c:pt idx="3">
                  <c:v>103.84566909</c:v>
                </c:pt>
                <c:pt idx="4">
                  <c:v>107.401832404</c:v>
                </c:pt>
                <c:pt idx="5">
                  <c:v>110.92087042999999</c:v>
                </c:pt>
                <c:pt idx="6">
                  <c:v>113.629930223</c:v>
                </c:pt>
                <c:pt idx="7">
                  <c:v>108.50230934699999</c:v>
                </c:pt>
                <c:pt idx="8">
                  <c:v>108.590904291</c:v>
                </c:pt>
                <c:pt idx="9">
                  <c:v>110.4050438</c:v>
                </c:pt>
                <c:pt idx="10">
                  <c:v>113.050352031</c:v>
                </c:pt>
                <c:pt idx="11">
                  <c:v>115.58919907799999</c:v>
                </c:pt>
                <c:pt idx="12">
                  <c:v>112.773752406</c:v>
                </c:pt>
                <c:pt idx="13">
                  <c:v>111.968825626</c:v>
                </c:pt>
                <c:pt idx="14">
                  <c:v>114.62669652</c:v>
                </c:pt>
                <c:pt idx="15">
                  <c:v>110.38376407</c:v>
                </c:pt>
                <c:pt idx="16">
                  <c:v>110.68860754400001</c:v>
                </c:pt>
                <c:pt idx="17">
                  <c:v>112.309933347</c:v>
                </c:pt>
                <c:pt idx="18">
                  <c:v>110.969664016</c:v>
                </c:pt>
                <c:pt idx="19">
                  <c:v>109.375385542</c:v>
                </c:pt>
                <c:pt idx="20">
                  <c:v>109.91398943599999</c:v>
                </c:pt>
                <c:pt idx="21">
                  <c:v>111.707008487</c:v>
                </c:pt>
                <c:pt idx="22">
                  <c:v>110.11308461199999</c:v>
                </c:pt>
                <c:pt idx="23">
                  <c:v>113.653775138</c:v>
                </c:pt>
                <c:pt idx="24">
                  <c:v>114.190010857</c:v>
                </c:pt>
                <c:pt idx="25">
                  <c:v>114.19448148399999</c:v>
                </c:pt>
                <c:pt idx="26">
                  <c:v>115.49998642600001</c:v>
                </c:pt>
                <c:pt idx="27">
                  <c:v>117.863677944</c:v>
                </c:pt>
                <c:pt idx="28">
                  <c:v>116.186213786</c:v>
                </c:pt>
                <c:pt idx="29">
                  <c:v>118.738715923</c:v>
                </c:pt>
                <c:pt idx="30">
                  <c:v>119.18312367199999</c:v>
                </c:pt>
                <c:pt idx="31">
                  <c:v>117.532244357</c:v>
                </c:pt>
                <c:pt idx="32">
                  <c:v>117.842127687</c:v>
                </c:pt>
                <c:pt idx="33">
                  <c:v>112.75985272699999</c:v>
                </c:pt>
                <c:pt idx="34">
                  <c:v>112.296255421</c:v>
                </c:pt>
                <c:pt idx="35">
                  <c:v>110.776222655</c:v>
                </c:pt>
                <c:pt idx="36">
                  <c:v>111.87325094800001</c:v>
                </c:pt>
                <c:pt idx="37">
                  <c:v>112.698931531</c:v>
                </c:pt>
                <c:pt idx="38">
                  <c:v>115.17664630100001</c:v>
                </c:pt>
                <c:pt idx="39">
                  <c:v>116.344474621</c:v>
                </c:pt>
                <c:pt idx="40">
                  <c:v>118.49930313900001</c:v>
                </c:pt>
                <c:pt idx="41">
                  <c:v>116.286726233</c:v>
                </c:pt>
                <c:pt idx="42">
                  <c:v>120.24574588199999</c:v>
                </c:pt>
                <c:pt idx="43">
                  <c:v>120.99051308999999</c:v>
                </c:pt>
                <c:pt idx="44">
                  <c:v>119.434798814</c:v>
                </c:pt>
                <c:pt idx="45">
                  <c:v>117.123444142</c:v>
                </c:pt>
                <c:pt idx="46">
                  <c:v>119.501704694</c:v>
                </c:pt>
                <c:pt idx="47">
                  <c:v>117.36366293099999</c:v>
                </c:pt>
                <c:pt idx="48">
                  <c:v>116.151744357</c:v>
                </c:pt>
                <c:pt idx="49">
                  <c:v>113.92655089900001</c:v>
                </c:pt>
                <c:pt idx="50">
                  <c:v>111.64117175200001</c:v>
                </c:pt>
                <c:pt idx="51">
                  <c:v>107.511839098</c:v>
                </c:pt>
                <c:pt idx="52">
                  <c:v>112.755604199</c:v>
                </c:pt>
                <c:pt idx="53">
                  <c:v>108.549533931</c:v>
                </c:pt>
                <c:pt idx="54">
                  <c:v>107.752727279</c:v>
                </c:pt>
                <c:pt idx="55">
                  <c:v>106.433273403</c:v>
                </c:pt>
                <c:pt idx="56">
                  <c:v>107.37846974</c:v>
                </c:pt>
                <c:pt idx="57">
                  <c:v>104.106251093</c:v>
                </c:pt>
                <c:pt idx="58">
                  <c:v>102.41695645599999</c:v>
                </c:pt>
                <c:pt idx="59">
                  <c:v>103.925678228</c:v>
                </c:pt>
                <c:pt idx="60">
                  <c:v>102.747793225</c:v>
                </c:pt>
                <c:pt idx="61">
                  <c:v>104.536076541</c:v>
                </c:pt>
                <c:pt idx="62">
                  <c:v>106.998377983</c:v>
                </c:pt>
                <c:pt idx="63">
                  <c:v>104.63683373400001</c:v>
                </c:pt>
                <c:pt idx="64">
                  <c:v>102.419181768</c:v>
                </c:pt>
                <c:pt idx="65">
                  <c:v>104.749858644</c:v>
                </c:pt>
                <c:pt idx="66">
                  <c:v>107.822674213</c:v>
                </c:pt>
                <c:pt idx="67">
                  <c:v>109.559324674</c:v>
                </c:pt>
                <c:pt idx="68">
                  <c:v>111.76985157</c:v>
                </c:pt>
                <c:pt idx="69">
                  <c:v>114.50892471500001</c:v>
                </c:pt>
                <c:pt idx="70">
                  <c:v>117.989124136</c:v>
                </c:pt>
                <c:pt idx="71">
                  <c:v>117.955871047</c:v>
                </c:pt>
                <c:pt idx="72">
                  <c:v>118.78941335</c:v>
                </c:pt>
                <c:pt idx="73">
                  <c:v>117.928865945</c:v>
                </c:pt>
                <c:pt idx="74">
                  <c:v>118.902210466</c:v>
                </c:pt>
                <c:pt idx="75">
                  <c:v>116.427084029</c:v>
                </c:pt>
                <c:pt idx="76">
                  <c:v>116.285114436</c:v>
                </c:pt>
                <c:pt idx="77">
                  <c:v>118.49419107999999</c:v>
                </c:pt>
                <c:pt idx="78">
                  <c:v>117.76187723300001</c:v>
                </c:pt>
                <c:pt idx="79">
                  <c:v>115.377388372</c:v>
                </c:pt>
                <c:pt idx="80">
                  <c:v>112.767565621</c:v>
                </c:pt>
                <c:pt idx="81">
                  <c:v>112.35775638299999</c:v>
                </c:pt>
                <c:pt idx="82">
                  <c:v>112.27806890399999</c:v>
                </c:pt>
                <c:pt idx="83">
                  <c:v>112.188921853</c:v>
                </c:pt>
                <c:pt idx="84">
                  <c:v>113.371280607</c:v>
                </c:pt>
                <c:pt idx="85">
                  <c:v>114.26832898799999</c:v>
                </c:pt>
                <c:pt idx="86">
                  <c:v>113.413808632</c:v>
                </c:pt>
                <c:pt idx="87">
                  <c:v>115.500473787</c:v>
                </c:pt>
                <c:pt idx="88">
                  <c:v>117.052980143</c:v>
                </c:pt>
                <c:pt idx="89">
                  <c:v>120.94380894299999</c:v>
                </c:pt>
                <c:pt idx="90">
                  <c:v>120.09503043799999</c:v>
                </c:pt>
                <c:pt idx="91">
                  <c:v>120.094286612</c:v>
                </c:pt>
                <c:pt idx="92">
                  <c:v>116.981862306</c:v>
                </c:pt>
                <c:pt idx="93">
                  <c:v>115.21014291100001</c:v>
                </c:pt>
                <c:pt idx="94">
                  <c:v>116.887197556</c:v>
                </c:pt>
                <c:pt idx="95">
                  <c:v>116.82966543800001</c:v>
                </c:pt>
                <c:pt idx="96">
                  <c:v>116.936798332</c:v>
                </c:pt>
                <c:pt idx="97">
                  <c:v>113.59957314899999</c:v>
                </c:pt>
                <c:pt idx="98">
                  <c:v>113.31759492099999</c:v>
                </c:pt>
                <c:pt idx="99">
                  <c:v>112.413539359</c:v>
                </c:pt>
                <c:pt idx="100">
                  <c:v>111.213842744</c:v>
                </c:pt>
              </c:numCache>
            </c:numRef>
          </c:yVal>
          <c:smooth val="1"/>
        </c:ser>
        <c:ser>
          <c:idx val="9"/>
          <c:order val="9"/>
          <c:tx>
            <c:strRef>
              <c:f>S_plus!$V$1</c:f>
              <c:strCache>
                <c:ptCount val="1"/>
                <c:pt idx="0">
                  <c:v>Sim10</c:v>
                </c:pt>
              </c:strCache>
            </c:strRef>
          </c:tx>
          <c:marker>
            <c:symbol val="none"/>
          </c:marker>
          <c:xVal>
            <c:numRef>
              <c:f>S_plus!$L$2:$L$102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S_plus!$V$2:$V$102</c:f>
              <c:numCache>
                <c:formatCode>General</c:formatCode>
                <c:ptCount val="101"/>
                <c:pt idx="0">
                  <c:v>100</c:v>
                </c:pt>
                <c:pt idx="1">
                  <c:v>98.064869725700007</c:v>
                </c:pt>
                <c:pt idx="2">
                  <c:v>92.849641875100005</c:v>
                </c:pt>
                <c:pt idx="3">
                  <c:v>95.284492116099997</c:v>
                </c:pt>
                <c:pt idx="4">
                  <c:v>95.907033655299998</c:v>
                </c:pt>
                <c:pt idx="5">
                  <c:v>95.055831682299996</c:v>
                </c:pt>
                <c:pt idx="6">
                  <c:v>94.780235453499998</c:v>
                </c:pt>
                <c:pt idx="7">
                  <c:v>97.323790193600004</c:v>
                </c:pt>
                <c:pt idx="8">
                  <c:v>100.349359408</c:v>
                </c:pt>
                <c:pt idx="9">
                  <c:v>100.97651076</c:v>
                </c:pt>
                <c:pt idx="10">
                  <c:v>102.268166255</c:v>
                </c:pt>
                <c:pt idx="11">
                  <c:v>98.244372339400002</c:v>
                </c:pt>
                <c:pt idx="12">
                  <c:v>95.432588917800004</c:v>
                </c:pt>
                <c:pt idx="13">
                  <c:v>95.561850383800007</c:v>
                </c:pt>
                <c:pt idx="14">
                  <c:v>94.298905783999999</c:v>
                </c:pt>
                <c:pt idx="15">
                  <c:v>95.055497630299996</c:v>
                </c:pt>
                <c:pt idx="16">
                  <c:v>94.561866506399994</c:v>
                </c:pt>
                <c:pt idx="17">
                  <c:v>94.898998565900001</c:v>
                </c:pt>
                <c:pt idx="18">
                  <c:v>96.667615226199999</c:v>
                </c:pt>
                <c:pt idx="19">
                  <c:v>96.762854537799996</c:v>
                </c:pt>
                <c:pt idx="20">
                  <c:v>97.058523115400007</c:v>
                </c:pt>
                <c:pt idx="21">
                  <c:v>100.663803628</c:v>
                </c:pt>
                <c:pt idx="22">
                  <c:v>101.213829244</c:v>
                </c:pt>
                <c:pt idx="23">
                  <c:v>101.029456309</c:v>
                </c:pt>
                <c:pt idx="24">
                  <c:v>103.541534274</c:v>
                </c:pt>
                <c:pt idx="25">
                  <c:v>104.81116192099999</c:v>
                </c:pt>
                <c:pt idx="26">
                  <c:v>104.53634075799999</c:v>
                </c:pt>
                <c:pt idx="27">
                  <c:v>105.43071607900001</c:v>
                </c:pt>
                <c:pt idx="28">
                  <c:v>103.737522613</c:v>
                </c:pt>
                <c:pt idx="29">
                  <c:v>99.809722850699998</c:v>
                </c:pt>
                <c:pt idx="30">
                  <c:v>102.780662724</c:v>
                </c:pt>
                <c:pt idx="31">
                  <c:v>102.14623828000001</c:v>
                </c:pt>
                <c:pt idx="32">
                  <c:v>99.926732672699998</c:v>
                </c:pt>
                <c:pt idx="33">
                  <c:v>104.824604896</c:v>
                </c:pt>
                <c:pt idx="34">
                  <c:v>101.58898089100001</c:v>
                </c:pt>
                <c:pt idx="35">
                  <c:v>102.71591284599999</c:v>
                </c:pt>
                <c:pt idx="36">
                  <c:v>102.563281418</c:v>
                </c:pt>
                <c:pt idx="37">
                  <c:v>105.06163584700001</c:v>
                </c:pt>
                <c:pt idx="38">
                  <c:v>103.85625545000001</c:v>
                </c:pt>
                <c:pt idx="39">
                  <c:v>103.12136235</c:v>
                </c:pt>
                <c:pt idx="40">
                  <c:v>102.03811006700001</c:v>
                </c:pt>
                <c:pt idx="41">
                  <c:v>103.25215867999999</c:v>
                </c:pt>
                <c:pt idx="42">
                  <c:v>104.87497620400001</c:v>
                </c:pt>
                <c:pt idx="43">
                  <c:v>102.84157065700001</c:v>
                </c:pt>
                <c:pt idx="44">
                  <c:v>104.045207037</c:v>
                </c:pt>
                <c:pt idx="45">
                  <c:v>105.430791954</c:v>
                </c:pt>
                <c:pt idx="46">
                  <c:v>102.572641546</c:v>
                </c:pt>
                <c:pt idx="47">
                  <c:v>105.798450911</c:v>
                </c:pt>
                <c:pt idx="48">
                  <c:v>108.498379958</c:v>
                </c:pt>
                <c:pt idx="49">
                  <c:v>111.11181014500001</c:v>
                </c:pt>
                <c:pt idx="50">
                  <c:v>112.927440519</c:v>
                </c:pt>
                <c:pt idx="51">
                  <c:v>107.447994357</c:v>
                </c:pt>
                <c:pt idx="52">
                  <c:v>112.13435090599999</c:v>
                </c:pt>
                <c:pt idx="53">
                  <c:v>110.411158179</c:v>
                </c:pt>
                <c:pt idx="54">
                  <c:v>110.412737308</c:v>
                </c:pt>
                <c:pt idx="55">
                  <c:v>110.54952661199999</c:v>
                </c:pt>
                <c:pt idx="56">
                  <c:v>109.960274717</c:v>
                </c:pt>
                <c:pt idx="57">
                  <c:v>111.720041643</c:v>
                </c:pt>
                <c:pt idx="58">
                  <c:v>114.79816832100001</c:v>
                </c:pt>
                <c:pt idx="59">
                  <c:v>115.350520972</c:v>
                </c:pt>
                <c:pt idx="60">
                  <c:v>115.589395602</c:v>
                </c:pt>
                <c:pt idx="61">
                  <c:v>117.480992837</c:v>
                </c:pt>
                <c:pt idx="62">
                  <c:v>117.407116548</c:v>
                </c:pt>
                <c:pt idx="63">
                  <c:v>118.41609603400001</c:v>
                </c:pt>
                <c:pt idx="64">
                  <c:v>118.195985831</c:v>
                </c:pt>
                <c:pt idx="65">
                  <c:v>117.40749230500001</c:v>
                </c:pt>
                <c:pt idx="66">
                  <c:v>119.373782562</c:v>
                </c:pt>
                <c:pt idx="67">
                  <c:v>118.83976742900001</c:v>
                </c:pt>
                <c:pt idx="68">
                  <c:v>120.896490206</c:v>
                </c:pt>
                <c:pt idx="69">
                  <c:v>118.775206001</c:v>
                </c:pt>
                <c:pt idx="70">
                  <c:v>119.863803721</c:v>
                </c:pt>
                <c:pt idx="71">
                  <c:v>122.62862060499999</c:v>
                </c:pt>
                <c:pt idx="72">
                  <c:v>131.36112816599999</c:v>
                </c:pt>
                <c:pt idx="73">
                  <c:v>129.145548332</c:v>
                </c:pt>
                <c:pt idx="74">
                  <c:v>128.30201077000001</c:v>
                </c:pt>
                <c:pt idx="75">
                  <c:v>125.76355044899999</c:v>
                </c:pt>
                <c:pt idx="76">
                  <c:v>124.22464517100001</c:v>
                </c:pt>
                <c:pt idx="77">
                  <c:v>124.306999737</c:v>
                </c:pt>
                <c:pt idx="78">
                  <c:v>127.36110688300001</c:v>
                </c:pt>
                <c:pt idx="79">
                  <c:v>130.130961762</c:v>
                </c:pt>
                <c:pt idx="80">
                  <c:v>133.33627982900001</c:v>
                </c:pt>
                <c:pt idx="81">
                  <c:v>133.99150248399999</c:v>
                </c:pt>
                <c:pt idx="82">
                  <c:v>136.78162998799999</c:v>
                </c:pt>
                <c:pt idx="83">
                  <c:v>138.13985538099999</c:v>
                </c:pt>
                <c:pt idx="84">
                  <c:v>137.95620033500001</c:v>
                </c:pt>
                <c:pt idx="85">
                  <c:v>139.55880852300001</c:v>
                </c:pt>
                <c:pt idx="86">
                  <c:v>142.020958853</c:v>
                </c:pt>
                <c:pt idx="87">
                  <c:v>139.14736754</c:v>
                </c:pt>
                <c:pt idx="88">
                  <c:v>138.81222566899999</c:v>
                </c:pt>
                <c:pt idx="89">
                  <c:v>136.35883380499999</c:v>
                </c:pt>
                <c:pt idx="90">
                  <c:v>138.95171949799999</c:v>
                </c:pt>
                <c:pt idx="91">
                  <c:v>140.39245005999999</c:v>
                </c:pt>
                <c:pt idx="92">
                  <c:v>138.976934175</c:v>
                </c:pt>
                <c:pt idx="93">
                  <c:v>135.46539149899999</c:v>
                </c:pt>
                <c:pt idx="94">
                  <c:v>138.38963461399999</c:v>
                </c:pt>
                <c:pt idx="95">
                  <c:v>138.33544661600001</c:v>
                </c:pt>
                <c:pt idx="96">
                  <c:v>139.78504763699999</c:v>
                </c:pt>
                <c:pt idx="97">
                  <c:v>139.18733750800001</c:v>
                </c:pt>
                <c:pt idx="98">
                  <c:v>137.94184389</c:v>
                </c:pt>
                <c:pt idx="99">
                  <c:v>137.16154114299999</c:v>
                </c:pt>
                <c:pt idx="100">
                  <c:v>139.79379029500001</c:v>
                </c:pt>
              </c:numCache>
            </c:numRef>
          </c:yVal>
          <c:smooth val="1"/>
        </c:ser>
        <c:ser>
          <c:idx val="10"/>
          <c:order val="10"/>
          <c:tx>
            <c:strRef>
              <c:f>S_plus!$W$1</c:f>
              <c:strCache>
                <c:ptCount val="1"/>
                <c:pt idx="0">
                  <c:v>Sim11</c:v>
                </c:pt>
              </c:strCache>
            </c:strRef>
          </c:tx>
          <c:marker>
            <c:symbol val="none"/>
          </c:marker>
          <c:xVal>
            <c:numRef>
              <c:f>S_plus!$L$2:$L$102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S_plus!$W$2:$W$102</c:f>
              <c:numCache>
                <c:formatCode>General</c:formatCode>
                <c:ptCount val="101"/>
                <c:pt idx="0">
                  <c:v>100</c:v>
                </c:pt>
                <c:pt idx="1">
                  <c:v>100.622756436</c:v>
                </c:pt>
                <c:pt idx="2">
                  <c:v>100.699499195</c:v>
                </c:pt>
                <c:pt idx="3">
                  <c:v>101.66570235899999</c:v>
                </c:pt>
                <c:pt idx="4">
                  <c:v>102.15800766700001</c:v>
                </c:pt>
                <c:pt idx="5">
                  <c:v>101.34469056</c:v>
                </c:pt>
                <c:pt idx="6">
                  <c:v>100.555092149</c:v>
                </c:pt>
                <c:pt idx="7">
                  <c:v>99.526296383900004</c:v>
                </c:pt>
                <c:pt idx="8">
                  <c:v>99.178444933600005</c:v>
                </c:pt>
                <c:pt idx="9">
                  <c:v>100.449969465</c:v>
                </c:pt>
                <c:pt idx="10">
                  <c:v>99.365468657099996</c:v>
                </c:pt>
                <c:pt idx="11">
                  <c:v>97.729241700700001</c:v>
                </c:pt>
                <c:pt idx="12">
                  <c:v>102.264584434</c:v>
                </c:pt>
                <c:pt idx="13">
                  <c:v>104.28598603099999</c:v>
                </c:pt>
                <c:pt idx="14">
                  <c:v>104.64120945499999</c:v>
                </c:pt>
                <c:pt idx="15">
                  <c:v>104.78555891400001</c:v>
                </c:pt>
                <c:pt idx="16">
                  <c:v>99.688320196299998</c:v>
                </c:pt>
                <c:pt idx="17">
                  <c:v>101.26477370400001</c:v>
                </c:pt>
                <c:pt idx="18">
                  <c:v>102.090939858</c:v>
                </c:pt>
                <c:pt idx="19">
                  <c:v>100.041797566</c:v>
                </c:pt>
                <c:pt idx="20">
                  <c:v>101.894002762</c:v>
                </c:pt>
                <c:pt idx="21">
                  <c:v>98.964688179500001</c:v>
                </c:pt>
                <c:pt idx="22">
                  <c:v>100.040855624</c:v>
                </c:pt>
                <c:pt idx="23">
                  <c:v>99.204142688900006</c:v>
                </c:pt>
                <c:pt idx="24">
                  <c:v>99.483500213200003</c:v>
                </c:pt>
                <c:pt idx="25">
                  <c:v>101.418467271</c:v>
                </c:pt>
                <c:pt idx="26">
                  <c:v>104.137099147</c:v>
                </c:pt>
                <c:pt idx="27">
                  <c:v>103.096291096</c:v>
                </c:pt>
                <c:pt idx="28">
                  <c:v>102.892199734</c:v>
                </c:pt>
                <c:pt idx="29">
                  <c:v>102.05432119</c:v>
                </c:pt>
                <c:pt idx="30">
                  <c:v>105.472783445</c:v>
                </c:pt>
                <c:pt idx="31">
                  <c:v>103.965647236</c:v>
                </c:pt>
                <c:pt idx="32">
                  <c:v>100.685425302</c:v>
                </c:pt>
                <c:pt idx="33">
                  <c:v>101.31693116700001</c:v>
                </c:pt>
                <c:pt idx="34">
                  <c:v>97.674462308100004</c:v>
                </c:pt>
                <c:pt idx="35">
                  <c:v>98.4628064419</c:v>
                </c:pt>
                <c:pt idx="36">
                  <c:v>97.701816126099999</c:v>
                </c:pt>
                <c:pt idx="37">
                  <c:v>102.061733111</c:v>
                </c:pt>
                <c:pt idx="38">
                  <c:v>105.148664772</c:v>
                </c:pt>
                <c:pt idx="39">
                  <c:v>107.2657164</c:v>
                </c:pt>
                <c:pt idx="40">
                  <c:v>111.47538554400001</c:v>
                </c:pt>
                <c:pt idx="41">
                  <c:v>109.625007482</c:v>
                </c:pt>
                <c:pt idx="42">
                  <c:v>107.34889323599999</c:v>
                </c:pt>
                <c:pt idx="43">
                  <c:v>107.293122196</c:v>
                </c:pt>
                <c:pt idx="44">
                  <c:v>104.944374912</c:v>
                </c:pt>
                <c:pt idx="45">
                  <c:v>107.921226968</c:v>
                </c:pt>
                <c:pt idx="46">
                  <c:v>104.854964188</c:v>
                </c:pt>
                <c:pt idx="47">
                  <c:v>106.052286611</c:v>
                </c:pt>
                <c:pt idx="48">
                  <c:v>105.431942221</c:v>
                </c:pt>
                <c:pt idx="49">
                  <c:v>106.051636766</c:v>
                </c:pt>
                <c:pt idx="50">
                  <c:v>106.75769856300001</c:v>
                </c:pt>
                <c:pt idx="51">
                  <c:v>108.20958881999999</c:v>
                </c:pt>
                <c:pt idx="52">
                  <c:v>106.748834312</c:v>
                </c:pt>
                <c:pt idx="53">
                  <c:v>107.68972261</c:v>
                </c:pt>
                <c:pt idx="54">
                  <c:v>105.334985461</c:v>
                </c:pt>
                <c:pt idx="55">
                  <c:v>103.442818565</c:v>
                </c:pt>
                <c:pt idx="56">
                  <c:v>100.375301228</c:v>
                </c:pt>
                <c:pt idx="57">
                  <c:v>101.162508997</c:v>
                </c:pt>
                <c:pt idx="58">
                  <c:v>102.261156097</c:v>
                </c:pt>
                <c:pt idx="59">
                  <c:v>106.170932174</c:v>
                </c:pt>
                <c:pt idx="60">
                  <c:v>106.751242249</c:v>
                </c:pt>
                <c:pt idx="61">
                  <c:v>108.63321281899999</c:v>
                </c:pt>
                <c:pt idx="62">
                  <c:v>103.678401916</c:v>
                </c:pt>
                <c:pt idx="63">
                  <c:v>106.578400782</c:v>
                </c:pt>
                <c:pt idx="64">
                  <c:v>105.97343065</c:v>
                </c:pt>
                <c:pt idx="65">
                  <c:v>110.90746701499999</c:v>
                </c:pt>
                <c:pt idx="66">
                  <c:v>109.847432209</c:v>
                </c:pt>
                <c:pt idx="67">
                  <c:v>106.359242493</c:v>
                </c:pt>
                <c:pt idx="68">
                  <c:v>108.462323309</c:v>
                </c:pt>
                <c:pt idx="69">
                  <c:v>108.149791744</c:v>
                </c:pt>
                <c:pt idx="70">
                  <c:v>113.31809029</c:v>
                </c:pt>
                <c:pt idx="71">
                  <c:v>111.831538147</c:v>
                </c:pt>
                <c:pt idx="72">
                  <c:v>109.74160546500001</c:v>
                </c:pt>
                <c:pt idx="73">
                  <c:v>109.153850636</c:v>
                </c:pt>
                <c:pt idx="74">
                  <c:v>108.91173193900001</c:v>
                </c:pt>
                <c:pt idx="75">
                  <c:v>108.01872214700001</c:v>
                </c:pt>
                <c:pt idx="76">
                  <c:v>110.670975654</c:v>
                </c:pt>
                <c:pt idx="77">
                  <c:v>113.05955157699999</c:v>
                </c:pt>
                <c:pt idx="78">
                  <c:v>113.43045152000001</c:v>
                </c:pt>
                <c:pt idx="79">
                  <c:v>113.730048651</c:v>
                </c:pt>
                <c:pt idx="80">
                  <c:v>110.509236719</c:v>
                </c:pt>
                <c:pt idx="81">
                  <c:v>113.853232181</c:v>
                </c:pt>
                <c:pt idx="82">
                  <c:v>110.72972585700001</c:v>
                </c:pt>
                <c:pt idx="83">
                  <c:v>109.084042899</c:v>
                </c:pt>
                <c:pt idx="84">
                  <c:v>106.32154976699999</c:v>
                </c:pt>
                <c:pt idx="85">
                  <c:v>107.618008588</c:v>
                </c:pt>
                <c:pt idx="86">
                  <c:v>106.89788237800001</c:v>
                </c:pt>
                <c:pt idx="87">
                  <c:v>107.492992368</c:v>
                </c:pt>
                <c:pt idx="88">
                  <c:v>104.575588505</c:v>
                </c:pt>
                <c:pt idx="89">
                  <c:v>106.895220361</c:v>
                </c:pt>
                <c:pt idx="90">
                  <c:v>108.14432574600001</c:v>
                </c:pt>
                <c:pt idx="91">
                  <c:v>106.83837391599999</c:v>
                </c:pt>
                <c:pt idx="92">
                  <c:v>106.245036353</c:v>
                </c:pt>
                <c:pt idx="93">
                  <c:v>105.71454522400001</c:v>
                </c:pt>
                <c:pt idx="94">
                  <c:v>102.12677451499999</c:v>
                </c:pt>
                <c:pt idx="95">
                  <c:v>100.81897303300001</c:v>
                </c:pt>
                <c:pt idx="96">
                  <c:v>96.598922095399999</c:v>
                </c:pt>
                <c:pt idx="97">
                  <c:v>94.294319488799999</c:v>
                </c:pt>
                <c:pt idx="98">
                  <c:v>92.854269369500003</c:v>
                </c:pt>
                <c:pt idx="99">
                  <c:v>93.681417399599994</c:v>
                </c:pt>
                <c:pt idx="100">
                  <c:v>94.337950356099995</c:v>
                </c:pt>
              </c:numCache>
            </c:numRef>
          </c:yVal>
          <c:smooth val="1"/>
        </c:ser>
        <c:ser>
          <c:idx val="11"/>
          <c:order val="11"/>
          <c:tx>
            <c:strRef>
              <c:f>S_plus!$X$1</c:f>
              <c:strCache>
                <c:ptCount val="1"/>
                <c:pt idx="0">
                  <c:v>Sim12</c:v>
                </c:pt>
              </c:strCache>
            </c:strRef>
          </c:tx>
          <c:marker>
            <c:symbol val="none"/>
          </c:marker>
          <c:xVal>
            <c:numRef>
              <c:f>S_plus!$L$2:$L$102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S_plus!$X$2:$X$102</c:f>
              <c:numCache>
                <c:formatCode>General</c:formatCode>
                <c:ptCount val="101"/>
                <c:pt idx="0">
                  <c:v>100</c:v>
                </c:pt>
                <c:pt idx="1">
                  <c:v>100.114354936</c:v>
                </c:pt>
                <c:pt idx="2">
                  <c:v>99.462606894299995</c:v>
                </c:pt>
                <c:pt idx="3">
                  <c:v>99.961966499400006</c:v>
                </c:pt>
                <c:pt idx="4">
                  <c:v>97.762352807400006</c:v>
                </c:pt>
                <c:pt idx="5">
                  <c:v>100.358532692</c:v>
                </c:pt>
                <c:pt idx="6">
                  <c:v>104.90428955599999</c:v>
                </c:pt>
                <c:pt idx="7">
                  <c:v>105.467928783</c:v>
                </c:pt>
                <c:pt idx="8">
                  <c:v>105.567393192</c:v>
                </c:pt>
                <c:pt idx="9">
                  <c:v>105.90465104099999</c:v>
                </c:pt>
                <c:pt idx="10">
                  <c:v>101.84165080299999</c:v>
                </c:pt>
                <c:pt idx="11">
                  <c:v>99.901127281000001</c:v>
                </c:pt>
                <c:pt idx="12">
                  <c:v>98.416030871499999</c:v>
                </c:pt>
                <c:pt idx="13">
                  <c:v>96.010093633300002</c:v>
                </c:pt>
                <c:pt idx="14">
                  <c:v>97.346176224999994</c:v>
                </c:pt>
                <c:pt idx="15">
                  <c:v>98.2082224153</c:v>
                </c:pt>
                <c:pt idx="16">
                  <c:v>99.299777563800006</c:v>
                </c:pt>
                <c:pt idx="17">
                  <c:v>100.284516313</c:v>
                </c:pt>
                <c:pt idx="18">
                  <c:v>100.495422815</c:v>
                </c:pt>
                <c:pt idx="19">
                  <c:v>103.169581318</c:v>
                </c:pt>
                <c:pt idx="20">
                  <c:v>105.754025488</c:v>
                </c:pt>
                <c:pt idx="21">
                  <c:v>107.697224792</c:v>
                </c:pt>
                <c:pt idx="22">
                  <c:v>110.445340565</c:v>
                </c:pt>
                <c:pt idx="23">
                  <c:v>111.642927744</c:v>
                </c:pt>
                <c:pt idx="24">
                  <c:v>113.549729254</c:v>
                </c:pt>
                <c:pt idx="25">
                  <c:v>116.255411147</c:v>
                </c:pt>
                <c:pt idx="26">
                  <c:v>116.701064899</c:v>
                </c:pt>
                <c:pt idx="27">
                  <c:v>119.895049984</c:v>
                </c:pt>
                <c:pt idx="28">
                  <c:v>114.43477236</c:v>
                </c:pt>
                <c:pt idx="29">
                  <c:v>112.205029575</c:v>
                </c:pt>
                <c:pt idx="30">
                  <c:v>108.04342167</c:v>
                </c:pt>
                <c:pt idx="31">
                  <c:v>110.31331935999999</c:v>
                </c:pt>
                <c:pt idx="32">
                  <c:v>111.326288491</c:v>
                </c:pt>
                <c:pt idx="33">
                  <c:v>112.390361946</c:v>
                </c:pt>
                <c:pt idx="34">
                  <c:v>113.67837975800001</c:v>
                </c:pt>
                <c:pt idx="35">
                  <c:v>119.51471586300001</c:v>
                </c:pt>
                <c:pt idx="36">
                  <c:v>119.509290617</c:v>
                </c:pt>
                <c:pt idx="37">
                  <c:v>114.71712580000001</c:v>
                </c:pt>
                <c:pt idx="38">
                  <c:v>113.737093969</c:v>
                </c:pt>
                <c:pt idx="39">
                  <c:v>113.046757852</c:v>
                </c:pt>
                <c:pt idx="40">
                  <c:v>113.602099548</c:v>
                </c:pt>
                <c:pt idx="41">
                  <c:v>111.550455751</c:v>
                </c:pt>
                <c:pt idx="42">
                  <c:v>111.92976578699999</c:v>
                </c:pt>
                <c:pt idx="43">
                  <c:v>112.464656378</c:v>
                </c:pt>
                <c:pt idx="44">
                  <c:v>115.31885134300001</c:v>
                </c:pt>
                <c:pt idx="45">
                  <c:v>120.41007113400001</c:v>
                </c:pt>
                <c:pt idx="46">
                  <c:v>123.45424652299999</c:v>
                </c:pt>
                <c:pt idx="47">
                  <c:v>122.62529801300001</c:v>
                </c:pt>
                <c:pt idx="48">
                  <c:v>125.154916473</c:v>
                </c:pt>
                <c:pt idx="49">
                  <c:v>122.41876353799999</c:v>
                </c:pt>
                <c:pt idx="50">
                  <c:v>120.09941847899999</c:v>
                </c:pt>
                <c:pt idx="51">
                  <c:v>119.6010395</c:v>
                </c:pt>
                <c:pt idx="52">
                  <c:v>118.591561496</c:v>
                </c:pt>
                <c:pt idx="53">
                  <c:v>118.505768011</c:v>
                </c:pt>
                <c:pt idx="54">
                  <c:v>117.822629127</c:v>
                </c:pt>
                <c:pt idx="55">
                  <c:v>117.283268959</c:v>
                </c:pt>
                <c:pt idx="56">
                  <c:v>115.700802396</c:v>
                </c:pt>
                <c:pt idx="57">
                  <c:v>117.042405505</c:v>
                </c:pt>
                <c:pt idx="58">
                  <c:v>113.89590411099999</c:v>
                </c:pt>
                <c:pt idx="59">
                  <c:v>109.679461124</c:v>
                </c:pt>
                <c:pt idx="60">
                  <c:v>106.882660034</c:v>
                </c:pt>
                <c:pt idx="61">
                  <c:v>108.333028644</c:v>
                </c:pt>
                <c:pt idx="62">
                  <c:v>108.38690902</c:v>
                </c:pt>
                <c:pt idx="63">
                  <c:v>107.450694308</c:v>
                </c:pt>
                <c:pt idx="64">
                  <c:v>110.55670058299999</c:v>
                </c:pt>
                <c:pt idx="65">
                  <c:v>117.246705537</c:v>
                </c:pt>
                <c:pt idx="66">
                  <c:v>118.30373694399999</c:v>
                </c:pt>
                <c:pt idx="67">
                  <c:v>119.69525585</c:v>
                </c:pt>
                <c:pt idx="68">
                  <c:v>124.432286496</c:v>
                </c:pt>
                <c:pt idx="69">
                  <c:v>127.939749525</c:v>
                </c:pt>
                <c:pt idx="70">
                  <c:v>129.236664303</c:v>
                </c:pt>
                <c:pt idx="71">
                  <c:v>128.81161216699999</c:v>
                </c:pt>
                <c:pt idx="72">
                  <c:v>132.869563535</c:v>
                </c:pt>
                <c:pt idx="73">
                  <c:v>135.159209828</c:v>
                </c:pt>
                <c:pt idx="74">
                  <c:v>133.799088549</c:v>
                </c:pt>
                <c:pt idx="75">
                  <c:v>136.43131453199999</c:v>
                </c:pt>
                <c:pt idx="76">
                  <c:v>137.37775871400001</c:v>
                </c:pt>
                <c:pt idx="77">
                  <c:v>136.35683913700001</c:v>
                </c:pt>
                <c:pt idx="78">
                  <c:v>134.015180593</c:v>
                </c:pt>
                <c:pt idx="79">
                  <c:v>139.13799308599999</c:v>
                </c:pt>
                <c:pt idx="80">
                  <c:v>135.87774365199999</c:v>
                </c:pt>
                <c:pt idx="81">
                  <c:v>137.078643183</c:v>
                </c:pt>
                <c:pt idx="82">
                  <c:v>141.16402595</c:v>
                </c:pt>
                <c:pt idx="83">
                  <c:v>140.963386257</c:v>
                </c:pt>
                <c:pt idx="84">
                  <c:v>145.90343787399999</c:v>
                </c:pt>
                <c:pt idx="85">
                  <c:v>148.39226725099999</c:v>
                </c:pt>
                <c:pt idx="86">
                  <c:v>148.92197284100001</c:v>
                </c:pt>
                <c:pt idx="87">
                  <c:v>148.069788429</c:v>
                </c:pt>
                <c:pt idx="88">
                  <c:v>143.73715796900001</c:v>
                </c:pt>
                <c:pt idx="89">
                  <c:v>142.012299243</c:v>
                </c:pt>
                <c:pt idx="90">
                  <c:v>136.43734196700001</c:v>
                </c:pt>
                <c:pt idx="91">
                  <c:v>133.79558760200001</c:v>
                </c:pt>
                <c:pt idx="92">
                  <c:v>133.45292936800001</c:v>
                </c:pt>
                <c:pt idx="93">
                  <c:v>130.72379274400001</c:v>
                </c:pt>
                <c:pt idx="94">
                  <c:v>133.76132023400001</c:v>
                </c:pt>
                <c:pt idx="95">
                  <c:v>133.034924386</c:v>
                </c:pt>
                <c:pt idx="96">
                  <c:v>131.822378515</c:v>
                </c:pt>
                <c:pt idx="97">
                  <c:v>138.24142965300001</c:v>
                </c:pt>
                <c:pt idx="98">
                  <c:v>137.07237048900001</c:v>
                </c:pt>
                <c:pt idx="99">
                  <c:v>134.30577608999999</c:v>
                </c:pt>
                <c:pt idx="100">
                  <c:v>132.66823680499999</c:v>
                </c:pt>
              </c:numCache>
            </c:numRef>
          </c:yVal>
          <c:smooth val="1"/>
        </c:ser>
        <c:ser>
          <c:idx val="12"/>
          <c:order val="12"/>
          <c:tx>
            <c:strRef>
              <c:f>S_plus!$Y$1</c:f>
              <c:strCache>
                <c:ptCount val="1"/>
                <c:pt idx="0">
                  <c:v>Sim13</c:v>
                </c:pt>
              </c:strCache>
            </c:strRef>
          </c:tx>
          <c:marker>
            <c:symbol val="none"/>
          </c:marker>
          <c:xVal>
            <c:numRef>
              <c:f>S_plus!$L$2:$L$102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S_plus!$Y$2:$Y$102</c:f>
              <c:numCache>
                <c:formatCode>General</c:formatCode>
                <c:ptCount val="101"/>
                <c:pt idx="0">
                  <c:v>100</c:v>
                </c:pt>
                <c:pt idx="1">
                  <c:v>101.56589516</c:v>
                </c:pt>
                <c:pt idx="2">
                  <c:v>99.312509858300004</c:v>
                </c:pt>
                <c:pt idx="3">
                  <c:v>98.047851162300006</c:v>
                </c:pt>
                <c:pt idx="4">
                  <c:v>100.760539724</c:v>
                </c:pt>
                <c:pt idx="5">
                  <c:v>99.921579132000005</c:v>
                </c:pt>
                <c:pt idx="6">
                  <c:v>97.707729981900002</c:v>
                </c:pt>
                <c:pt idx="7">
                  <c:v>103.508921152</c:v>
                </c:pt>
                <c:pt idx="8">
                  <c:v>99.997910155599996</c:v>
                </c:pt>
                <c:pt idx="9">
                  <c:v>99.703486707099998</c:v>
                </c:pt>
                <c:pt idx="10">
                  <c:v>101.11987724700001</c:v>
                </c:pt>
                <c:pt idx="11">
                  <c:v>102.15665393899999</c:v>
                </c:pt>
                <c:pt idx="12">
                  <c:v>100.41095951</c:v>
                </c:pt>
                <c:pt idx="13">
                  <c:v>98.309435825199998</c:v>
                </c:pt>
                <c:pt idx="14">
                  <c:v>96.565759163999999</c:v>
                </c:pt>
                <c:pt idx="15">
                  <c:v>96.194931785899996</c:v>
                </c:pt>
                <c:pt idx="16">
                  <c:v>95.038449233799994</c:v>
                </c:pt>
                <c:pt idx="17">
                  <c:v>95.305025839500004</c:v>
                </c:pt>
                <c:pt idx="18">
                  <c:v>92.824333799300007</c:v>
                </c:pt>
                <c:pt idx="19">
                  <c:v>92.958171875900007</c:v>
                </c:pt>
                <c:pt idx="20">
                  <c:v>93.044189987500005</c:v>
                </c:pt>
                <c:pt idx="21">
                  <c:v>90.743038782499994</c:v>
                </c:pt>
                <c:pt idx="22">
                  <c:v>89.955936991800002</c:v>
                </c:pt>
                <c:pt idx="23">
                  <c:v>90.660909795099997</c:v>
                </c:pt>
                <c:pt idx="24">
                  <c:v>90.593600499100006</c:v>
                </c:pt>
                <c:pt idx="25">
                  <c:v>91.478649853199997</c:v>
                </c:pt>
                <c:pt idx="26">
                  <c:v>90.450400535699998</c:v>
                </c:pt>
                <c:pt idx="27">
                  <c:v>91.351164928900005</c:v>
                </c:pt>
                <c:pt idx="28">
                  <c:v>91.731346484200003</c:v>
                </c:pt>
                <c:pt idx="29">
                  <c:v>90.300875466600004</c:v>
                </c:pt>
                <c:pt idx="30">
                  <c:v>90.847108589100003</c:v>
                </c:pt>
                <c:pt idx="31">
                  <c:v>90.968900665800007</c:v>
                </c:pt>
                <c:pt idx="32">
                  <c:v>91.295480430699996</c:v>
                </c:pt>
                <c:pt idx="33">
                  <c:v>90.667372248000007</c:v>
                </c:pt>
                <c:pt idx="34">
                  <c:v>90.6167694297</c:v>
                </c:pt>
                <c:pt idx="35">
                  <c:v>92.457549342199997</c:v>
                </c:pt>
                <c:pt idx="36">
                  <c:v>93.4203545413</c:v>
                </c:pt>
                <c:pt idx="37">
                  <c:v>96.272261851099998</c:v>
                </c:pt>
                <c:pt idx="38">
                  <c:v>95.648374635799996</c:v>
                </c:pt>
                <c:pt idx="39">
                  <c:v>93.4915720682</c:v>
                </c:pt>
                <c:pt idx="40">
                  <c:v>90.388611725499999</c:v>
                </c:pt>
                <c:pt idx="41">
                  <c:v>89.121749286899998</c:v>
                </c:pt>
                <c:pt idx="42">
                  <c:v>85.893817881800004</c:v>
                </c:pt>
                <c:pt idx="43">
                  <c:v>86.919040282799997</c:v>
                </c:pt>
                <c:pt idx="44">
                  <c:v>86.450308126600007</c:v>
                </c:pt>
                <c:pt idx="45">
                  <c:v>87.947967004899994</c:v>
                </c:pt>
                <c:pt idx="46">
                  <c:v>86.330660953099994</c:v>
                </c:pt>
                <c:pt idx="47">
                  <c:v>88.157781589999999</c:v>
                </c:pt>
                <c:pt idx="48">
                  <c:v>89.776205914200006</c:v>
                </c:pt>
                <c:pt idx="49">
                  <c:v>88.975618470499995</c:v>
                </c:pt>
                <c:pt idx="50">
                  <c:v>89.945385740199995</c:v>
                </c:pt>
                <c:pt idx="51">
                  <c:v>89.083673507</c:v>
                </c:pt>
                <c:pt idx="52">
                  <c:v>91.147749731299996</c:v>
                </c:pt>
                <c:pt idx="53">
                  <c:v>91.151310492600004</c:v>
                </c:pt>
                <c:pt idx="54">
                  <c:v>91.2010327303</c:v>
                </c:pt>
                <c:pt idx="55">
                  <c:v>89.824158613099996</c:v>
                </c:pt>
                <c:pt idx="56">
                  <c:v>90.568661397900001</c:v>
                </c:pt>
                <c:pt idx="57">
                  <c:v>92.534183901700004</c:v>
                </c:pt>
                <c:pt idx="58">
                  <c:v>91.648142741599997</c:v>
                </c:pt>
                <c:pt idx="59">
                  <c:v>92.361731897699997</c:v>
                </c:pt>
                <c:pt idx="60">
                  <c:v>92.295603705700003</c:v>
                </c:pt>
                <c:pt idx="61">
                  <c:v>88.0543329658</c:v>
                </c:pt>
                <c:pt idx="62">
                  <c:v>88.424683602800002</c:v>
                </c:pt>
                <c:pt idx="63">
                  <c:v>87.258361687900006</c:v>
                </c:pt>
                <c:pt idx="64">
                  <c:v>90.876848792000004</c:v>
                </c:pt>
                <c:pt idx="65">
                  <c:v>93.568144980499994</c:v>
                </c:pt>
                <c:pt idx="66">
                  <c:v>92.135516644099994</c:v>
                </c:pt>
                <c:pt idx="67">
                  <c:v>91.330044801100001</c:v>
                </c:pt>
                <c:pt idx="68">
                  <c:v>90.456364735099996</c:v>
                </c:pt>
                <c:pt idx="69">
                  <c:v>89.346245136099995</c:v>
                </c:pt>
                <c:pt idx="70">
                  <c:v>91.513540875999993</c:v>
                </c:pt>
                <c:pt idx="71">
                  <c:v>90.532540951300007</c:v>
                </c:pt>
                <c:pt idx="72">
                  <c:v>92.3106491928</c:v>
                </c:pt>
                <c:pt idx="73">
                  <c:v>92.212242578399994</c:v>
                </c:pt>
                <c:pt idx="74">
                  <c:v>93.130636604700001</c:v>
                </c:pt>
                <c:pt idx="75">
                  <c:v>91.4455802242</c:v>
                </c:pt>
                <c:pt idx="76">
                  <c:v>91.527126593700004</c:v>
                </c:pt>
                <c:pt idx="77">
                  <c:v>90.908583029799999</c:v>
                </c:pt>
                <c:pt idx="78">
                  <c:v>90.240121510099996</c:v>
                </c:pt>
                <c:pt idx="79">
                  <c:v>89.015289640000006</c:v>
                </c:pt>
                <c:pt idx="80">
                  <c:v>91.1176638954</c:v>
                </c:pt>
                <c:pt idx="81">
                  <c:v>93.382570866600005</c:v>
                </c:pt>
                <c:pt idx="82">
                  <c:v>95.0040003923</c:v>
                </c:pt>
                <c:pt idx="83">
                  <c:v>93.602335295900005</c:v>
                </c:pt>
                <c:pt idx="84">
                  <c:v>96.816441094499993</c:v>
                </c:pt>
                <c:pt idx="85">
                  <c:v>98.871016533299994</c:v>
                </c:pt>
                <c:pt idx="86">
                  <c:v>97.959923812400007</c:v>
                </c:pt>
                <c:pt idx="87">
                  <c:v>95.844590548100001</c:v>
                </c:pt>
                <c:pt idx="88">
                  <c:v>93.260610019300003</c:v>
                </c:pt>
                <c:pt idx="89">
                  <c:v>93.753489278000004</c:v>
                </c:pt>
                <c:pt idx="90">
                  <c:v>90.198484181699996</c:v>
                </c:pt>
                <c:pt idx="91">
                  <c:v>91.356099306000004</c:v>
                </c:pt>
                <c:pt idx="92">
                  <c:v>88.482587472800006</c:v>
                </c:pt>
                <c:pt idx="93">
                  <c:v>88.649561493999997</c:v>
                </c:pt>
                <c:pt idx="94">
                  <c:v>87.0730111819</c:v>
                </c:pt>
                <c:pt idx="95">
                  <c:v>91.2586097696</c:v>
                </c:pt>
                <c:pt idx="96">
                  <c:v>92.001650586099998</c:v>
                </c:pt>
                <c:pt idx="97">
                  <c:v>89.292385357000001</c:v>
                </c:pt>
                <c:pt idx="98">
                  <c:v>89.653985851800002</c:v>
                </c:pt>
                <c:pt idx="99">
                  <c:v>91.833272236400006</c:v>
                </c:pt>
                <c:pt idx="100">
                  <c:v>89.779985723400003</c:v>
                </c:pt>
              </c:numCache>
            </c:numRef>
          </c:yVal>
          <c:smooth val="1"/>
        </c:ser>
        <c:ser>
          <c:idx val="13"/>
          <c:order val="13"/>
          <c:tx>
            <c:strRef>
              <c:f>S_plus!$Z$1</c:f>
              <c:strCache>
                <c:ptCount val="1"/>
                <c:pt idx="0">
                  <c:v>Sim14</c:v>
                </c:pt>
              </c:strCache>
            </c:strRef>
          </c:tx>
          <c:marker>
            <c:symbol val="none"/>
          </c:marker>
          <c:xVal>
            <c:numRef>
              <c:f>S_plus!$L$2:$L$102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S_plus!$Z$2:$Z$102</c:f>
              <c:numCache>
                <c:formatCode>General</c:formatCode>
                <c:ptCount val="101"/>
                <c:pt idx="0">
                  <c:v>100</c:v>
                </c:pt>
                <c:pt idx="1">
                  <c:v>101.29379953500001</c:v>
                </c:pt>
                <c:pt idx="2">
                  <c:v>103.64836371200001</c:v>
                </c:pt>
                <c:pt idx="3">
                  <c:v>99.250650875399998</c:v>
                </c:pt>
                <c:pt idx="4">
                  <c:v>96.659378439299999</c:v>
                </c:pt>
                <c:pt idx="5">
                  <c:v>97.552008571800002</c:v>
                </c:pt>
                <c:pt idx="6">
                  <c:v>99.204817694900001</c:v>
                </c:pt>
                <c:pt idx="7">
                  <c:v>97.189957780599997</c:v>
                </c:pt>
                <c:pt idx="8">
                  <c:v>98.634204188300004</c:v>
                </c:pt>
                <c:pt idx="9">
                  <c:v>101.969157399</c:v>
                </c:pt>
                <c:pt idx="10">
                  <c:v>98.044904969000001</c:v>
                </c:pt>
                <c:pt idx="11">
                  <c:v>96.718675426100006</c:v>
                </c:pt>
                <c:pt idx="12">
                  <c:v>96.725171580400001</c:v>
                </c:pt>
                <c:pt idx="13">
                  <c:v>96.562641126499997</c:v>
                </c:pt>
                <c:pt idx="14">
                  <c:v>99.025442446499994</c:v>
                </c:pt>
                <c:pt idx="15">
                  <c:v>99.581283119099993</c:v>
                </c:pt>
                <c:pt idx="16">
                  <c:v>99.1358494272</c:v>
                </c:pt>
                <c:pt idx="17">
                  <c:v>98.001048782500007</c:v>
                </c:pt>
                <c:pt idx="18">
                  <c:v>99.051852415599996</c:v>
                </c:pt>
                <c:pt idx="19">
                  <c:v>98.555953811099997</c:v>
                </c:pt>
                <c:pt idx="20">
                  <c:v>100.516732365</c:v>
                </c:pt>
                <c:pt idx="21">
                  <c:v>101.471541526</c:v>
                </c:pt>
                <c:pt idx="22">
                  <c:v>103.617979877</c:v>
                </c:pt>
                <c:pt idx="23">
                  <c:v>108.696137772</c:v>
                </c:pt>
                <c:pt idx="24">
                  <c:v>111.433265437</c:v>
                </c:pt>
                <c:pt idx="25">
                  <c:v>110.026667198</c:v>
                </c:pt>
                <c:pt idx="26">
                  <c:v>109.608316988</c:v>
                </c:pt>
                <c:pt idx="27">
                  <c:v>109.072804111</c:v>
                </c:pt>
                <c:pt idx="28">
                  <c:v>109.48476420599999</c:v>
                </c:pt>
                <c:pt idx="29">
                  <c:v>110.223978098</c:v>
                </c:pt>
                <c:pt idx="30">
                  <c:v>106.391371333</c:v>
                </c:pt>
                <c:pt idx="31">
                  <c:v>113.173049693</c:v>
                </c:pt>
                <c:pt idx="32">
                  <c:v>111.43302414599999</c:v>
                </c:pt>
                <c:pt idx="33">
                  <c:v>113.646877971</c:v>
                </c:pt>
                <c:pt idx="34">
                  <c:v>112.818110097</c:v>
                </c:pt>
                <c:pt idx="35">
                  <c:v>115.448352867</c:v>
                </c:pt>
                <c:pt idx="36">
                  <c:v>119.845243881</c:v>
                </c:pt>
                <c:pt idx="37">
                  <c:v>120.33525139699999</c:v>
                </c:pt>
                <c:pt idx="38">
                  <c:v>119.691696412</c:v>
                </c:pt>
                <c:pt idx="39">
                  <c:v>116.82431652299999</c:v>
                </c:pt>
                <c:pt idx="40">
                  <c:v>117.06806904</c:v>
                </c:pt>
                <c:pt idx="41">
                  <c:v>115.463502504</c:v>
                </c:pt>
                <c:pt idx="42">
                  <c:v>116.444436504</c:v>
                </c:pt>
                <c:pt idx="43">
                  <c:v>115.880442668</c:v>
                </c:pt>
                <c:pt idx="44">
                  <c:v>114.61434030700001</c:v>
                </c:pt>
                <c:pt idx="45">
                  <c:v>114.31766548900001</c:v>
                </c:pt>
                <c:pt idx="46">
                  <c:v>112.40996189400001</c:v>
                </c:pt>
                <c:pt idx="47">
                  <c:v>112.860995495</c:v>
                </c:pt>
                <c:pt idx="48">
                  <c:v>109.562234172</c:v>
                </c:pt>
                <c:pt idx="49">
                  <c:v>111.28182492099999</c:v>
                </c:pt>
                <c:pt idx="50">
                  <c:v>109.47535786900001</c:v>
                </c:pt>
                <c:pt idx="51">
                  <c:v>114.658611076</c:v>
                </c:pt>
                <c:pt idx="52">
                  <c:v>113.12854195200001</c:v>
                </c:pt>
                <c:pt idx="53">
                  <c:v>115.64306995600001</c:v>
                </c:pt>
                <c:pt idx="54">
                  <c:v>114.39414360400001</c:v>
                </c:pt>
                <c:pt idx="55">
                  <c:v>112.411606604</c:v>
                </c:pt>
                <c:pt idx="56">
                  <c:v>111.513312903</c:v>
                </c:pt>
                <c:pt idx="57">
                  <c:v>112.778467939</c:v>
                </c:pt>
                <c:pt idx="58">
                  <c:v>112.276813894</c:v>
                </c:pt>
                <c:pt idx="59">
                  <c:v>112.318847733</c:v>
                </c:pt>
                <c:pt idx="60">
                  <c:v>112.59952486900001</c:v>
                </c:pt>
                <c:pt idx="61">
                  <c:v>114.96773415600001</c:v>
                </c:pt>
                <c:pt idx="62">
                  <c:v>112.385484714</c:v>
                </c:pt>
                <c:pt idx="63">
                  <c:v>111.37008249599999</c:v>
                </c:pt>
                <c:pt idx="64">
                  <c:v>109.57701292</c:v>
                </c:pt>
                <c:pt idx="65">
                  <c:v>110.69316566800001</c:v>
                </c:pt>
                <c:pt idx="66">
                  <c:v>107.98329187500001</c:v>
                </c:pt>
                <c:pt idx="67">
                  <c:v>105.878701294</c:v>
                </c:pt>
                <c:pt idx="68">
                  <c:v>102.97663649099999</c:v>
                </c:pt>
                <c:pt idx="69">
                  <c:v>99.108929606000004</c:v>
                </c:pt>
                <c:pt idx="70">
                  <c:v>98.925275908200007</c:v>
                </c:pt>
                <c:pt idx="71">
                  <c:v>99.018344397500002</c:v>
                </c:pt>
                <c:pt idx="72">
                  <c:v>99.421212774099999</c:v>
                </c:pt>
                <c:pt idx="73">
                  <c:v>99.358765996900004</c:v>
                </c:pt>
                <c:pt idx="74">
                  <c:v>99.515605788000002</c:v>
                </c:pt>
                <c:pt idx="75">
                  <c:v>97.106522988099996</c:v>
                </c:pt>
                <c:pt idx="76">
                  <c:v>96.902658937599995</c:v>
                </c:pt>
                <c:pt idx="77">
                  <c:v>96.047043200100006</c:v>
                </c:pt>
                <c:pt idx="78">
                  <c:v>97.883721121999997</c:v>
                </c:pt>
                <c:pt idx="79">
                  <c:v>101.94412888399999</c:v>
                </c:pt>
                <c:pt idx="80">
                  <c:v>102.817832501</c:v>
                </c:pt>
                <c:pt idx="81">
                  <c:v>101.457898093</c:v>
                </c:pt>
                <c:pt idx="82">
                  <c:v>101.332764195</c:v>
                </c:pt>
                <c:pt idx="83">
                  <c:v>105.241045195</c:v>
                </c:pt>
                <c:pt idx="84">
                  <c:v>104.177471287</c:v>
                </c:pt>
                <c:pt idx="85">
                  <c:v>103.199006525</c:v>
                </c:pt>
                <c:pt idx="86">
                  <c:v>105.113100147</c:v>
                </c:pt>
                <c:pt idx="87">
                  <c:v>104.606459167</c:v>
                </c:pt>
                <c:pt idx="88">
                  <c:v>105.21425872099999</c:v>
                </c:pt>
                <c:pt idx="89">
                  <c:v>104.81238054799999</c:v>
                </c:pt>
                <c:pt idx="90">
                  <c:v>102.460736525</c:v>
                </c:pt>
                <c:pt idx="91">
                  <c:v>101.120462899</c:v>
                </c:pt>
                <c:pt idx="92">
                  <c:v>98.527682744200007</c:v>
                </c:pt>
                <c:pt idx="93">
                  <c:v>98.905084438299994</c:v>
                </c:pt>
                <c:pt idx="94">
                  <c:v>98.674819735100002</c:v>
                </c:pt>
                <c:pt idx="95">
                  <c:v>97.855101405699997</c:v>
                </c:pt>
                <c:pt idx="96">
                  <c:v>98.879305013299998</c:v>
                </c:pt>
                <c:pt idx="97">
                  <c:v>96.928124857</c:v>
                </c:pt>
                <c:pt idx="98">
                  <c:v>96.386266969100006</c:v>
                </c:pt>
                <c:pt idx="99">
                  <c:v>95.034923039099994</c:v>
                </c:pt>
                <c:pt idx="100">
                  <c:v>90.903540713200002</c:v>
                </c:pt>
              </c:numCache>
            </c:numRef>
          </c:yVal>
          <c:smooth val="1"/>
        </c:ser>
        <c:ser>
          <c:idx val="14"/>
          <c:order val="14"/>
          <c:tx>
            <c:strRef>
              <c:f>S_plus!$AA$1</c:f>
              <c:strCache>
                <c:ptCount val="1"/>
                <c:pt idx="0">
                  <c:v>Sim15</c:v>
                </c:pt>
              </c:strCache>
            </c:strRef>
          </c:tx>
          <c:marker>
            <c:symbol val="none"/>
          </c:marker>
          <c:xVal>
            <c:numRef>
              <c:f>S_plus!$L$2:$L$102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S_plus!$AA$2:$AA$102</c:f>
              <c:numCache>
                <c:formatCode>General</c:formatCode>
                <c:ptCount val="101"/>
                <c:pt idx="0">
                  <c:v>100</c:v>
                </c:pt>
                <c:pt idx="1">
                  <c:v>100.24447599600001</c:v>
                </c:pt>
                <c:pt idx="2">
                  <c:v>97.784053280500004</c:v>
                </c:pt>
                <c:pt idx="3">
                  <c:v>97.812421402599995</c:v>
                </c:pt>
                <c:pt idx="4">
                  <c:v>101.285380418</c:v>
                </c:pt>
                <c:pt idx="5">
                  <c:v>104.271264323</c:v>
                </c:pt>
                <c:pt idx="6">
                  <c:v>105.378134922</c:v>
                </c:pt>
                <c:pt idx="7">
                  <c:v>105.066288296</c:v>
                </c:pt>
                <c:pt idx="8">
                  <c:v>101.84832006000001</c:v>
                </c:pt>
                <c:pt idx="9">
                  <c:v>104.266789637</c:v>
                </c:pt>
                <c:pt idx="10">
                  <c:v>107.078857394</c:v>
                </c:pt>
                <c:pt idx="11">
                  <c:v>109.755276174</c:v>
                </c:pt>
                <c:pt idx="12">
                  <c:v>106.514886479</c:v>
                </c:pt>
                <c:pt idx="13">
                  <c:v>108.109252403</c:v>
                </c:pt>
                <c:pt idx="14">
                  <c:v>109.134639611</c:v>
                </c:pt>
                <c:pt idx="15">
                  <c:v>110.055996103</c:v>
                </c:pt>
                <c:pt idx="16">
                  <c:v>108.60228582400001</c:v>
                </c:pt>
                <c:pt idx="17">
                  <c:v>107.48579191899999</c:v>
                </c:pt>
                <c:pt idx="18">
                  <c:v>108.266437962</c:v>
                </c:pt>
                <c:pt idx="19">
                  <c:v>108.915312112</c:v>
                </c:pt>
                <c:pt idx="20">
                  <c:v>111.45536568599999</c:v>
                </c:pt>
                <c:pt idx="21">
                  <c:v>109.14729692</c:v>
                </c:pt>
                <c:pt idx="22">
                  <c:v>104.810151233</c:v>
                </c:pt>
                <c:pt idx="23">
                  <c:v>102.030395545</c:v>
                </c:pt>
                <c:pt idx="24">
                  <c:v>99.622430027799993</c:v>
                </c:pt>
                <c:pt idx="25">
                  <c:v>99.965056989299995</c:v>
                </c:pt>
                <c:pt idx="26">
                  <c:v>100.059572191</c:v>
                </c:pt>
                <c:pt idx="27">
                  <c:v>101.81560055600001</c:v>
                </c:pt>
                <c:pt idx="28">
                  <c:v>105.539465748</c:v>
                </c:pt>
                <c:pt idx="29">
                  <c:v>105.92112427399999</c:v>
                </c:pt>
                <c:pt idx="30">
                  <c:v>106.88913884999999</c:v>
                </c:pt>
                <c:pt idx="31">
                  <c:v>108.8845264</c:v>
                </c:pt>
                <c:pt idx="32">
                  <c:v>103.38461371299999</c:v>
                </c:pt>
                <c:pt idx="33">
                  <c:v>103.411446685</c:v>
                </c:pt>
                <c:pt idx="34">
                  <c:v>103.64535114500001</c:v>
                </c:pt>
                <c:pt idx="35">
                  <c:v>104.961178154</c:v>
                </c:pt>
                <c:pt idx="36">
                  <c:v>108.487353171</c:v>
                </c:pt>
                <c:pt idx="37">
                  <c:v>108.13285596</c:v>
                </c:pt>
                <c:pt idx="38">
                  <c:v>109.75889362300001</c:v>
                </c:pt>
                <c:pt idx="39">
                  <c:v>109.723371414</c:v>
                </c:pt>
                <c:pt idx="40">
                  <c:v>106.32527096699999</c:v>
                </c:pt>
                <c:pt idx="41">
                  <c:v>107.83753076799999</c:v>
                </c:pt>
                <c:pt idx="42">
                  <c:v>102.942828511</c:v>
                </c:pt>
                <c:pt idx="43">
                  <c:v>105.359458649</c:v>
                </c:pt>
                <c:pt idx="44">
                  <c:v>102.93430211499999</c:v>
                </c:pt>
                <c:pt idx="45">
                  <c:v>104.15750408</c:v>
                </c:pt>
                <c:pt idx="46">
                  <c:v>102.89015418300001</c:v>
                </c:pt>
                <c:pt idx="47">
                  <c:v>101.72561274</c:v>
                </c:pt>
                <c:pt idx="48">
                  <c:v>100.822710941</c:v>
                </c:pt>
                <c:pt idx="49">
                  <c:v>100.327752397</c:v>
                </c:pt>
                <c:pt idx="50">
                  <c:v>101.301055187</c:v>
                </c:pt>
                <c:pt idx="51">
                  <c:v>105.740750611</c:v>
                </c:pt>
                <c:pt idx="52">
                  <c:v>105.082145184</c:v>
                </c:pt>
                <c:pt idx="53">
                  <c:v>108.566020517</c:v>
                </c:pt>
                <c:pt idx="54">
                  <c:v>108.05053085</c:v>
                </c:pt>
                <c:pt idx="55">
                  <c:v>107.488438053</c:v>
                </c:pt>
                <c:pt idx="56">
                  <c:v>107.116875378</c:v>
                </c:pt>
                <c:pt idx="57">
                  <c:v>110.743191876</c:v>
                </c:pt>
                <c:pt idx="58">
                  <c:v>105.572577442</c:v>
                </c:pt>
                <c:pt idx="59">
                  <c:v>105.12081552399999</c:v>
                </c:pt>
                <c:pt idx="60">
                  <c:v>101.98349261600001</c:v>
                </c:pt>
                <c:pt idx="61">
                  <c:v>103.191857493</c:v>
                </c:pt>
                <c:pt idx="62">
                  <c:v>105.685491601</c:v>
                </c:pt>
                <c:pt idx="63">
                  <c:v>106.17767060200001</c:v>
                </c:pt>
                <c:pt idx="64">
                  <c:v>110.551607082</c:v>
                </c:pt>
                <c:pt idx="65">
                  <c:v>110.20067244000001</c:v>
                </c:pt>
                <c:pt idx="66">
                  <c:v>111.23443848700001</c:v>
                </c:pt>
                <c:pt idx="67">
                  <c:v>106.379410471</c:v>
                </c:pt>
                <c:pt idx="68">
                  <c:v>104.716003363</c:v>
                </c:pt>
                <c:pt idx="69">
                  <c:v>103.828863176</c:v>
                </c:pt>
                <c:pt idx="70">
                  <c:v>105.486931509</c:v>
                </c:pt>
                <c:pt idx="71">
                  <c:v>108.921988777</c:v>
                </c:pt>
                <c:pt idx="72">
                  <c:v>109.13567039</c:v>
                </c:pt>
                <c:pt idx="73">
                  <c:v>107.23635658000001</c:v>
                </c:pt>
                <c:pt idx="74">
                  <c:v>107.764273989</c:v>
                </c:pt>
                <c:pt idx="75">
                  <c:v>108.31435277</c:v>
                </c:pt>
                <c:pt idx="76">
                  <c:v>109.267721188</c:v>
                </c:pt>
                <c:pt idx="77">
                  <c:v>104.169677372</c:v>
                </c:pt>
                <c:pt idx="78">
                  <c:v>102.94302664200001</c:v>
                </c:pt>
                <c:pt idx="79">
                  <c:v>103.803062771</c:v>
                </c:pt>
                <c:pt idx="80">
                  <c:v>103.223903445</c:v>
                </c:pt>
                <c:pt idx="81">
                  <c:v>101.753827186</c:v>
                </c:pt>
                <c:pt idx="82">
                  <c:v>99.825071210600001</c:v>
                </c:pt>
                <c:pt idx="83">
                  <c:v>99.294198763099999</c:v>
                </c:pt>
                <c:pt idx="84">
                  <c:v>101.94521354600001</c:v>
                </c:pt>
                <c:pt idx="85">
                  <c:v>99.064886284500005</c:v>
                </c:pt>
                <c:pt idx="86">
                  <c:v>99.748396662900007</c:v>
                </c:pt>
                <c:pt idx="87">
                  <c:v>98.969765467399995</c:v>
                </c:pt>
                <c:pt idx="88">
                  <c:v>99.418246319199994</c:v>
                </c:pt>
                <c:pt idx="89">
                  <c:v>97.860883981900002</c:v>
                </c:pt>
                <c:pt idx="90">
                  <c:v>96.390853387700005</c:v>
                </c:pt>
                <c:pt idx="91">
                  <c:v>99.078528049200003</c:v>
                </c:pt>
                <c:pt idx="92">
                  <c:v>101.73723366</c:v>
                </c:pt>
                <c:pt idx="93">
                  <c:v>98.888507819400004</c:v>
                </c:pt>
                <c:pt idx="94">
                  <c:v>94.970312602999996</c:v>
                </c:pt>
                <c:pt idx="95">
                  <c:v>97.821580486200006</c:v>
                </c:pt>
                <c:pt idx="96">
                  <c:v>95.992583516099998</c:v>
                </c:pt>
                <c:pt idx="97">
                  <c:v>92.831180656599997</c:v>
                </c:pt>
                <c:pt idx="98">
                  <c:v>92.924022345300003</c:v>
                </c:pt>
                <c:pt idx="99">
                  <c:v>94.781790349999994</c:v>
                </c:pt>
                <c:pt idx="100">
                  <c:v>92.6589161948</c:v>
                </c:pt>
              </c:numCache>
            </c:numRef>
          </c:yVal>
          <c:smooth val="1"/>
        </c:ser>
        <c:ser>
          <c:idx val="15"/>
          <c:order val="15"/>
          <c:tx>
            <c:strRef>
              <c:f>S_plus!$AB$1</c:f>
              <c:strCache>
                <c:ptCount val="1"/>
                <c:pt idx="0">
                  <c:v>Sim16</c:v>
                </c:pt>
              </c:strCache>
            </c:strRef>
          </c:tx>
          <c:marker>
            <c:symbol val="none"/>
          </c:marker>
          <c:xVal>
            <c:numRef>
              <c:f>S_plus!$L$2:$L$102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S_plus!$AB$2:$AB$102</c:f>
              <c:numCache>
                <c:formatCode>General</c:formatCode>
                <c:ptCount val="101"/>
                <c:pt idx="0">
                  <c:v>100</c:v>
                </c:pt>
                <c:pt idx="1">
                  <c:v>96.967851170499998</c:v>
                </c:pt>
                <c:pt idx="2">
                  <c:v>93.6357718103</c:v>
                </c:pt>
                <c:pt idx="3">
                  <c:v>92.683804626599994</c:v>
                </c:pt>
                <c:pt idx="4">
                  <c:v>96.392382939699999</c:v>
                </c:pt>
                <c:pt idx="5">
                  <c:v>94.279553577800002</c:v>
                </c:pt>
                <c:pt idx="6">
                  <c:v>93.932964763499996</c:v>
                </c:pt>
                <c:pt idx="7">
                  <c:v>93.861403209800002</c:v>
                </c:pt>
                <c:pt idx="8">
                  <c:v>94.824240639500005</c:v>
                </c:pt>
                <c:pt idx="9">
                  <c:v>95.926410369699994</c:v>
                </c:pt>
                <c:pt idx="10">
                  <c:v>95.969587911999994</c:v>
                </c:pt>
                <c:pt idx="11">
                  <c:v>96.106260324800004</c:v>
                </c:pt>
                <c:pt idx="12">
                  <c:v>95.421820960800005</c:v>
                </c:pt>
                <c:pt idx="13">
                  <c:v>94.834339204499997</c:v>
                </c:pt>
                <c:pt idx="14">
                  <c:v>89.340887234700006</c:v>
                </c:pt>
                <c:pt idx="15">
                  <c:v>90.922775102299994</c:v>
                </c:pt>
                <c:pt idx="16">
                  <c:v>89.123406651300002</c:v>
                </c:pt>
                <c:pt idx="17">
                  <c:v>91.892777940900004</c:v>
                </c:pt>
                <c:pt idx="18">
                  <c:v>93.462556821000007</c:v>
                </c:pt>
                <c:pt idx="19">
                  <c:v>92.962163950700003</c:v>
                </c:pt>
                <c:pt idx="20">
                  <c:v>93.236787814699994</c:v>
                </c:pt>
                <c:pt idx="21">
                  <c:v>95.267623588600003</c:v>
                </c:pt>
                <c:pt idx="22">
                  <c:v>94.787427690800001</c:v>
                </c:pt>
                <c:pt idx="23">
                  <c:v>94.275000878</c:v>
                </c:pt>
                <c:pt idx="24">
                  <c:v>94.832841878799996</c:v>
                </c:pt>
                <c:pt idx="25">
                  <c:v>89.101002781700004</c:v>
                </c:pt>
                <c:pt idx="26">
                  <c:v>90.740655563000004</c:v>
                </c:pt>
                <c:pt idx="27">
                  <c:v>93.6566902446</c:v>
                </c:pt>
                <c:pt idx="28">
                  <c:v>94.283032964100002</c:v>
                </c:pt>
                <c:pt idx="29">
                  <c:v>93.964408649999996</c:v>
                </c:pt>
                <c:pt idx="30">
                  <c:v>96.973130816400001</c:v>
                </c:pt>
                <c:pt idx="31">
                  <c:v>94.349805729600007</c:v>
                </c:pt>
                <c:pt idx="32">
                  <c:v>93.181046446400003</c:v>
                </c:pt>
                <c:pt idx="33">
                  <c:v>93.854430478400005</c:v>
                </c:pt>
                <c:pt idx="34">
                  <c:v>93.269666490000006</c:v>
                </c:pt>
                <c:pt idx="35">
                  <c:v>94.067396649700001</c:v>
                </c:pt>
                <c:pt idx="36">
                  <c:v>89.707356110899994</c:v>
                </c:pt>
                <c:pt idx="37">
                  <c:v>88.526732904900001</c:v>
                </c:pt>
                <c:pt idx="38">
                  <c:v>86.984346474899993</c:v>
                </c:pt>
                <c:pt idx="39">
                  <c:v>88.851076095500005</c:v>
                </c:pt>
                <c:pt idx="40">
                  <c:v>88.456922573599996</c:v>
                </c:pt>
                <c:pt idx="41">
                  <c:v>91.238173629399995</c:v>
                </c:pt>
                <c:pt idx="42">
                  <c:v>93.550257275700005</c:v>
                </c:pt>
                <c:pt idx="43">
                  <c:v>96.9201191163</c:v>
                </c:pt>
                <c:pt idx="44">
                  <c:v>96.237270740900001</c:v>
                </c:pt>
                <c:pt idx="45">
                  <c:v>97.885009696699996</c:v>
                </c:pt>
                <c:pt idx="46">
                  <c:v>102.307555119</c:v>
                </c:pt>
                <c:pt idx="47">
                  <c:v>105.348535629</c:v>
                </c:pt>
                <c:pt idx="48">
                  <c:v>106.63577689500001</c:v>
                </c:pt>
                <c:pt idx="49">
                  <c:v>109.617937813</c:v>
                </c:pt>
                <c:pt idx="50">
                  <c:v>109.40002199600001</c:v>
                </c:pt>
                <c:pt idx="51">
                  <c:v>109.90115334799999</c:v>
                </c:pt>
                <c:pt idx="52">
                  <c:v>110.82510982399999</c:v>
                </c:pt>
                <c:pt idx="53">
                  <c:v>110.418725626</c:v>
                </c:pt>
                <c:pt idx="54">
                  <c:v>110.69167103700001</c:v>
                </c:pt>
                <c:pt idx="55">
                  <c:v>110.95879965100001</c:v>
                </c:pt>
                <c:pt idx="56">
                  <c:v>111.13890466399999</c:v>
                </c:pt>
                <c:pt idx="57">
                  <c:v>110.622079834</c:v>
                </c:pt>
                <c:pt idx="58">
                  <c:v>110.18972378700001</c:v>
                </c:pt>
                <c:pt idx="59">
                  <c:v>110.42744170100001</c:v>
                </c:pt>
                <c:pt idx="60">
                  <c:v>107.906460463</c:v>
                </c:pt>
                <c:pt idx="61">
                  <c:v>105.28894890700001</c:v>
                </c:pt>
                <c:pt idx="62">
                  <c:v>108.442172644</c:v>
                </c:pt>
                <c:pt idx="63">
                  <c:v>112.607667784</c:v>
                </c:pt>
                <c:pt idx="64">
                  <c:v>112.038845169</c:v>
                </c:pt>
                <c:pt idx="65">
                  <c:v>114.892259837</c:v>
                </c:pt>
                <c:pt idx="66">
                  <c:v>115.974947132</c:v>
                </c:pt>
                <c:pt idx="67">
                  <c:v>117.132866269</c:v>
                </c:pt>
                <c:pt idx="68">
                  <c:v>116.968527575</c:v>
                </c:pt>
                <c:pt idx="69">
                  <c:v>117.53895238699999</c:v>
                </c:pt>
                <c:pt idx="70">
                  <c:v>115.212081979</c:v>
                </c:pt>
                <c:pt idx="71">
                  <c:v>115.304510174</c:v>
                </c:pt>
                <c:pt idx="72">
                  <c:v>112.30828434199999</c:v>
                </c:pt>
                <c:pt idx="73">
                  <c:v>112.322954037</c:v>
                </c:pt>
                <c:pt idx="74">
                  <c:v>111.666019769</c:v>
                </c:pt>
                <c:pt idx="75">
                  <c:v>112.728249019</c:v>
                </c:pt>
                <c:pt idx="76">
                  <c:v>111.180644349</c:v>
                </c:pt>
                <c:pt idx="77">
                  <c:v>111.824385991</c:v>
                </c:pt>
                <c:pt idx="78">
                  <c:v>113.42367305800001</c:v>
                </c:pt>
                <c:pt idx="79">
                  <c:v>112.52701023500001</c:v>
                </c:pt>
                <c:pt idx="80">
                  <c:v>111.419671386</c:v>
                </c:pt>
                <c:pt idx="81">
                  <c:v>109.69210325500001</c:v>
                </c:pt>
                <c:pt idx="82">
                  <c:v>108.079737315</c:v>
                </c:pt>
                <c:pt idx="83">
                  <c:v>106.665023561</c:v>
                </c:pt>
                <c:pt idx="84">
                  <c:v>107.12112593000001</c:v>
                </c:pt>
                <c:pt idx="85">
                  <c:v>107.38491464499999</c:v>
                </c:pt>
                <c:pt idx="86">
                  <c:v>106.216584333</c:v>
                </c:pt>
                <c:pt idx="87">
                  <c:v>104.634115532</c:v>
                </c:pt>
                <c:pt idx="88">
                  <c:v>104.537028674</c:v>
                </c:pt>
                <c:pt idx="89">
                  <c:v>108.028578913</c:v>
                </c:pt>
                <c:pt idx="90">
                  <c:v>104.735457931</c:v>
                </c:pt>
                <c:pt idx="91">
                  <c:v>104.178094096</c:v>
                </c:pt>
                <c:pt idx="92">
                  <c:v>102.400434029</c:v>
                </c:pt>
                <c:pt idx="93">
                  <c:v>103.123565691</c:v>
                </c:pt>
                <c:pt idx="94">
                  <c:v>104.84438528299999</c:v>
                </c:pt>
                <c:pt idx="95">
                  <c:v>102.205550968</c:v>
                </c:pt>
                <c:pt idx="96">
                  <c:v>99.267641539400003</c:v>
                </c:pt>
                <c:pt idx="97">
                  <c:v>98.055505174499999</c:v>
                </c:pt>
                <c:pt idx="98">
                  <c:v>100.04323411</c:v>
                </c:pt>
                <c:pt idx="99">
                  <c:v>99.065250139300005</c:v>
                </c:pt>
                <c:pt idx="100">
                  <c:v>98.841343047999999</c:v>
                </c:pt>
              </c:numCache>
            </c:numRef>
          </c:yVal>
          <c:smooth val="1"/>
        </c:ser>
        <c:ser>
          <c:idx val="16"/>
          <c:order val="16"/>
          <c:tx>
            <c:strRef>
              <c:f>S_plus!$AC$1</c:f>
              <c:strCache>
                <c:ptCount val="1"/>
                <c:pt idx="0">
                  <c:v>Sim17</c:v>
                </c:pt>
              </c:strCache>
            </c:strRef>
          </c:tx>
          <c:marker>
            <c:symbol val="none"/>
          </c:marker>
          <c:xVal>
            <c:numRef>
              <c:f>S_plus!$L$2:$L$102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S_plus!$AC$2:$AC$102</c:f>
              <c:numCache>
                <c:formatCode>General</c:formatCode>
                <c:ptCount val="101"/>
                <c:pt idx="0">
                  <c:v>100</c:v>
                </c:pt>
                <c:pt idx="1">
                  <c:v>94.387171419699996</c:v>
                </c:pt>
                <c:pt idx="2">
                  <c:v>94.784913566699998</c:v>
                </c:pt>
                <c:pt idx="3">
                  <c:v>96.512681320599995</c:v>
                </c:pt>
                <c:pt idx="4">
                  <c:v>97.195083258599993</c:v>
                </c:pt>
                <c:pt idx="5">
                  <c:v>95.414718656800005</c:v>
                </c:pt>
                <c:pt idx="6">
                  <c:v>91.245919258499995</c:v>
                </c:pt>
                <c:pt idx="7">
                  <c:v>90.133310488899994</c:v>
                </c:pt>
                <c:pt idx="8">
                  <c:v>88.756304752000005</c:v>
                </c:pt>
                <c:pt idx="9">
                  <c:v>90.275696047500006</c:v>
                </c:pt>
                <c:pt idx="10">
                  <c:v>91.581671161700001</c:v>
                </c:pt>
                <c:pt idx="11">
                  <c:v>90.830544985499998</c:v>
                </c:pt>
                <c:pt idx="12">
                  <c:v>90.151833886299997</c:v>
                </c:pt>
                <c:pt idx="13">
                  <c:v>90.462335817600007</c:v>
                </c:pt>
                <c:pt idx="14">
                  <c:v>89.186071854600002</c:v>
                </c:pt>
                <c:pt idx="15">
                  <c:v>94.885754911700005</c:v>
                </c:pt>
                <c:pt idx="16">
                  <c:v>93.911811908399997</c:v>
                </c:pt>
                <c:pt idx="17">
                  <c:v>91.193026465499997</c:v>
                </c:pt>
                <c:pt idx="18">
                  <c:v>91.562825529500003</c:v>
                </c:pt>
                <c:pt idx="19">
                  <c:v>94.837299836699998</c:v>
                </c:pt>
                <c:pt idx="20">
                  <c:v>96.545443378399995</c:v>
                </c:pt>
                <c:pt idx="21">
                  <c:v>97.116409477399998</c:v>
                </c:pt>
                <c:pt idx="22">
                  <c:v>94.6839362913</c:v>
                </c:pt>
                <c:pt idx="23">
                  <c:v>94.847776967800002</c:v>
                </c:pt>
                <c:pt idx="24">
                  <c:v>94.221195887700006</c:v>
                </c:pt>
                <c:pt idx="25">
                  <c:v>93.209570393999996</c:v>
                </c:pt>
                <c:pt idx="26">
                  <c:v>91.167127446199999</c:v>
                </c:pt>
                <c:pt idx="27">
                  <c:v>93.031275900799997</c:v>
                </c:pt>
                <c:pt idx="28">
                  <c:v>91.325822844399994</c:v>
                </c:pt>
                <c:pt idx="29">
                  <c:v>93.846358509300003</c:v>
                </c:pt>
                <c:pt idx="30">
                  <c:v>92.3336844894</c:v>
                </c:pt>
                <c:pt idx="31">
                  <c:v>92.077776710500004</c:v>
                </c:pt>
                <c:pt idx="32">
                  <c:v>89.411216937700004</c:v>
                </c:pt>
                <c:pt idx="33">
                  <c:v>88.872702408600006</c:v>
                </c:pt>
                <c:pt idx="34">
                  <c:v>88.887005440999999</c:v>
                </c:pt>
                <c:pt idx="35">
                  <c:v>90.0067181143</c:v>
                </c:pt>
                <c:pt idx="36">
                  <c:v>94.198940305700006</c:v>
                </c:pt>
                <c:pt idx="37">
                  <c:v>91.248603054599997</c:v>
                </c:pt>
                <c:pt idx="38">
                  <c:v>89.972183316100001</c:v>
                </c:pt>
                <c:pt idx="39">
                  <c:v>90.727159429099999</c:v>
                </c:pt>
                <c:pt idx="40">
                  <c:v>89.141623629500003</c:v>
                </c:pt>
                <c:pt idx="41">
                  <c:v>85.929256345699997</c:v>
                </c:pt>
                <c:pt idx="42">
                  <c:v>86.447461817999994</c:v>
                </c:pt>
                <c:pt idx="43">
                  <c:v>88.407672882699998</c:v>
                </c:pt>
                <c:pt idx="44">
                  <c:v>86.534389899800004</c:v>
                </c:pt>
                <c:pt idx="45">
                  <c:v>86.208369595400001</c:v>
                </c:pt>
                <c:pt idx="46">
                  <c:v>88.661618455899998</c:v>
                </c:pt>
                <c:pt idx="47">
                  <c:v>87.328776150600007</c:v>
                </c:pt>
                <c:pt idx="48">
                  <c:v>86.104982983699998</c:v>
                </c:pt>
                <c:pt idx="49">
                  <c:v>84.862860714500002</c:v>
                </c:pt>
                <c:pt idx="50">
                  <c:v>81.829029691299993</c:v>
                </c:pt>
                <c:pt idx="51">
                  <c:v>81.004155138399994</c:v>
                </c:pt>
                <c:pt idx="52">
                  <c:v>81.285995786000001</c:v>
                </c:pt>
                <c:pt idx="53">
                  <c:v>80.984763098900004</c:v>
                </c:pt>
                <c:pt idx="54">
                  <c:v>79.837413099000003</c:v>
                </c:pt>
                <c:pt idx="55">
                  <c:v>78.526439806699997</c:v>
                </c:pt>
                <c:pt idx="56">
                  <c:v>77.497246998400001</c:v>
                </c:pt>
                <c:pt idx="57">
                  <c:v>74.926232085799995</c:v>
                </c:pt>
                <c:pt idx="58">
                  <c:v>76.854882392299999</c:v>
                </c:pt>
                <c:pt idx="59">
                  <c:v>77.064458624699995</c:v>
                </c:pt>
                <c:pt idx="60">
                  <c:v>77.733439172700002</c:v>
                </c:pt>
                <c:pt idx="61">
                  <c:v>82.376099126499994</c:v>
                </c:pt>
                <c:pt idx="62">
                  <c:v>83.869267986099999</c:v>
                </c:pt>
                <c:pt idx="63">
                  <c:v>84.665483408599997</c:v>
                </c:pt>
                <c:pt idx="64">
                  <c:v>84.3240637918</c:v>
                </c:pt>
                <c:pt idx="65">
                  <c:v>83.873886704399993</c:v>
                </c:pt>
                <c:pt idx="66">
                  <c:v>83.846070383500006</c:v>
                </c:pt>
                <c:pt idx="67">
                  <c:v>81.597241889399996</c:v>
                </c:pt>
                <c:pt idx="68">
                  <c:v>80.595176765299996</c:v>
                </c:pt>
                <c:pt idx="69">
                  <c:v>79.259711818499994</c:v>
                </c:pt>
                <c:pt idx="70">
                  <c:v>79.507773927000002</c:v>
                </c:pt>
                <c:pt idx="71">
                  <c:v>79.860159953299998</c:v>
                </c:pt>
                <c:pt idx="72">
                  <c:v>79.362134117799997</c:v>
                </c:pt>
                <c:pt idx="73">
                  <c:v>82.143453387099996</c:v>
                </c:pt>
                <c:pt idx="74">
                  <c:v>83.383234872100005</c:v>
                </c:pt>
                <c:pt idx="75">
                  <c:v>85.578828206500006</c:v>
                </c:pt>
                <c:pt idx="76">
                  <c:v>85.180451136499997</c:v>
                </c:pt>
                <c:pt idx="77">
                  <c:v>80.606675897700001</c:v>
                </c:pt>
                <c:pt idx="78">
                  <c:v>83.2118414758</c:v>
                </c:pt>
                <c:pt idx="79">
                  <c:v>82.6439734657</c:v>
                </c:pt>
                <c:pt idx="80">
                  <c:v>84.331753986600006</c:v>
                </c:pt>
                <c:pt idx="81">
                  <c:v>86.937444769500004</c:v>
                </c:pt>
                <c:pt idx="82">
                  <c:v>86.445698918199994</c:v>
                </c:pt>
                <c:pt idx="83">
                  <c:v>86.497103192400004</c:v>
                </c:pt>
                <c:pt idx="84">
                  <c:v>87.918099174100007</c:v>
                </c:pt>
                <c:pt idx="85">
                  <c:v>87.575934921300004</c:v>
                </c:pt>
                <c:pt idx="86">
                  <c:v>87.871459504300006</c:v>
                </c:pt>
                <c:pt idx="87">
                  <c:v>87.565512783100004</c:v>
                </c:pt>
                <c:pt idx="88">
                  <c:v>88.200934126999996</c:v>
                </c:pt>
                <c:pt idx="89">
                  <c:v>88.792436944200006</c:v>
                </c:pt>
                <c:pt idx="90">
                  <c:v>87.528593691300003</c:v>
                </c:pt>
                <c:pt idx="91">
                  <c:v>88.356042074499996</c:v>
                </c:pt>
                <c:pt idx="92">
                  <c:v>89.088868423099996</c:v>
                </c:pt>
                <c:pt idx="93">
                  <c:v>91.511298101999998</c:v>
                </c:pt>
                <c:pt idx="94">
                  <c:v>92.261537006200001</c:v>
                </c:pt>
                <c:pt idx="95">
                  <c:v>95.142531966799993</c:v>
                </c:pt>
                <c:pt idx="96">
                  <c:v>90.654548016199996</c:v>
                </c:pt>
                <c:pt idx="97">
                  <c:v>87.608665028199994</c:v>
                </c:pt>
                <c:pt idx="98">
                  <c:v>83.854156890699997</c:v>
                </c:pt>
                <c:pt idx="99">
                  <c:v>82.116311557399996</c:v>
                </c:pt>
                <c:pt idx="100">
                  <c:v>83.735123966100005</c:v>
                </c:pt>
              </c:numCache>
            </c:numRef>
          </c:yVal>
          <c:smooth val="1"/>
        </c:ser>
        <c:ser>
          <c:idx val="17"/>
          <c:order val="17"/>
          <c:tx>
            <c:strRef>
              <c:f>S_plus!$AD$1</c:f>
              <c:strCache>
                <c:ptCount val="1"/>
                <c:pt idx="0">
                  <c:v>Sim18</c:v>
                </c:pt>
              </c:strCache>
            </c:strRef>
          </c:tx>
          <c:marker>
            <c:symbol val="none"/>
          </c:marker>
          <c:xVal>
            <c:numRef>
              <c:f>S_plus!$L$2:$L$102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S_plus!$AD$2:$AD$102</c:f>
              <c:numCache>
                <c:formatCode>General</c:formatCode>
                <c:ptCount val="101"/>
                <c:pt idx="0">
                  <c:v>100</c:v>
                </c:pt>
                <c:pt idx="1">
                  <c:v>101.55294921700001</c:v>
                </c:pt>
                <c:pt idx="2">
                  <c:v>96.012101924999996</c:v>
                </c:pt>
                <c:pt idx="3">
                  <c:v>94.162963793700001</c:v>
                </c:pt>
                <c:pt idx="4">
                  <c:v>97.353077761500003</c:v>
                </c:pt>
                <c:pt idx="5">
                  <c:v>94.406508852800002</c:v>
                </c:pt>
                <c:pt idx="6">
                  <c:v>96.5653563977</c:v>
                </c:pt>
                <c:pt idx="7">
                  <c:v>95.740029452800002</c:v>
                </c:pt>
                <c:pt idx="8">
                  <c:v>97.141858387900001</c:v>
                </c:pt>
                <c:pt idx="9">
                  <c:v>96.922337754599994</c:v>
                </c:pt>
                <c:pt idx="10">
                  <c:v>94.694318804999995</c:v>
                </c:pt>
                <c:pt idx="11">
                  <c:v>93.761544717999996</c:v>
                </c:pt>
                <c:pt idx="12">
                  <c:v>95.654379500900006</c:v>
                </c:pt>
                <c:pt idx="13">
                  <c:v>91.220666773000005</c:v>
                </c:pt>
                <c:pt idx="14">
                  <c:v>90.791121102299996</c:v>
                </c:pt>
                <c:pt idx="15">
                  <c:v>90.697100600699997</c:v>
                </c:pt>
                <c:pt idx="16">
                  <c:v>89.803472619399997</c:v>
                </c:pt>
                <c:pt idx="17">
                  <c:v>91.576239721299999</c:v>
                </c:pt>
                <c:pt idx="18">
                  <c:v>90.876955846900003</c:v>
                </c:pt>
                <c:pt idx="19">
                  <c:v>93.112296736399998</c:v>
                </c:pt>
                <c:pt idx="20">
                  <c:v>95.819067950800004</c:v>
                </c:pt>
                <c:pt idx="21">
                  <c:v>98.388189882000006</c:v>
                </c:pt>
                <c:pt idx="22">
                  <c:v>98.365307572099994</c:v>
                </c:pt>
                <c:pt idx="23">
                  <c:v>100.71126768400001</c:v>
                </c:pt>
                <c:pt idx="24">
                  <c:v>100.550293575</c:v>
                </c:pt>
                <c:pt idx="25">
                  <c:v>99.235297680900004</c:v>
                </c:pt>
                <c:pt idx="26">
                  <c:v>96.4664269676</c:v>
                </c:pt>
                <c:pt idx="27">
                  <c:v>94.2486740083</c:v>
                </c:pt>
                <c:pt idx="28">
                  <c:v>95.198824408600004</c:v>
                </c:pt>
                <c:pt idx="29">
                  <c:v>92.902971473500003</c:v>
                </c:pt>
                <c:pt idx="30">
                  <c:v>94.392336374199999</c:v>
                </c:pt>
                <c:pt idx="31">
                  <c:v>93.050483158000006</c:v>
                </c:pt>
                <c:pt idx="32">
                  <c:v>93.065618234799999</c:v>
                </c:pt>
                <c:pt idx="33">
                  <c:v>92.260180504700003</c:v>
                </c:pt>
                <c:pt idx="34">
                  <c:v>95.174129148999995</c:v>
                </c:pt>
                <c:pt idx="35">
                  <c:v>95.561230373900003</c:v>
                </c:pt>
                <c:pt idx="36">
                  <c:v>99.012943765800003</c:v>
                </c:pt>
                <c:pt idx="37">
                  <c:v>96.008986238099993</c:v>
                </c:pt>
                <c:pt idx="38">
                  <c:v>96.623862251700004</c:v>
                </c:pt>
                <c:pt idx="39">
                  <c:v>97.341579826499995</c:v>
                </c:pt>
                <c:pt idx="40">
                  <c:v>95.809356605299996</c:v>
                </c:pt>
                <c:pt idx="41">
                  <c:v>94.5163025146</c:v>
                </c:pt>
                <c:pt idx="42">
                  <c:v>97.569975986100005</c:v>
                </c:pt>
                <c:pt idx="43">
                  <c:v>99.572873431900007</c:v>
                </c:pt>
                <c:pt idx="44">
                  <c:v>101.456596092</c:v>
                </c:pt>
                <c:pt idx="45">
                  <c:v>99.279585025200006</c:v>
                </c:pt>
                <c:pt idx="46">
                  <c:v>100.258492253</c:v>
                </c:pt>
                <c:pt idx="47">
                  <c:v>99.415140195199996</c:v>
                </c:pt>
                <c:pt idx="48">
                  <c:v>98.800743474399994</c:v>
                </c:pt>
                <c:pt idx="49">
                  <c:v>100.941047844</c:v>
                </c:pt>
                <c:pt idx="50">
                  <c:v>103.608466553</c:v>
                </c:pt>
                <c:pt idx="51">
                  <c:v>102.058825881</c:v>
                </c:pt>
                <c:pt idx="52">
                  <c:v>102.854918102</c:v>
                </c:pt>
                <c:pt idx="53">
                  <c:v>100.242258647</c:v>
                </c:pt>
                <c:pt idx="54">
                  <c:v>100.993328339</c:v>
                </c:pt>
                <c:pt idx="55">
                  <c:v>100.505729762</c:v>
                </c:pt>
                <c:pt idx="56">
                  <c:v>97.571745434199997</c:v>
                </c:pt>
                <c:pt idx="57">
                  <c:v>99.233239865100003</c:v>
                </c:pt>
                <c:pt idx="58">
                  <c:v>101.10212602199999</c:v>
                </c:pt>
                <c:pt idx="59">
                  <c:v>102.46371359299999</c:v>
                </c:pt>
                <c:pt idx="60">
                  <c:v>103.339201453</c:v>
                </c:pt>
                <c:pt idx="61">
                  <c:v>103.169631806</c:v>
                </c:pt>
                <c:pt idx="62">
                  <c:v>99.407699990899999</c:v>
                </c:pt>
                <c:pt idx="63">
                  <c:v>100.944797064</c:v>
                </c:pt>
                <c:pt idx="64">
                  <c:v>101.30986400099999</c:v>
                </c:pt>
                <c:pt idx="65">
                  <c:v>96.390257346799999</c:v>
                </c:pt>
                <c:pt idx="66">
                  <c:v>93.669161365700006</c:v>
                </c:pt>
                <c:pt idx="67">
                  <c:v>96.819689969799995</c:v>
                </c:pt>
                <c:pt idx="68">
                  <c:v>100.140508823</c:v>
                </c:pt>
                <c:pt idx="69">
                  <c:v>104.537628934</c:v>
                </c:pt>
                <c:pt idx="70">
                  <c:v>105.556428904</c:v>
                </c:pt>
                <c:pt idx="71">
                  <c:v>106.71023689800001</c:v>
                </c:pt>
                <c:pt idx="72">
                  <c:v>110.245694435</c:v>
                </c:pt>
                <c:pt idx="73">
                  <c:v>108.560354198</c:v>
                </c:pt>
                <c:pt idx="74">
                  <c:v>107.833947141</c:v>
                </c:pt>
                <c:pt idx="75">
                  <c:v>104.185986805</c:v>
                </c:pt>
                <c:pt idx="76">
                  <c:v>104.350775091</c:v>
                </c:pt>
                <c:pt idx="77">
                  <c:v>103.061807931</c:v>
                </c:pt>
                <c:pt idx="78">
                  <c:v>99.429022650600004</c:v>
                </c:pt>
                <c:pt idx="79">
                  <c:v>96.944266042600006</c:v>
                </c:pt>
                <c:pt idx="80">
                  <c:v>96.390224416500004</c:v>
                </c:pt>
                <c:pt idx="81">
                  <c:v>94.843079341199996</c:v>
                </c:pt>
                <c:pt idx="82">
                  <c:v>97.015272919099999</c:v>
                </c:pt>
                <c:pt idx="83">
                  <c:v>94.513031497100002</c:v>
                </c:pt>
                <c:pt idx="84">
                  <c:v>91.161269502300001</c:v>
                </c:pt>
                <c:pt idx="85">
                  <c:v>89.722725338700002</c:v>
                </c:pt>
                <c:pt idx="86">
                  <c:v>88.959685392500006</c:v>
                </c:pt>
                <c:pt idx="87">
                  <c:v>92.917311169599998</c:v>
                </c:pt>
                <c:pt idx="88">
                  <c:v>94.819323656099996</c:v>
                </c:pt>
                <c:pt idx="89">
                  <c:v>93.036628975100001</c:v>
                </c:pt>
                <c:pt idx="90">
                  <c:v>94.725486801900004</c:v>
                </c:pt>
                <c:pt idx="91">
                  <c:v>93.904123575400007</c:v>
                </c:pt>
                <c:pt idx="92">
                  <c:v>93.870809268599999</c:v>
                </c:pt>
                <c:pt idx="93">
                  <c:v>94.364627930200001</c:v>
                </c:pt>
                <c:pt idx="94">
                  <c:v>94.392786354500004</c:v>
                </c:pt>
                <c:pt idx="95">
                  <c:v>93.991406608999995</c:v>
                </c:pt>
                <c:pt idx="96">
                  <c:v>96.990408321800004</c:v>
                </c:pt>
                <c:pt idx="97">
                  <c:v>95.752181675000003</c:v>
                </c:pt>
                <c:pt idx="98">
                  <c:v>91.670087121999998</c:v>
                </c:pt>
                <c:pt idx="99">
                  <c:v>89.5567263457</c:v>
                </c:pt>
                <c:pt idx="100">
                  <c:v>87.529478935200004</c:v>
                </c:pt>
              </c:numCache>
            </c:numRef>
          </c:yVal>
          <c:smooth val="1"/>
        </c:ser>
        <c:ser>
          <c:idx val="18"/>
          <c:order val="18"/>
          <c:tx>
            <c:strRef>
              <c:f>S_plus!$AE$1</c:f>
              <c:strCache>
                <c:ptCount val="1"/>
                <c:pt idx="0">
                  <c:v>Sim19</c:v>
                </c:pt>
              </c:strCache>
            </c:strRef>
          </c:tx>
          <c:marker>
            <c:symbol val="none"/>
          </c:marker>
          <c:xVal>
            <c:numRef>
              <c:f>S_plus!$L$2:$L$102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S_plus!$AE$2:$AE$102</c:f>
              <c:numCache>
                <c:formatCode>General</c:formatCode>
                <c:ptCount val="101"/>
                <c:pt idx="0">
                  <c:v>100</c:v>
                </c:pt>
                <c:pt idx="1">
                  <c:v>97.464652743200006</c:v>
                </c:pt>
                <c:pt idx="2">
                  <c:v>95.889308963399998</c:v>
                </c:pt>
                <c:pt idx="3">
                  <c:v>96.339274578200005</c:v>
                </c:pt>
                <c:pt idx="4">
                  <c:v>96.952503367800006</c:v>
                </c:pt>
                <c:pt idx="5">
                  <c:v>97.802009089099997</c:v>
                </c:pt>
                <c:pt idx="6">
                  <c:v>97.4839351631</c:v>
                </c:pt>
                <c:pt idx="7">
                  <c:v>99.607500548700003</c:v>
                </c:pt>
                <c:pt idx="8">
                  <c:v>102.049670947</c:v>
                </c:pt>
                <c:pt idx="9">
                  <c:v>105.65183965999999</c:v>
                </c:pt>
                <c:pt idx="10">
                  <c:v>105.394806184</c:v>
                </c:pt>
                <c:pt idx="11">
                  <c:v>105.968652728</c:v>
                </c:pt>
                <c:pt idx="12">
                  <c:v>107.451204084</c:v>
                </c:pt>
                <c:pt idx="13">
                  <c:v>108.32597939999999</c:v>
                </c:pt>
                <c:pt idx="14">
                  <c:v>104.842195175</c:v>
                </c:pt>
                <c:pt idx="15">
                  <c:v>107.53456795</c:v>
                </c:pt>
                <c:pt idx="16">
                  <c:v>112.406057875</c:v>
                </c:pt>
                <c:pt idx="17">
                  <c:v>109.91296461</c:v>
                </c:pt>
                <c:pt idx="18">
                  <c:v>109.516932651</c:v>
                </c:pt>
                <c:pt idx="19">
                  <c:v>113.62798983899999</c:v>
                </c:pt>
                <c:pt idx="20">
                  <c:v>112.206496367</c:v>
                </c:pt>
                <c:pt idx="21">
                  <c:v>113.562882479</c:v>
                </c:pt>
                <c:pt idx="22">
                  <c:v>113.51622026</c:v>
                </c:pt>
                <c:pt idx="23">
                  <c:v>115.174038283</c:v>
                </c:pt>
                <c:pt idx="24">
                  <c:v>117.054901774</c:v>
                </c:pt>
                <c:pt idx="25">
                  <c:v>117.403424898</c:v>
                </c:pt>
                <c:pt idx="26">
                  <c:v>119.89809952100001</c:v>
                </c:pt>
                <c:pt idx="27">
                  <c:v>122.83021078599999</c:v>
                </c:pt>
                <c:pt idx="28">
                  <c:v>119.76813469</c:v>
                </c:pt>
                <c:pt idx="29">
                  <c:v>122.13528415</c:v>
                </c:pt>
                <c:pt idx="30">
                  <c:v>122.337399644</c:v>
                </c:pt>
                <c:pt idx="31">
                  <c:v>123.28431696</c:v>
                </c:pt>
                <c:pt idx="32">
                  <c:v>122.832201443</c:v>
                </c:pt>
                <c:pt idx="33">
                  <c:v>125.023978595</c:v>
                </c:pt>
                <c:pt idx="34">
                  <c:v>130.162311738</c:v>
                </c:pt>
                <c:pt idx="35">
                  <c:v>132.03415347399999</c:v>
                </c:pt>
                <c:pt idx="36">
                  <c:v>134.03760738</c:v>
                </c:pt>
                <c:pt idx="37">
                  <c:v>137.906607958</c:v>
                </c:pt>
                <c:pt idx="38">
                  <c:v>135.86048681099999</c:v>
                </c:pt>
                <c:pt idx="39">
                  <c:v>136.18729736700001</c:v>
                </c:pt>
                <c:pt idx="40">
                  <c:v>135.211077512</c:v>
                </c:pt>
                <c:pt idx="41">
                  <c:v>130.48841300399999</c:v>
                </c:pt>
                <c:pt idx="42">
                  <c:v>130.646405268</c:v>
                </c:pt>
                <c:pt idx="43">
                  <c:v>133.88804111100001</c:v>
                </c:pt>
                <c:pt idx="44">
                  <c:v>138.52311643100001</c:v>
                </c:pt>
                <c:pt idx="45">
                  <c:v>134.19522876799999</c:v>
                </c:pt>
                <c:pt idx="46">
                  <c:v>133.22696458799999</c:v>
                </c:pt>
                <c:pt idx="47">
                  <c:v>133.676509388</c:v>
                </c:pt>
                <c:pt idx="48">
                  <c:v>128.64185172399999</c:v>
                </c:pt>
                <c:pt idx="49">
                  <c:v>128.896721789</c:v>
                </c:pt>
                <c:pt idx="50">
                  <c:v>129.56275175299999</c:v>
                </c:pt>
                <c:pt idx="51">
                  <c:v>132.378209051</c:v>
                </c:pt>
                <c:pt idx="52">
                  <c:v>131.17780359</c:v>
                </c:pt>
                <c:pt idx="53">
                  <c:v>131.960299443</c:v>
                </c:pt>
                <c:pt idx="54">
                  <c:v>132.340923726</c:v>
                </c:pt>
                <c:pt idx="55">
                  <c:v>136.17976317399999</c:v>
                </c:pt>
                <c:pt idx="56">
                  <c:v>139.01464035399999</c:v>
                </c:pt>
                <c:pt idx="57">
                  <c:v>139.86869759800001</c:v>
                </c:pt>
                <c:pt idx="58">
                  <c:v>142.39534238499999</c:v>
                </c:pt>
                <c:pt idx="59">
                  <c:v>144.51291008800001</c:v>
                </c:pt>
                <c:pt idx="60">
                  <c:v>144.196670646</c:v>
                </c:pt>
                <c:pt idx="61">
                  <c:v>139.81026141800001</c:v>
                </c:pt>
                <c:pt idx="62">
                  <c:v>140.05519759399999</c:v>
                </c:pt>
                <c:pt idx="63">
                  <c:v>141.49939482900001</c:v>
                </c:pt>
                <c:pt idx="64">
                  <c:v>139.49947072099999</c:v>
                </c:pt>
                <c:pt idx="65">
                  <c:v>138.519338046</c:v>
                </c:pt>
                <c:pt idx="66">
                  <c:v>134.94389287499999</c:v>
                </c:pt>
                <c:pt idx="67">
                  <c:v>135.317514536</c:v>
                </c:pt>
                <c:pt idx="68">
                  <c:v>133.56548601599999</c:v>
                </c:pt>
                <c:pt idx="69">
                  <c:v>132.154996759</c:v>
                </c:pt>
                <c:pt idx="70">
                  <c:v>135.14119289999999</c:v>
                </c:pt>
                <c:pt idx="71">
                  <c:v>136.45499821499999</c:v>
                </c:pt>
                <c:pt idx="72">
                  <c:v>134.796532805</c:v>
                </c:pt>
                <c:pt idx="73">
                  <c:v>138.476749074</c:v>
                </c:pt>
                <c:pt idx="74">
                  <c:v>136.677074799</c:v>
                </c:pt>
                <c:pt idx="75">
                  <c:v>137.16170428199999</c:v>
                </c:pt>
                <c:pt idx="76">
                  <c:v>136.39182829999999</c:v>
                </c:pt>
                <c:pt idx="77">
                  <c:v>135.26655337700001</c:v>
                </c:pt>
                <c:pt idx="78">
                  <c:v>137.18934552499999</c:v>
                </c:pt>
                <c:pt idx="79">
                  <c:v>138.48824872500001</c:v>
                </c:pt>
                <c:pt idx="80">
                  <c:v>138.84025333100001</c:v>
                </c:pt>
                <c:pt idx="81">
                  <c:v>136.57438559900001</c:v>
                </c:pt>
                <c:pt idx="82">
                  <c:v>133.96549606100001</c:v>
                </c:pt>
                <c:pt idx="83">
                  <c:v>132.48598970099999</c:v>
                </c:pt>
                <c:pt idx="84">
                  <c:v>134.12263036300001</c:v>
                </c:pt>
                <c:pt idx="85">
                  <c:v>135.11179476500001</c:v>
                </c:pt>
                <c:pt idx="86">
                  <c:v>130.68129529999999</c:v>
                </c:pt>
                <c:pt idx="87">
                  <c:v>131.65199883</c:v>
                </c:pt>
                <c:pt idx="88">
                  <c:v>131.09623207300001</c:v>
                </c:pt>
                <c:pt idx="89">
                  <c:v>134.377778119</c:v>
                </c:pt>
                <c:pt idx="90">
                  <c:v>133.66862456800001</c:v>
                </c:pt>
                <c:pt idx="91">
                  <c:v>130.83730881599999</c:v>
                </c:pt>
                <c:pt idx="92">
                  <c:v>127.092156606</c:v>
                </c:pt>
                <c:pt idx="93">
                  <c:v>126.80495671</c:v>
                </c:pt>
                <c:pt idx="94">
                  <c:v>124.616914826</c:v>
                </c:pt>
                <c:pt idx="95">
                  <c:v>125.923022606</c:v>
                </c:pt>
                <c:pt idx="96">
                  <c:v>125.88133969499999</c:v>
                </c:pt>
                <c:pt idx="97">
                  <c:v>128.90956991199999</c:v>
                </c:pt>
                <c:pt idx="98">
                  <c:v>126.422277282</c:v>
                </c:pt>
                <c:pt idx="99">
                  <c:v>122.265603641</c:v>
                </c:pt>
                <c:pt idx="100">
                  <c:v>124.014307453</c:v>
                </c:pt>
              </c:numCache>
            </c:numRef>
          </c:yVal>
          <c:smooth val="1"/>
        </c:ser>
        <c:ser>
          <c:idx val="19"/>
          <c:order val="19"/>
          <c:tx>
            <c:strRef>
              <c:f>S_plus!$AF$1</c:f>
              <c:strCache>
                <c:ptCount val="1"/>
                <c:pt idx="0">
                  <c:v>Sim20</c:v>
                </c:pt>
              </c:strCache>
            </c:strRef>
          </c:tx>
          <c:marker>
            <c:symbol val="none"/>
          </c:marker>
          <c:xVal>
            <c:numRef>
              <c:f>S_plus!$L$2:$L$102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S_plus!$AF$2:$AF$102</c:f>
              <c:numCache>
                <c:formatCode>General</c:formatCode>
                <c:ptCount val="101"/>
                <c:pt idx="0">
                  <c:v>100</c:v>
                </c:pt>
                <c:pt idx="1">
                  <c:v>98.314920302499999</c:v>
                </c:pt>
                <c:pt idx="2">
                  <c:v>100.077865368</c:v>
                </c:pt>
                <c:pt idx="3">
                  <c:v>99.250310633799998</c:v>
                </c:pt>
                <c:pt idx="4">
                  <c:v>97.532999036299998</c:v>
                </c:pt>
                <c:pt idx="5">
                  <c:v>94.646397255599993</c:v>
                </c:pt>
                <c:pt idx="6">
                  <c:v>95.993524581299994</c:v>
                </c:pt>
                <c:pt idx="7">
                  <c:v>92.700516971400006</c:v>
                </c:pt>
                <c:pt idx="8">
                  <c:v>92.044369942299994</c:v>
                </c:pt>
                <c:pt idx="9">
                  <c:v>89.805604975600005</c:v>
                </c:pt>
                <c:pt idx="10">
                  <c:v>89.7995436283</c:v>
                </c:pt>
                <c:pt idx="11">
                  <c:v>89.143387081699998</c:v>
                </c:pt>
                <c:pt idx="12">
                  <c:v>92.198860547199999</c:v>
                </c:pt>
                <c:pt idx="13">
                  <c:v>88.072600111400007</c:v>
                </c:pt>
                <c:pt idx="14">
                  <c:v>89.334657969700004</c:v>
                </c:pt>
                <c:pt idx="15">
                  <c:v>89.004574244200001</c:v>
                </c:pt>
                <c:pt idx="16">
                  <c:v>89.548652416099998</c:v>
                </c:pt>
                <c:pt idx="17">
                  <c:v>90.274540029600004</c:v>
                </c:pt>
                <c:pt idx="18">
                  <c:v>91.853736451000003</c:v>
                </c:pt>
                <c:pt idx="19">
                  <c:v>90.840647450299997</c:v>
                </c:pt>
                <c:pt idx="20">
                  <c:v>89.621537375800003</c:v>
                </c:pt>
                <c:pt idx="21">
                  <c:v>92.080492608900002</c:v>
                </c:pt>
                <c:pt idx="22">
                  <c:v>94.119869099400006</c:v>
                </c:pt>
                <c:pt idx="23">
                  <c:v>93.683156314100003</c:v>
                </c:pt>
                <c:pt idx="24">
                  <c:v>98.509989805100005</c:v>
                </c:pt>
                <c:pt idx="25">
                  <c:v>96.422613157499995</c:v>
                </c:pt>
                <c:pt idx="26">
                  <c:v>98.214237636799993</c:v>
                </c:pt>
                <c:pt idx="27">
                  <c:v>99.540971918799997</c:v>
                </c:pt>
                <c:pt idx="28">
                  <c:v>97.657944629900001</c:v>
                </c:pt>
                <c:pt idx="29">
                  <c:v>98.8246397387</c:v>
                </c:pt>
                <c:pt idx="30">
                  <c:v>100.298517911</c:v>
                </c:pt>
                <c:pt idx="31">
                  <c:v>98.368325277799997</c:v>
                </c:pt>
                <c:pt idx="32">
                  <c:v>102.38001305500001</c:v>
                </c:pt>
                <c:pt idx="33">
                  <c:v>104.51990771200001</c:v>
                </c:pt>
                <c:pt idx="34">
                  <c:v>104.775171759</c:v>
                </c:pt>
                <c:pt idx="35">
                  <c:v>103.16545657099999</c:v>
                </c:pt>
                <c:pt idx="36">
                  <c:v>103.066561886</c:v>
                </c:pt>
                <c:pt idx="37">
                  <c:v>103.477274536</c:v>
                </c:pt>
                <c:pt idx="38">
                  <c:v>106.62063482400001</c:v>
                </c:pt>
                <c:pt idx="39">
                  <c:v>105.137863458</c:v>
                </c:pt>
                <c:pt idx="40">
                  <c:v>105.31053966499999</c:v>
                </c:pt>
                <c:pt idx="41">
                  <c:v>103.859772705</c:v>
                </c:pt>
                <c:pt idx="42">
                  <c:v>104.450233719</c:v>
                </c:pt>
                <c:pt idx="43">
                  <c:v>103.70056841100001</c:v>
                </c:pt>
                <c:pt idx="44">
                  <c:v>105.83038901800001</c:v>
                </c:pt>
                <c:pt idx="45">
                  <c:v>108.919357644</c:v>
                </c:pt>
                <c:pt idx="46">
                  <c:v>110.386548249</c:v>
                </c:pt>
                <c:pt idx="47">
                  <c:v>111.860341929</c:v>
                </c:pt>
                <c:pt idx="48">
                  <c:v>113.92931197999999</c:v>
                </c:pt>
                <c:pt idx="49">
                  <c:v>111.264590289</c:v>
                </c:pt>
                <c:pt idx="50">
                  <c:v>111.442808378</c:v>
                </c:pt>
                <c:pt idx="51">
                  <c:v>111.716064635</c:v>
                </c:pt>
                <c:pt idx="52">
                  <c:v>114.318580932</c:v>
                </c:pt>
                <c:pt idx="53">
                  <c:v>116.078007363</c:v>
                </c:pt>
                <c:pt idx="54">
                  <c:v>116.79226690900001</c:v>
                </c:pt>
                <c:pt idx="55">
                  <c:v>118.864432768</c:v>
                </c:pt>
                <c:pt idx="56">
                  <c:v>125.83108458300001</c:v>
                </c:pt>
                <c:pt idx="57">
                  <c:v>126.139334725</c:v>
                </c:pt>
                <c:pt idx="58">
                  <c:v>131.48406453600001</c:v>
                </c:pt>
                <c:pt idx="59">
                  <c:v>129.627491077</c:v>
                </c:pt>
                <c:pt idx="60">
                  <c:v>134.963037563</c:v>
                </c:pt>
                <c:pt idx="61">
                  <c:v>137.61347971199999</c:v>
                </c:pt>
                <c:pt idx="62">
                  <c:v>141.32945283000001</c:v>
                </c:pt>
                <c:pt idx="63">
                  <c:v>139.12065237100001</c:v>
                </c:pt>
                <c:pt idx="64">
                  <c:v>139.405918738</c:v>
                </c:pt>
                <c:pt idx="65">
                  <c:v>139.726040372</c:v>
                </c:pt>
                <c:pt idx="66">
                  <c:v>144.59275686800001</c:v>
                </c:pt>
                <c:pt idx="67">
                  <c:v>148.56692637500001</c:v>
                </c:pt>
                <c:pt idx="68">
                  <c:v>150.138953469</c:v>
                </c:pt>
                <c:pt idx="69">
                  <c:v>146.60274040799999</c:v>
                </c:pt>
                <c:pt idx="70">
                  <c:v>146.20294894099999</c:v>
                </c:pt>
                <c:pt idx="71">
                  <c:v>143.165087481</c:v>
                </c:pt>
                <c:pt idx="72">
                  <c:v>141.74674050499999</c:v>
                </c:pt>
                <c:pt idx="73">
                  <c:v>142.873321774</c:v>
                </c:pt>
                <c:pt idx="74">
                  <c:v>139.39877881499999</c:v>
                </c:pt>
                <c:pt idx="75">
                  <c:v>140.37774384400001</c:v>
                </c:pt>
                <c:pt idx="76">
                  <c:v>138.89503708300001</c:v>
                </c:pt>
                <c:pt idx="77">
                  <c:v>136.716416436</c:v>
                </c:pt>
                <c:pt idx="78">
                  <c:v>136.80877756199999</c:v>
                </c:pt>
                <c:pt idx="79">
                  <c:v>134.07078036300001</c:v>
                </c:pt>
                <c:pt idx="80">
                  <c:v>132.49331966099999</c:v>
                </c:pt>
                <c:pt idx="81">
                  <c:v>135.07021673700001</c:v>
                </c:pt>
                <c:pt idx="82">
                  <c:v>137.306655337</c:v>
                </c:pt>
                <c:pt idx="83">
                  <c:v>134.65736214699999</c:v>
                </c:pt>
                <c:pt idx="84">
                  <c:v>129.57328739600001</c:v>
                </c:pt>
                <c:pt idx="85">
                  <c:v>131.101098541</c:v>
                </c:pt>
                <c:pt idx="86">
                  <c:v>126.736709073</c:v>
                </c:pt>
                <c:pt idx="87">
                  <c:v>122.83927478299999</c:v>
                </c:pt>
                <c:pt idx="88">
                  <c:v>126.740377231</c:v>
                </c:pt>
                <c:pt idx="89">
                  <c:v>127.42803939700001</c:v>
                </c:pt>
                <c:pt idx="90">
                  <c:v>133.33012891999999</c:v>
                </c:pt>
                <c:pt idx="91">
                  <c:v>132.46007309500001</c:v>
                </c:pt>
                <c:pt idx="92">
                  <c:v>131.17812552199999</c:v>
                </c:pt>
                <c:pt idx="93">
                  <c:v>129.082086946</c:v>
                </c:pt>
                <c:pt idx="94">
                  <c:v>127.494060176</c:v>
                </c:pt>
                <c:pt idx="95">
                  <c:v>128.53806386100001</c:v>
                </c:pt>
                <c:pt idx="96">
                  <c:v>131.971391719</c:v>
                </c:pt>
                <c:pt idx="97">
                  <c:v>139.47890435400001</c:v>
                </c:pt>
                <c:pt idx="98">
                  <c:v>135.58989951999999</c:v>
                </c:pt>
                <c:pt idx="99">
                  <c:v>131.50381697099999</c:v>
                </c:pt>
                <c:pt idx="100">
                  <c:v>132.916989226</c:v>
                </c:pt>
              </c:numCache>
            </c:numRef>
          </c:yVal>
          <c:smooth val="1"/>
        </c:ser>
        <c:ser>
          <c:idx val="20"/>
          <c:order val="20"/>
          <c:tx>
            <c:strRef>
              <c:f>S_plus!$AG$1</c:f>
              <c:strCache>
                <c:ptCount val="1"/>
                <c:pt idx="0">
                  <c:v>Sim21</c:v>
                </c:pt>
              </c:strCache>
            </c:strRef>
          </c:tx>
          <c:marker>
            <c:symbol val="none"/>
          </c:marker>
          <c:xVal>
            <c:numRef>
              <c:f>S_plus!$L$2:$L$102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S_plus!$AG$2:$AG$102</c:f>
              <c:numCache>
                <c:formatCode>General</c:formatCode>
                <c:ptCount val="101"/>
                <c:pt idx="0">
                  <c:v>100</c:v>
                </c:pt>
                <c:pt idx="1">
                  <c:v>97.682238057800006</c:v>
                </c:pt>
                <c:pt idx="2">
                  <c:v>100.540138977</c:v>
                </c:pt>
                <c:pt idx="3">
                  <c:v>100.135306542</c:v>
                </c:pt>
                <c:pt idx="4">
                  <c:v>101.215945632</c:v>
                </c:pt>
                <c:pt idx="5">
                  <c:v>104.69562579399999</c:v>
                </c:pt>
                <c:pt idx="6">
                  <c:v>106.161881548</c:v>
                </c:pt>
                <c:pt idx="7">
                  <c:v>106.553286736</c:v>
                </c:pt>
                <c:pt idx="8">
                  <c:v>106.60771594800001</c:v>
                </c:pt>
                <c:pt idx="9">
                  <c:v>103.81517175099999</c:v>
                </c:pt>
                <c:pt idx="10">
                  <c:v>100.913499801</c:v>
                </c:pt>
                <c:pt idx="11">
                  <c:v>101.218854122</c:v>
                </c:pt>
                <c:pt idx="12">
                  <c:v>102.091812398</c:v>
                </c:pt>
                <c:pt idx="13">
                  <c:v>101.817222329</c:v>
                </c:pt>
                <c:pt idx="14">
                  <c:v>104.870440378</c:v>
                </c:pt>
                <c:pt idx="15">
                  <c:v>106.74840673</c:v>
                </c:pt>
                <c:pt idx="16">
                  <c:v>104.93996399</c:v>
                </c:pt>
                <c:pt idx="17">
                  <c:v>108.947987154</c:v>
                </c:pt>
                <c:pt idx="18">
                  <c:v>109.426236265</c:v>
                </c:pt>
                <c:pt idx="19">
                  <c:v>108.21710099000001</c:v>
                </c:pt>
                <c:pt idx="20">
                  <c:v>108.69937475</c:v>
                </c:pt>
                <c:pt idx="21">
                  <c:v>108.276549695</c:v>
                </c:pt>
                <c:pt idx="22">
                  <c:v>106.077234682</c:v>
                </c:pt>
                <c:pt idx="23">
                  <c:v>107.06061246599999</c:v>
                </c:pt>
                <c:pt idx="24">
                  <c:v>107.45235037</c:v>
                </c:pt>
                <c:pt idx="25">
                  <c:v>107.21464088800001</c:v>
                </c:pt>
                <c:pt idx="26">
                  <c:v>106.562087334</c:v>
                </c:pt>
                <c:pt idx="27">
                  <c:v>105.760163445</c:v>
                </c:pt>
                <c:pt idx="28">
                  <c:v>108.01170528999999</c:v>
                </c:pt>
                <c:pt idx="29">
                  <c:v>107.969314129</c:v>
                </c:pt>
                <c:pt idx="30">
                  <c:v>110.591395009</c:v>
                </c:pt>
                <c:pt idx="31">
                  <c:v>104.99922482300001</c:v>
                </c:pt>
                <c:pt idx="32">
                  <c:v>102.566864348</c:v>
                </c:pt>
                <c:pt idx="33">
                  <c:v>104.363436343</c:v>
                </c:pt>
                <c:pt idx="34">
                  <c:v>105.11907974</c:v>
                </c:pt>
                <c:pt idx="35">
                  <c:v>104.798500874</c:v>
                </c:pt>
                <c:pt idx="36">
                  <c:v>106.39956128999999</c:v>
                </c:pt>
                <c:pt idx="37">
                  <c:v>109.46025628300001</c:v>
                </c:pt>
                <c:pt idx="38">
                  <c:v>102.723987958</c:v>
                </c:pt>
                <c:pt idx="39">
                  <c:v>105.10227628299999</c:v>
                </c:pt>
                <c:pt idx="40">
                  <c:v>106.673580747</c:v>
                </c:pt>
                <c:pt idx="41">
                  <c:v>105.006969466</c:v>
                </c:pt>
                <c:pt idx="42">
                  <c:v>102.95273741299999</c:v>
                </c:pt>
                <c:pt idx="43">
                  <c:v>99.528362919200006</c:v>
                </c:pt>
                <c:pt idx="44">
                  <c:v>97.856297381800005</c:v>
                </c:pt>
                <c:pt idx="45">
                  <c:v>97.956220954000003</c:v>
                </c:pt>
                <c:pt idx="46">
                  <c:v>98.922166899700002</c:v>
                </c:pt>
                <c:pt idx="47">
                  <c:v>97.645856766700007</c:v>
                </c:pt>
                <c:pt idx="48">
                  <c:v>98.222947117000004</c:v>
                </c:pt>
                <c:pt idx="49">
                  <c:v>101.318174828</c:v>
                </c:pt>
                <c:pt idx="50">
                  <c:v>104.21260516</c:v>
                </c:pt>
                <c:pt idx="51">
                  <c:v>107.03247212399999</c:v>
                </c:pt>
                <c:pt idx="52">
                  <c:v>106.89397744</c:v>
                </c:pt>
                <c:pt idx="53">
                  <c:v>107.182650583</c:v>
                </c:pt>
                <c:pt idx="54">
                  <c:v>108.52096703399999</c:v>
                </c:pt>
                <c:pt idx="55">
                  <c:v>107.678267289</c:v>
                </c:pt>
                <c:pt idx="56">
                  <c:v>111.109281049</c:v>
                </c:pt>
                <c:pt idx="57">
                  <c:v>111.155025743</c:v>
                </c:pt>
                <c:pt idx="58">
                  <c:v>106.32392812499999</c:v>
                </c:pt>
                <c:pt idx="59">
                  <c:v>108.401555891</c:v>
                </c:pt>
                <c:pt idx="60">
                  <c:v>110.397112693</c:v>
                </c:pt>
                <c:pt idx="61">
                  <c:v>114.29561628099999</c:v>
                </c:pt>
                <c:pt idx="62">
                  <c:v>115.60981723800001</c:v>
                </c:pt>
                <c:pt idx="63">
                  <c:v>115.460177578</c:v>
                </c:pt>
                <c:pt idx="64">
                  <c:v>115.30491666099999</c:v>
                </c:pt>
                <c:pt idx="65">
                  <c:v>117.319936183</c:v>
                </c:pt>
                <c:pt idx="66">
                  <c:v>115.09622171700001</c:v>
                </c:pt>
                <c:pt idx="67">
                  <c:v>113.177825431</c:v>
                </c:pt>
                <c:pt idx="68">
                  <c:v>113.464389228</c:v>
                </c:pt>
                <c:pt idx="69">
                  <c:v>112.624112345</c:v>
                </c:pt>
                <c:pt idx="70">
                  <c:v>108.936104982</c:v>
                </c:pt>
                <c:pt idx="71">
                  <c:v>108.118153083</c:v>
                </c:pt>
                <c:pt idx="72">
                  <c:v>107.703337073</c:v>
                </c:pt>
                <c:pt idx="73">
                  <c:v>103.310302151</c:v>
                </c:pt>
                <c:pt idx="74">
                  <c:v>106.280669789</c:v>
                </c:pt>
                <c:pt idx="75">
                  <c:v>104.47674207599999</c:v>
                </c:pt>
                <c:pt idx="76">
                  <c:v>104.843761814</c:v>
                </c:pt>
                <c:pt idx="77">
                  <c:v>109.634310818</c:v>
                </c:pt>
                <c:pt idx="78">
                  <c:v>110.985421102</c:v>
                </c:pt>
                <c:pt idx="79">
                  <c:v>113.263309295</c:v>
                </c:pt>
                <c:pt idx="80">
                  <c:v>117.80471058099999</c:v>
                </c:pt>
                <c:pt idx="81">
                  <c:v>121.21006600600001</c:v>
                </c:pt>
                <c:pt idx="82">
                  <c:v>122.412466932</c:v>
                </c:pt>
                <c:pt idx="83">
                  <c:v>123.49177629499999</c:v>
                </c:pt>
                <c:pt idx="84">
                  <c:v>118.696778912</c:v>
                </c:pt>
                <c:pt idx="85">
                  <c:v>118.766225034</c:v>
                </c:pt>
                <c:pt idx="86">
                  <c:v>120.45268632600001</c:v>
                </c:pt>
                <c:pt idx="87">
                  <c:v>121.47731446100001</c:v>
                </c:pt>
                <c:pt idx="88">
                  <c:v>123.69874835</c:v>
                </c:pt>
                <c:pt idx="89">
                  <c:v>124.10653894399999</c:v>
                </c:pt>
                <c:pt idx="90">
                  <c:v>123.30142936999999</c:v>
                </c:pt>
                <c:pt idx="91">
                  <c:v>123.38280330000001</c:v>
                </c:pt>
                <c:pt idx="92">
                  <c:v>124.79937775099999</c:v>
                </c:pt>
                <c:pt idx="93">
                  <c:v>124.783774388</c:v>
                </c:pt>
                <c:pt idx="94">
                  <c:v>121.011154292</c:v>
                </c:pt>
                <c:pt idx="95">
                  <c:v>120.105199416</c:v>
                </c:pt>
                <c:pt idx="96">
                  <c:v>120.802289</c:v>
                </c:pt>
                <c:pt idx="97">
                  <c:v>121.412415705</c:v>
                </c:pt>
                <c:pt idx="98">
                  <c:v>116.60515528800001</c:v>
                </c:pt>
                <c:pt idx="99">
                  <c:v>116.44697985800001</c:v>
                </c:pt>
                <c:pt idx="100">
                  <c:v>115.212228091</c:v>
                </c:pt>
              </c:numCache>
            </c:numRef>
          </c:yVal>
          <c:smooth val="1"/>
        </c:ser>
        <c:ser>
          <c:idx val="21"/>
          <c:order val="21"/>
          <c:tx>
            <c:strRef>
              <c:f>S_plus!$AH$1</c:f>
              <c:strCache>
                <c:ptCount val="1"/>
                <c:pt idx="0">
                  <c:v>Sim22</c:v>
                </c:pt>
              </c:strCache>
            </c:strRef>
          </c:tx>
          <c:marker>
            <c:symbol val="none"/>
          </c:marker>
          <c:xVal>
            <c:numRef>
              <c:f>S_plus!$L$2:$L$102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S_plus!$AH$2:$AH$102</c:f>
              <c:numCache>
                <c:formatCode>General</c:formatCode>
                <c:ptCount val="101"/>
                <c:pt idx="0">
                  <c:v>100</c:v>
                </c:pt>
                <c:pt idx="1">
                  <c:v>98.091532541199996</c:v>
                </c:pt>
                <c:pt idx="2">
                  <c:v>96.794318681799993</c:v>
                </c:pt>
                <c:pt idx="3">
                  <c:v>97.695281339700003</c:v>
                </c:pt>
                <c:pt idx="4">
                  <c:v>97.729924321499993</c:v>
                </c:pt>
                <c:pt idx="5">
                  <c:v>96.001304800499994</c:v>
                </c:pt>
                <c:pt idx="6">
                  <c:v>95.515705765500002</c:v>
                </c:pt>
                <c:pt idx="7">
                  <c:v>94.438534241100001</c:v>
                </c:pt>
                <c:pt idx="8">
                  <c:v>96.859429831900002</c:v>
                </c:pt>
                <c:pt idx="9">
                  <c:v>98.803203918199998</c:v>
                </c:pt>
                <c:pt idx="10">
                  <c:v>98.195933359799994</c:v>
                </c:pt>
                <c:pt idx="11">
                  <c:v>96.865250901600007</c:v>
                </c:pt>
                <c:pt idx="12">
                  <c:v>95.872813991699999</c:v>
                </c:pt>
                <c:pt idx="13">
                  <c:v>96.947770660000003</c:v>
                </c:pt>
                <c:pt idx="14">
                  <c:v>100.154507654</c:v>
                </c:pt>
                <c:pt idx="15">
                  <c:v>102.96269938099999</c:v>
                </c:pt>
                <c:pt idx="16">
                  <c:v>103.68960922700001</c:v>
                </c:pt>
                <c:pt idx="17">
                  <c:v>96.110840268800004</c:v>
                </c:pt>
                <c:pt idx="18">
                  <c:v>98.4654573304</c:v>
                </c:pt>
                <c:pt idx="19">
                  <c:v>98.841311575099994</c:v>
                </c:pt>
                <c:pt idx="20">
                  <c:v>100.211760502</c:v>
                </c:pt>
                <c:pt idx="21">
                  <c:v>101.386338232</c:v>
                </c:pt>
                <c:pt idx="22">
                  <c:v>99.212789739399994</c:v>
                </c:pt>
                <c:pt idx="23">
                  <c:v>99.131825675800002</c:v>
                </c:pt>
                <c:pt idx="24">
                  <c:v>96.850637486400004</c:v>
                </c:pt>
                <c:pt idx="25">
                  <c:v>96.063907115399999</c:v>
                </c:pt>
                <c:pt idx="26">
                  <c:v>95.922999255799994</c:v>
                </c:pt>
                <c:pt idx="27">
                  <c:v>99.324515581399993</c:v>
                </c:pt>
                <c:pt idx="28">
                  <c:v>99.654342760099993</c:v>
                </c:pt>
                <c:pt idx="29">
                  <c:v>101.277473523</c:v>
                </c:pt>
                <c:pt idx="30">
                  <c:v>102.473706359</c:v>
                </c:pt>
                <c:pt idx="31">
                  <c:v>102.899468884</c:v>
                </c:pt>
                <c:pt idx="32">
                  <c:v>105.352258823</c:v>
                </c:pt>
                <c:pt idx="33">
                  <c:v>103.93100699599999</c:v>
                </c:pt>
                <c:pt idx="34">
                  <c:v>105.2232734</c:v>
                </c:pt>
                <c:pt idx="35">
                  <c:v>105.725922513</c:v>
                </c:pt>
                <c:pt idx="36">
                  <c:v>103.227520134</c:v>
                </c:pt>
                <c:pt idx="37">
                  <c:v>102.96822458</c:v>
                </c:pt>
                <c:pt idx="38">
                  <c:v>102.248405014</c:v>
                </c:pt>
                <c:pt idx="39">
                  <c:v>100.23974417399999</c:v>
                </c:pt>
                <c:pt idx="40">
                  <c:v>98.871834788800001</c:v>
                </c:pt>
                <c:pt idx="41">
                  <c:v>99.225685426799998</c:v>
                </c:pt>
                <c:pt idx="42">
                  <c:v>100.562845694</c:v>
                </c:pt>
                <c:pt idx="43">
                  <c:v>103.078683184</c:v>
                </c:pt>
                <c:pt idx="44">
                  <c:v>106.11921418199999</c:v>
                </c:pt>
                <c:pt idx="45">
                  <c:v>106.16668087399999</c:v>
                </c:pt>
                <c:pt idx="46">
                  <c:v>104.407098514</c:v>
                </c:pt>
                <c:pt idx="47">
                  <c:v>107.330805638</c:v>
                </c:pt>
                <c:pt idx="48">
                  <c:v>105.42227109</c:v>
                </c:pt>
                <c:pt idx="49">
                  <c:v>106.608901905</c:v>
                </c:pt>
                <c:pt idx="50">
                  <c:v>110.09222551000001</c:v>
                </c:pt>
                <c:pt idx="51">
                  <c:v>111.518210053</c:v>
                </c:pt>
                <c:pt idx="52">
                  <c:v>113.58122313200001</c:v>
                </c:pt>
                <c:pt idx="53">
                  <c:v>115.073179407</c:v>
                </c:pt>
                <c:pt idx="54">
                  <c:v>118.238568891</c:v>
                </c:pt>
                <c:pt idx="55">
                  <c:v>119.321937593</c:v>
                </c:pt>
                <c:pt idx="56">
                  <c:v>123.544755745</c:v>
                </c:pt>
                <c:pt idx="57">
                  <c:v>124.375520427</c:v>
                </c:pt>
                <c:pt idx="58">
                  <c:v>123.015839731</c:v>
                </c:pt>
                <c:pt idx="59">
                  <c:v>123.006154951</c:v>
                </c:pt>
                <c:pt idx="60">
                  <c:v>127.564324724</c:v>
                </c:pt>
                <c:pt idx="61">
                  <c:v>128.73319836900001</c:v>
                </c:pt>
                <c:pt idx="62">
                  <c:v>127.017186752</c:v>
                </c:pt>
                <c:pt idx="63">
                  <c:v>128.588277952</c:v>
                </c:pt>
                <c:pt idx="64">
                  <c:v>123.84887123999999</c:v>
                </c:pt>
                <c:pt idx="65">
                  <c:v>122.75936409800001</c:v>
                </c:pt>
                <c:pt idx="66">
                  <c:v>120.123535823</c:v>
                </c:pt>
                <c:pt idx="67">
                  <c:v>119.08309133</c:v>
                </c:pt>
                <c:pt idx="68">
                  <c:v>118.08136548</c:v>
                </c:pt>
                <c:pt idx="69">
                  <c:v>119.216083031</c:v>
                </c:pt>
                <c:pt idx="70">
                  <c:v>117.36326091399999</c:v>
                </c:pt>
                <c:pt idx="71">
                  <c:v>116.40520723900001</c:v>
                </c:pt>
                <c:pt idx="72">
                  <c:v>117.971509363</c:v>
                </c:pt>
                <c:pt idx="73">
                  <c:v>122.158142316</c:v>
                </c:pt>
                <c:pt idx="74">
                  <c:v>116.44930094</c:v>
                </c:pt>
                <c:pt idx="75">
                  <c:v>112.395474682</c:v>
                </c:pt>
                <c:pt idx="76">
                  <c:v>112.60357776799999</c:v>
                </c:pt>
                <c:pt idx="77">
                  <c:v>113.25234908900001</c:v>
                </c:pt>
                <c:pt idx="78">
                  <c:v>114.794393082</c:v>
                </c:pt>
                <c:pt idx="79">
                  <c:v>117.051155854</c:v>
                </c:pt>
                <c:pt idx="80">
                  <c:v>116.45349446199999</c:v>
                </c:pt>
                <c:pt idx="81">
                  <c:v>116.781213755</c:v>
                </c:pt>
                <c:pt idx="82">
                  <c:v>119.747902352</c:v>
                </c:pt>
                <c:pt idx="83">
                  <c:v>119.12634511100001</c:v>
                </c:pt>
                <c:pt idx="84">
                  <c:v>117.801597554</c:v>
                </c:pt>
                <c:pt idx="85">
                  <c:v>120.83765133199999</c:v>
                </c:pt>
                <c:pt idx="86">
                  <c:v>118.92363574399999</c:v>
                </c:pt>
                <c:pt idx="87">
                  <c:v>120.269995479</c:v>
                </c:pt>
                <c:pt idx="88">
                  <c:v>121.497273455</c:v>
                </c:pt>
                <c:pt idx="89">
                  <c:v>121.521525268</c:v>
                </c:pt>
                <c:pt idx="90">
                  <c:v>119.76117050800001</c:v>
                </c:pt>
                <c:pt idx="91">
                  <c:v>120.32368560099999</c:v>
                </c:pt>
                <c:pt idx="92">
                  <c:v>124.886989313</c:v>
                </c:pt>
                <c:pt idx="93">
                  <c:v>119.13325416399999</c:v>
                </c:pt>
                <c:pt idx="94">
                  <c:v>115.399195432</c:v>
                </c:pt>
                <c:pt idx="95">
                  <c:v>113.60449570999999</c:v>
                </c:pt>
                <c:pt idx="96">
                  <c:v>111.90465208000001</c:v>
                </c:pt>
                <c:pt idx="97">
                  <c:v>110.78454395999999</c:v>
                </c:pt>
                <c:pt idx="98">
                  <c:v>108.663547886</c:v>
                </c:pt>
                <c:pt idx="99">
                  <c:v>110.98995411600001</c:v>
                </c:pt>
                <c:pt idx="100">
                  <c:v>107.48532954700001</c:v>
                </c:pt>
              </c:numCache>
            </c:numRef>
          </c:yVal>
          <c:smooth val="1"/>
        </c:ser>
        <c:ser>
          <c:idx val="22"/>
          <c:order val="22"/>
          <c:tx>
            <c:strRef>
              <c:f>S_plus!$AI$1</c:f>
              <c:strCache>
                <c:ptCount val="1"/>
                <c:pt idx="0">
                  <c:v>Sim23</c:v>
                </c:pt>
              </c:strCache>
            </c:strRef>
          </c:tx>
          <c:marker>
            <c:symbol val="none"/>
          </c:marker>
          <c:xVal>
            <c:numRef>
              <c:f>S_plus!$L$2:$L$102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S_plus!$AI$2:$AI$102</c:f>
              <c:numCache>
                <c:formatCode>General</c:formatCode>
                <c:ptCount val="101"/>
                <c:pt idx="0">
                  <c:v>100</c:v>
                </c:pt>
                <c:pt idx="1">
                  <c:v>96.181064981800006</c:v>
                </c:pt>
                <c:pt idx="2">
                  <c:v>100.065903396</c:v>
                </c:pt>
                <c:pt idx="3">
                  <c:v>101.429059145</c:v>
                </c:pt>
                <c:pt idx="4">
                  <c:v>103.507271297</c:v>
                </c:pt>
                <c:pt idx="5">
                  <c:v>101.923115552</c:v>
                </c:pt>
                <c:pt idx="6">
                  <c:v>99.987152466300003</c:v>
                </c:pt>
                <c:pt idx="7">
                  <c:v>103.319298672</c:v>
                </c:pt>
                <c:pt idx="8">
                  <c:v>103.491195159</c:v>
                </c:pt>
                <c:pt idx="9">
                  <c:v>101.122348442</c:v>
                </c:pt>
                <c:pt idx="10">
                  <c:v>100.457827927</c:v>
                </c:pt>
                <c:pt idx="11">
                  <c:v>100.279117805</c:v>
                </c:pt>
                <c:pt idx="12">
                  <c:v>99.695921300099997</c:v>
                </c:pt>
                <c:pt idx="13">
                  <c:v>95.5619606315</c:v>
                </c:pt>
                <c:pt idx="14">
                  <c:v>93.139546344099998</c:v>
                </c:pt>
                <c:pt idx="15">
                  <c:v>93.822748843200003</c:v>
                </c:pt>
                <c:pt idx="16">
                  <c:v>95.219347017199993</c:v>
                </c:pt>
                <c:pt idx="17">
                  <c:v>90.469871591100002</c:v>
                </c:pt>
                <c:pt idx="18">
                  <c:v>91.942073515499999</c:v>
                </c:pt>
                <c:pt idx="19">
                  <c:v>90.549673616099994</c:v>
                </c:pt>
                <c:pt idx="20">
                  <c:v>91.199568500200002</c:v>
                </c:pt>
                <c:pt idx="21">
                  <c:v>92.709474983099994</c:v>
                </c:pt>
                <c:pt idx="22">
                  <c:v>92.048176532499994</c:v>
                </c:pt>
                <c:pt idx="23">
                  <c:v>91.572559890500003</c:v>
                </c:pt>
                <c:pt idx="24">
                  <c:v>92.615262137599998</c:v>
                </c:pt>
                <c:pt idx="25">
                  <c:v>90.291841952400006</c:v>
                </c:pt>
                <c:pt idx="26">
                  <c:v>89.680080441399994</c:v>
                </c:pt>
                <c:pt idx="27">
                  <c:v>84.938032791799998</c:v>
                </c:pt>
                <c:pt idx="28">
                  <c:v>82.956800037299999</c:v>
                </c:pt>
                <c:pt idx="29">
                  <c:v>81.176939683399993</c:v>
                </c:pt>
                <c:pt idx="30">
                  <c:v>79.0102291603</c:v>
                </c:pt>
                <c:pt idx="31">
                  <c:v>79.4302903122</c:v>
                </c:pt>
                <c:pt idx="32">
                  <c:v>79.066667100700002</c:v>
                </c:pt>
                <c:pt idx="33">
                  <c:v>79.181102728599996</c:v>
                </c:pt>
                <c:pt idx="34">
                  <c:v>80.295076727999998</c:v>
                </c:pt>
                <c:pt idx="35">
                  <c:v>81.247842149799993</c:v>
                </c:pt>
                <c:pt idx="36">
                  <c:v>82.538522060800005</c:v>
                </c:pt>
                <c:pt idx="37">
                  <c:v>80.845208964500003</c:v>
                </c:pt>
                <c:pt idx="38">
                  <c:v>82.968301565600001</c:v>
                </c:pt>
                <c:pt idx="39">
                  <c:v>80.852641927500002</c:v>
                </c:pt>
                <c:pt idx="40">
                  <c:v>79.942343440399995</c:v>
                </c:pt>
                <c:pt idx="41">
                  <c:v>79.556790078600002</c:v>
                </c:pt>
                <c:pt idx="42">
                  <c:v>79.1609088636</c:v>
                </c:pt>
                <c:pt idx="43">
                  <c:v>79.490783731199997</c:v>
                </c:pt>
                <c:pt idx="44">
                  <c:v>78.4942201872</c:v>
                </c:pt>
                <c:pt idx="45">
                  <c:v>79.949021653800003</c:v>
                </c:pt>
                <c:pt idx="46">
                  <c:v>81.705006798300005</c:v>
                </c:pt>
                <c:pt idx="47">
                  <c:v>83.027601966500001</c:v>
                </c:pt>
                <c:pt idx="48">
                  <c:v>88.271831883000004</c:v>
                </c:pt>
                <c:pt idx="49">
                  <c:v>90.821986676799995</c:v>
                </c:pt>
                <c:pt idx="50">
                  <c:v>89.609703539500003</c:v>
                </c:pt>
                <c:pt idx="51">
                  <c:v>89.129091371900003</c:v>
                </c:pt>
                <c:pt idx="52">
                  <c:v>92.579716421399993</c:v>
                </c:pt>
                <c:pt idx="53">
                  <c:v>92.748804551899994</c:v>
                </c:pt>
                <c:pt idx="54">
                  <c:v>94.707562419599995</c:v>
                </c:pt>
                <c:pt idx="55">
                  <c:v>94.046807893899995</c:v>
                </c:pt>
                <c:pt idx="56">
                  <c:v>91.835143211599998</c:v>
                </c:pt>
                <c:pt idx="57">
                  <c:v>93.123053866600003</c:v>
                </c:pt>
                <c:pt idx="58">
                  <c:v>90.631280539499997</c:v>
                </c:pt>
                <c:pt idx="59">
                  <c:v>89.421673322399997</c:v>
                </c:pt>
                <c:pt idx="60">
                  <c:v>89.758651562200001</c:v>
                </c:pt>
                <c:pt idx="61">
                  <c:v>86.355209724700003</c:v>
                </c:pt>
                <c:pt idx="62">
                  <c:v>84.883598711999994</c:v>
                </c:pt>
                <c:pt idx="63">
                  <c:v>82.147269902100007</c:v>
                </c:pt>
                <c:pt idx="64">
                  <c:v>80.137490582699996</c:v>
                </c:pt>
                <c:pt idx="65">
                  <c:v>80.196507468299998</c:v>
                </c:pt>
                <c:pt idx="66">
                  <c:v>77.535085697</c:v>
                </c:pt>
                <c:pt idx="67">
                  <c:v>79.275363683500004</c:v>
                </c:pt>
                <c:pt idx="68">
                  <c:v>80.018956534699996</c:v>
                </c:pt>
                <c:pt idx="69">
                  <c:v>80.212620202799997</c:v>
                </c:pt>
                <c:pt idx="70">
                  <c:v>80.471566099100002</c:v>
                </c:pt>
                <c:pt idx="71">
                  <c:v>82.400295533100007</c:v>
                </c:pt>
                <c:pt idx="72">
                  <c:v>82.660995636899997</c:v>
                </c:pt>
                <c:pt idx="73">
                  <c:v>80.691212375299997</c:v>
                </c:pt>
                <c:pt idx="74">
                  <c:v>81.691173710300006</c:v>
                </c:pt>
                <c:pt idx="75">
                  <c:v>84.537539912100002</c:v>
                </c:pt>
                <c:pt idx="76">
                  <c:v>83.362313819600004</c:v>
                </c:pt>
                <c:pt idx="77">
                  <c:v>84.323929573900003</c:v>
                </c:pt>
                <c:pt idx="78">
                  <c:v>86.130367944400007</c:v>
                </c:pt>
                <c:pt idx="79">
                  <c:v>84.190630999000007</c:v>
                </c:pt>
                <c:pt idx="80">
                  <c:v>86.375639619500006</c:v>
                </c:pt>
                <c:pt idx="81">
                  <c:v>84.388693014699996</c:v>
                </c:pt>
                <c:pt idx="82">
                  <c:v>81.648310589700003</c:v>
                </c:pt>
                <c:pt idx="83">
                  <c:v>80.699310642699999</c:v>
                </c:pt>
                <c:pt idx="84">
                  <c:v>82.212429444199998</c:v>
                </c:pt>
                <c:pt idx="85">
                  <c:v>85.372759067199993</c:v>
                </c:pt>
                <c:pt idx="86">
                  <c:v>81.9905163886</c:v>
                </c:pt>
                <c:pt idx="87">
                  <c:v>85.998364910600003</c:v>
                </c:pt>
                <c:pt idx="88">
                  <c:v>83.304542185599999</c:v>
                </c:pt>
                <c:pt idx="89">
                  <c:v>81.121114169500004</c:v>
                </c:pt>
                <c:pt idx="90">
                  <c:v>81.141078019399998</c:v>
                </c:pt>
                <c:pt idx="91">
                  <c:v>80.096128745300007</c:v>
                </c:pt>
                <c:pt idx="92">
                  <c:v>78.594309538000005</c:v>
                </c:pt>
                <c:pt idx="93">
                  <c:v>80.335254214900004</c:v>
                </c:pt>
                <c:pt idx="94">
                  <c:v>79.535637768499996</c:v>
                </c:pt>
                <c:pt idx="95">
                  <c:v>79.514788532200001</c:v>
                </c:pt>
                <c:pt idx="96">
                  <c:v>81.771912056800005</c:v>
                </c:pt>
                <c:pt idx="97">
                  <c:v>82.320376807900004</c:v>
                </c:pt>
                <c:pt idx="98">
                  <c:v>79.952326619399997</c:v>
                </c:pt>
                <c:pt idx="99">
                  <c:v>80.296458422300006</c:v>
                </c:pt>
                <c:pt idx="100">
                  <c:v>82.499792795100007</c:v>
                </c:pt>
              </c:numCache>
            </c:numRef>
          </c:yVal>
          <c:smooth val="1"/>
        </c:ser>
        <c:ser>
          <c:idx val="23"/>
          <c:order val="23"/>
          <c:tx>
            <c:strRef>
              <c:f>S_plus!$AJ$1</c:f>
              <c:strCache>
                <c:ptCount val="1"/>
                <c:pt idx="0">
                  <c:v>Sim24</c:v>
                </c:pt>
              </c:strCache>
            </c:strRef>
          </c:tx>
          <c:marker>
            <c:symbol val="none"/>
          </c:marker>
          <c:xVal>
            <c:numRef>
              <c:f>S_plus!$L$2:$L$102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S_plus!$AJ$2:$AJ$102</c:f>
              <c:numCache>
                <c:formatCode>General</c:formatCode>
                <c:ptCount val="101"/>
                <c:pt idx="0">
                  <c:v>100</c:v>
                </c:pt>
                <c:pt idx="1">
                  <c:v>99.077517452500004</c:v>
                </c:pt>
                <c:pt idx="2">
                  <c:v>100.419159107</c:v>
                </c:pt>
                <c:pt idx="3">
                  <c:v>101.46556008899999</c:v>
                </c:pt>
                <c:pt idx="4">
                  <c:v>102.843919117</c:v>
                </c:pt>
                <c:pt idx="5">
                  <c:v>100.119826081</c:v>
                </c:pt>
                <c:pt idx="6">
                  <c:v>101.039913408</c:v>
                </c:pt>
                <c:pt idx="7">
                  <c:v>99.760403280600002</c:v>
                </c:pt>
                <c:pt idx="8">
                  <c:v>98.379685965899995</c:v>
                </c:pt>
                <c:pt idx="9">
                  <c:v>98.7363949808</c:v>
                </c:pt>
                <c:pt idx="10">
                  <c:v>97.040814738799995</c:v>
                </c:pt>
                <c:pt idx="11">
                  <c:v>99.748183278100001</c:v>
                </c:pt>
                <c:pt idx="12">
                  <c:v>100.76054325299999</c:v>
                </c:pt>
                <c:pt idx="13">
                  <c:v>102.55507872</c:v>
                </c:pt>
                <c:pt idx="14">
                  <c:v>101.73637243899999</c:v>
                </c:pt>
                <c:pt idx="15">
                  <c:v>105.87025991199999</c:v>
                </c:pt>
                <c:pt idx="16">
                  <c:v>103.129109058</c:v>
                </c:pt>
                <c:pt idx="17">
                  <c:v>99.968567151299993</c:v>
                </c:pt>
                <c:pt idx="18">
                  <c:v>101.323868236</c:v>
                </c:pt>
                <c:pt idx="19">
                  <c:v>100.51684084599999</c:v>
                </c:pt>
                <c:pt idx="20">
                  <c:v>98.550414923999995</c:v>
                </c:pt>
                <c:pt idx="21">
                  <c:v>100.512326406</c:v>
                </c:pt>
                <c:pt idx="22">
                  <c:v>99.676739197000003</c:v>
                </c:pt>
                <c:pt idx="23">
                  <c:v>97.263198221899998</c:v>
                </c:pt>
                <c:pt idx="24">
                  <c:v>96.802754390800004</c:v>
                </c:pt>
                <c:pt idx="25">
                  <c:v>94.910813516299996</c:v>
                </c:pt>
                <c:pt idx="26">
                  <c:v>94.915246335500001</c:v>
                </c:pt>
                <c:pt idx="27">
                  <c:v>94.302981002999999</c:v>
                </c:pt>
                <c:pt idx="28">
                  <c:v>94.452490509399993</c:v>
                </c:pt>
                <c:pt idx="29">
                  <c:v>94.285580160199999</c:v>
                </c:pt>
                <c:pt idx="30">
                  <c:v>91.749112898899995</c:v>
                </c:pt>
                <c:pt idx="31">
                  <c:v>92.764244543700002</c:v>
                </c:pt>
                <c:pt idx="32">
                  <c:v>90.174400193899999</c:v>
                </c:pt>
                <c:pt idx="33">
                  <c:v>90.465572383099996</c:v>
                </c:pt>
                <c:pt idx="34">
                  <c:v>90.8372492596</c:v>
                </c:pt>
                <c:pt idx="35">
                  <c:v>91.204929164600003</c:v>
                </c:pt>
                <c:pt idx="36">
                  <c:v>90.484181284000002</c:v>
                </c:pt>
                <c:pt idx="37">
                  <c:v>91.531063022400005</c:v>
                </c:pt>
                <c:pt idx="38">
                  <c:v>90.847901280299993</c:v>
                </c:pt>
                <c:pt idx="39">
                  <c:v>92.733383982000007</c:v>
                </c:pt>
                <c:pt idx="40">
                  <c:v>92.288233953800002</c:v>
                </c:pt>
                <c:pt idx="41">
                  <c:v>92.4447516691</c:v>
                </c:pt>
                <c:pt idx="42">
                  <c:v>90.581001617300004</c:v>
                </c:pt>
                <c:pt idx="43">
                  <c:v>86.913596818000002</c:v>
                </c:pt>
                <c:pt idx="44">
                  <c:v>86.642514238100006</c:v>
                </c:pt>
                <c:pt idx="45">
                  <c:v>86.610406869100004</c:v>
                </c:pt>
                <c:pt idx="46">
                  <c:v>85.935245600499996</c:v>
                </c:pt>
                <c:pt idx="47">
                  <c:v>84.690618021999995</c:v>
                </c:pt>
                <c:pt idx="48">
                  <c:v>86.641308219300001</c:v>
                </c:pt>
                <c:pt idx="49">
                  <c:v>86.396979502700006</c:v>
                </c:pt>
                <c:pt idx="50">
                  <c:v>84.555420822399995</c:v>
                </c:pt>
                <c:pt idx="51">
                  <c:v>85.313425838200004</c:v>
                </c:pt>
                <c:pt idx="52">
                  <c:v>84.657520395399999</c:v>
                </c:pt>
                <c:pt idx="53">
                  <c:v>85.600333399199997</c:v>
                </c:pt>
                <c:pt idx="54">
                  <c:v>81.805309483900004</c:v>
                </c:pt>
                <c:pt idx="55">
                  <c:v>81.565526117299996</c:v>
                </c:pt>
                <c:pt idx="56">
                  <c:v>80.881381707000003</c:v>
                </c:pt>
                <c:pt idx="57">
                  <c:v>83.313847284900007</c:v>
                </c:pt>
                <c:pt idx="58">
                  <c:v>83.039636491300001</c:v>
                </c:pt>
                <c:pt idx="59">
                  <c:v>83.403782874300006</c:v>
                </c:pt>
                <c:pt idx="60">
                  <c:v>82.2580999475</c:v>
                </c:pt>
                <c:pt idx="61">
                  <c:v>82.948198058200006</c:v>
                </c:pt>
                <c:pt idx="62">
                  <c:v>80.811835343599995</c:v>
                </c:pt>
                <c:pt idx="63">
                  <c:v>82.161116537500007</c:v>
                </c:pt>
                <c:pt idx="64">
                  <c:v>83.837530705600003</c:v>
                </c:pt>
                <c:pt idx="65">
                  <c:v>85.605134507900004</c:v>
                </c:pt>
                <c:pt idx="66">
                  <c:v>86.611745139899995</c:v>
                </c:pt>
                <c:pt idx="67">
                  <c:v>87.0964222761</c:v>
                </c:pt>
                <c:pt idx="68">
                  <c:v>87.117716650199995</c:v>
                </c:pt>
                <c:pt idx="69">
                  <c:v>88.894543116899996</c:v>
                </c:pt>
                <c:pt idx="70">
                  <c:v>88.361058846199995</c:v>
                </c:pt>
                <c:pt idx="71">
                  <c:v>85.733367892299995</c:v>
                </c:pt>
                <c:pt idx="72">
                  <c:v>84.730591283699994</c:v>
                </c:pt>
                <c:pt idx="73">
                  <c:v>83.967913543500003</c:v>
                </c:pt>
                <c:pt idx="74">
                  <c:v>86.741183727000006</c:v>
                </c:pt>
                <c:pt idx="75">
                  <c:v>85.817373330300001</c:v>
                </c:pt>
                <c:pt idx="76">
                  <c:v>85.087921015500001</c:v>
                </c:pt>
                <c:pt idx="77">
                  <c:v>86.545969855199999</c:v>
                </c:pt>
                <c:pt idx="78">
                  <c:v>88.995179834699996</c:v>
                </c:pt>
                <c:pt idx="79">
                  <c:v>92.595069563099997</c:v>
                </c:pt>
                <c:pt idx="80">
                  <c:v>91.554576851299998</c:v>
                </c:pt>
                <c:pt idx="81">
                  <c:v>89.416926106800005</c:v>
                </c:pt>
                <c:pt idx="82">
                  <c:v>92.043396937400004</c:v>
                </c:pt>
                <c:pt idx="83">
                  <c:v>91.254194947499997</c:v>
                </c:pt>
                <c:pt idx="84">
                  <c:v>93.416479189900002</c:v>
                </c:pt>
                <c:pt idx="85">
                  <c:v>92.434993928400004</c:v>
                </c:pt>
                <c:pt idx="86">
                  <c:v>92.756196246100004</c:v>
                </c:pt>
                <c:pt idx="87">
                  <c:v>94.8542011989</c:v>
                </c:pt>
                <c:pt idx="88">
                  <c:v>93.477384091100006</c:v>
                </c:pt>
                <c:pt idx="89">
                  <c:v>91.437598686599998</c:v>
                </c:pt>
                <c:pt idx="90">
                  <c:v>92.563017559399995</c:v>
                </c:pt>
                <c:pt idx="91">
                  <c:v>90.363226055499993</c:v>
                </c:pt>
                <c:pt idx="92">
                  <c:v>92.030141006299999</c:v>
                </c:pt>
                <c:pt idx="93">
                  <c:v>91.690446615100001</c:v>
                </c:pt>
                <c:pt idx="94">
                  <c:v>91.720774573400007</c:v>
                </c:pt>
                <c:pt idx="95">
                  <c:v>92.965425478100002</c:v>
                </c:pt>
                <c:pt idx="96">
                  <c:v>92.261028686000003</c:v>
                </c:pt>
                <c:pt idx="97">
                  <c:v>92.101397426700004</c:v>
                </c:pt>
                <c:pt idx="98">
                  <c:v>90.117421394100006</c:v>
                </c:pt>
                <c:pt idx="99">
                  <c:v>90.935093435200002</c:v>
                </c:pt>
                <c:pt idx="100">
                  <c:v>89.955125056599996</c:v>
                </c:pt>
              </c:numCache>
            </c:numRef>
          </c:yVal>
          <c:smooth val="1"/>
        </c:ser>
        <c:ser>
          <c:idx val="24"/>
          <c:order val="24"/>
          <c:tx>
            <c:strRef>
              <c:f>S_plus!$AK$1</c:f>
              <c:strCache>
                <c:ptCount val="1"/>
                <c:pt idx="0">
                  <c:v>Sim25</c:v>
                </c:pt>
              </c:strCache>
            </c:strRef>
          </c:tx>
          <c:marker>
            <c:symbol val="none"/>
          </c:marker>
          <c:xVal>
            <c:numRef>
              <c:f>S_plus!$L$2:$L$102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S_plus!$AK$2:$AK$102</c:f>
              <c:numCache>
                <c:formatCode>General</c:formatCode>
                <c:ptCount val="101"/>
                <c:pt idx="0">
                  <c:v>100</c:v>
                </c:pt>
                <c:pt idx="1">
                  <c:v>102.217896849</c:v>
                </c:pt>
                <c:pt idx="2">
                  <c:v>105.644900303</c:v>
                </c:pt>
                <c:pt idx="3">
                  <c:v>104.906370685</c:v>
                </c:pt>
                <c:pt idx="4">
                  <c:v>105.86995814399999</c:v>
                </c:pt>
                <c:pt idx="5">
                  <c:v>104.140077148</c:v>
                </c:pt>
                <c:pt idx="6">
                  <c:v>105.56052500200001</c:v>
                </c:pt>
                <c:pt idx="7">
                  <c:v>104.054329337</c:v>
                </c:pt>
                <c:pt idx="8">
                  <c:v>105.63244835899999</c:v>
                </c:pt>
                <c:pt idx="9">
                  <c:v>106.907259737</c:v>
                </c:pt>
                <c:pt idx="10">
                  <c:v>108.316987604</c:v>
                </c:pt>
                <c:pt idx="11">
                  <c:v>107.36956942</c:v>
                </c:pt>
                <c:pt idx="12">
                  <c:v>110.019173352</c:v>
                </c:pt>
                <c:pt idx="13">
                  <c:v>111.62406534900001</c:v>
                </c:pt>
                <c:pt idx="14">
                  <c:v>107.26605947100001</c:v>
                </c:pt>
                <c:pt idx="15">
                  <c:v>113.107014044</c:v>
                </c:pt>
                <c:pt idx="16">
                  <c:v>116.641094821</c:v>
                </c:pt>
                <c:pt idx="17">
                  <c:v>116.006855112</c:v>
                </c:pt>
                <c:pt idx="18">
                  <c:v>116.96856003000001</c:v>
                </c:pt>
                <c:pt idx="19">
                  <c:v>116.278078557</c:v>
                </c:pt>
                <c:pt idx="20">
                  <c:v>117.455068805</c:v>
                </c:pt>
                <c:pt idx="21">
                  <c:v>118.46860594100001</c:v>
                </c:pt>
                <c:pt idx="22">
                  <c:v>118.62518433300001</c:v>
                </c:pt>
                <c:pt idx="23">
                  <c:v>116.886806783</c:v>
                </c:pt>
                <c:pt idx="24">
                  <c:v>116.651456482</c:v>
                </c:pt>
                <c:pt idx="25">
                  <c:v>116.385245828</c:v>
                </c:pt>
                <c:pt idx="26">
                  <c:v>117.919871707</c:v>
                </c:pt>
                <c:pt idx="27">
                  <c:v>119.307308201</c:v>
                </c:pt>
                <c:pt idx="28">
                  <c:v>120.997963126</c:v>
                </c:pt>
                <c:pt idx="29">
                  <c:v>118.957955261</c:v>
                </c:pt>
                <c:pt idx="30">
                  <c:v>125.223574857</c:v>
                </c:pt>
                <c:pt idx="31">
                  <c:v>126.83812291700001</c:v>
                </c:pt>
                <c:pt idx="32">
                  <c:v>126.021678612</c:v>
                </c:pt>
                <c:pt idx="33">
                  <c:v>127.42069191</c:v>
                </c:pt>
                <c:pt idx="34">
                  <c:v>128.034504089</c:v>
                </c:pt>
                <c:pt idx="35">
                  <c:v>123.463824249</c:v>
                </c:pt>
                <c:pt idx="36">
                  <c:v>120.767263353</c:v>
                </c:pt>
                <c:pt idx="37">
                  <c:v>122.11513934600001</c:v>
                </c:pt>
                <c:pt idx="38">
                  <c:v>122.850771443</c:v>
                </c:pt>
                <c:pt idx="39">
                  <c:v>121.309596052</c:v>
                </c:pt>
                <c:pt idx="40">
                  <c:v>120.84660423699999</c:v>
                </c:pt>
                <c:pt idx="41">
                  <c:v>120.856936378</c:v>
                </c:pt>
                <c:pt idx="42">
                  <c:v>117.849324838</c:v>
                </c:pt>
                <c:pt idx="43">
                  <c:v>114.89297682900001</c:v>
                </c:pt>
                <c:pt idx="44">
                  <c:v>116.753634726</c:v>
                </c:pt>
                <c:pt idx="45">
                  <c:v>115.98804982599999</c:v>
                </c:pt>
                <c:pt idx="46">
                  <c:v>115.22286876</c:v>
                </c:pt>
                <c:pt idx="47">
                  <c:v>110.89887765899999</c:v>
                </c:pt>
                <c:pt idx="48">
                  <c:v>113.16558509399999</c:v>
                </c:pt>
                <c:pt idx="49">
                  <c:v>112.11029200999999</c:v>
                </c:pt>
                <c:pt idx="50">
                  <c:v>114.087847376</c:v>
                </c:pt>
                <c:pt idx="51">
                  <c:v>114.07034597800001</c:v>
                </c:pt>
                <c:pt idx="52">
                  <c:v>116.45814350400001</c:v>
                </c:pt>
                <c:pt idx="53">
                  <c:v>114.355616173</c:v>
                </c:pt>
                <c:pt idx="54">
                  <c:v>113.38902696300001</c:v>
                </c:pt>
                <c:pt idx="55">
                  <c:v>113.0442616</c:v>
                </c:pt>
                <c:pt idx="56">
                  <c:v>113.687838566</c:v>
                </c:pt>
                <c:pt idx="57">
                  <c:v>111.262413141</c:v>
                </c:pt>
                <c:pt idx="58">
                  <c:v>112.64163478899999</c:v>
                </c:pt>
                <c:pt idx="59">
                  <c:v>113.548090106</c:v>
                </c:pt>
                <c:pt idx="60">
                  <c:v>111.69576847899999</c:v>
                </c:pt>
                <c:pt idx="61">
                  <c:v>113.90349908</c:v>
                </c:pt>
                <c:pt idx="62">
                  <c:v>111.34439154</c:v>
                </c:pt>
                <c:pt idx="63">
                  <c:v>111.476839007</c:v>
                </c:pt>
                <c:pt idx="64">
                  <c:v>110.78407394200001</c:v>
                </c:pt>
                <c:pt idx="65">
                  <c:v>110.89629083600001</c:v>
                </c:pt>
                <c:pt idx="66">
                  <c:v>111.628662109</c:v>
                </c:pt>
                <c:pt idx="67">
                  <c:v>108.08594018700001</c:v>
                </c:pt>
                <c:pt idx="68">
                  <c:v>108.080688416</c:v>
                </c:pt>
                <c:pt idx="69">
                  <c:v>105.606528627</c:v>
                </c:pt>
                <c:pt idx="70">
                  <c:v>106.43110524799999</c:v>
                </c:pt>
                <c:pt idx="71">
                  <c:v>104.47598370199999</c:v>
                </c:pt>
                <c:pt idx="72">
                  <c:v>100.51134077099999</c:v>
                </c:pt>
                <c:pt idx="73">
                  <c:v>97.564396889400001</c:v>
                </c:pt>
                <c:pt idx="74">
                  <c:v>97.4642743207</c:v>
                </c:pt>
                <c:pt idx="75">
                  <c:v>96.653841581799995</c:v>
                </c:pt>
                <c:pt idx="76">
                  <c:v>98.103123349800001</c:v>
                </c:pt>
                <c:pt idx="77">
                  <c:v>99.049961248900004</c:v>
                </c:pt>
                <c:pt idx="78">
                  <c:v>96.866038507799999</c:v>
                </c:pt>
                <c:pt idx="79">
                  <c:v>95.044146594099999</c:v>
                </c:pt>
                <c:pt idx="80">
                  <c:v>93.5546713297</c:v>
                </c:pt>
                <c:pt idx="81">
                  <c:v>93.967342673700003</c:v>
                </c:pt>
                <c:pt idx="82">
                  <c:v>92.963576801499997</c:v>
                </c:pt>
                <c:pt idx="83">
                  <c:v>94.173832924300001</c:v>
                </c:pt>
                <c:pt idx="84">
                  <c:v>93.512814121999995</c:v>
                </c:pt>
                <c:pt idx="85">
                  <c:v>89.445101484899993</c:v>
                </c:pt>
                <c:pt idx="86">
                  <c:v>91.142998163399994</c:v>
                </c:pt>
                <c:pt idx="87">
                  <c:v>90.112635595499995</c:v>
                </c:pt>
                <c:pt idx="88">
                  <c:v>87.746082798700002</c:v>
                </c:pt>
                <c:pt idx="89">
                  <c:v>86.707707877100006</c:v>
                </c:pt>
                <c:pt idx="90">
                  <c:v>87.344484224599995</c:v>
                </c:pt>
                <c:pt idx="91">
                  <c:v>85.954748408200004</c:v>
                </c:pt>
                <c:pt idx="92">
                  <c:v>86.313648382300002</c:v>
                </c:pt>
                <c:pt idx="93">
                  <c:v>87.029701694400003</c:v>
                </c:pt>
                <c:pt idx="94">
                  <c:v>91.1187630501</c:v>
                </c:pt>
                <c:pt idx="95">
                  <c:v>89.458850755499995</c:v>
                </c:pt>
                <c:pt idx="96">
                  <c:v>89.730660381899995</c:v>
                </c:pt>
                <c:pt idx="97">
                  <c:v>87.313215522500002</c:v>
                </c:pt>
                <c:pt idx="98">
                  <c:v>89.403136074900004</c:v>
                </c:pt>
                <c:pt idx="99">
                  <c:v>89.655685907999995</c:v>
                </c:pt>
                <c:pt idx="100">
                  <c:v>90.101311575099999</c:v>
                </c:pt>
              </c:numCache>
            </c:numRef>
          </c:yVal>
          <c:smooth val="1"/>
        </c:ser>
        <c:ser>
          <c:idx val="25"/>
          <c:order val="25"/>
          <c:tx>
            <c:strRef>
              <c:f>S_plus!$AL$1</c:f>
              <c:strCache>
                <c:ptCount val="1"/>
                <c:pt idx="0">
                  <c:v>Sim26</c:v>
                </c:pt>
              </c:strCache>
            </c:strRef>
          </c:tx>
          <c:marker>
            <c:symbol val="none"/>
          </c:marker>
          <c:xVal>
            <c:numRef>
              <c:f>S_plus!$L$2:$L$102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S_plus!$AL$2:$AL$102</c:f>
              <c:numCache>
                <c:formatCode>General</c:formatCode>
                <c:ptCount val="101"/>
                <c:pt idx="0">
                  <c:v>100</c:v>
                </c:pt>
                <c:pt idx="1">
                  <c:v>102.260510204</c:v>
                </c:pt>
                <c:pt idx="2">
                  <c:v>101.555198488</c:v>
                </c:pt>
                <c:pt idx="3">
                  <c:v>103.09309106400001</c:v>
                </c:pt>
                <c:pt idx="4">
                  <c:v>101.098445713</c:v>
                </c:pt>
                <c:pt idx="5">
                  <c:v>98.697609199799999</c:v>
                </c:pt>
                <c:pt idx="6">
                  <c:v>100.006491368</c:v>
                </c:pt>
                <c:pt idx="7">
                  <c:v>98.195870223599997</c:v>
                </c:pt>
                <c:pt idx="8">
                  <c:v>97.540778675599995</c:v>
                </c:pt>
                <c:pt idx="9">
                  <c:v>97.659760623799997</c:v>
                </c:pt>
                <c:pt idx="10">
                  <c:v>95.665594123399998</c:v>
                </c:pt>
                <c:pt idx="11">
                  <c:v>99.588770983100005</c:v>
                </c:pt>
                <c:pt idx="12">
                  <c:v>103.788577295</c:v>
                </c:pt>
                <c:pt idx="13">
                  <c:v>101.422218108</c:v>
                </c:pt>
                <c:pt idx="14">
                  <c:v>103.14834688099999</c:v>
                </c:pt>
                <c:pt idx="15">
                  <c:v>104.8442762</c:v>
                </c:pt>
                <c:pt idx="16">
                  <c:v>105.174110934</c:v>
                </c:pt>
                <c:pt idx="17">
                  <c:v>110.363129403</c:v>
                </c:pt>
                <c:pt idx="18">
                  <c:v>113.900640967</c:v>
                </c:pt>
                <c:pt idx="19">
                  <c:v>113.26961319</c:v>
                </c:pt>
                <c:pt idx="20">
                  <c:v>110.78584550399999</c:v>
                </c:pt>
                <c:pt idx="21">
                  <c:v>110.344473601</c:v>
                </c:pt>
                <c:pt idx="22">
                  <c:v>107.77185745</c:v>
                </c:pt>
                <c:pt idx="23">
                  <c:v>108.09524781099999</c:v>
                </c:pt>
                <c:pt idx="24">
                  <c:v>110.792452536</c:v>
                </c:pt>
                <c:pt idx="25">
                  <c:v>109.180202581</c:v>
                </c:pt>
                <c:pt idx="26">
                  <c:v>110.239509333</c:v>
                </c:pt>
                <c:pt idx="27">
                  <c:v>106.067944758</c:v>
                </c:pt>
                <c:pt idx="28">
                  <c:v>106.92102674100001</c:v>
                </c:pt>
                <c:pt idx="29">
                  <c:v>107.259776856</c:v>
                </c:pt>
                <c:pt idx="30">
                  <c:v>105.70516317800001</c:v>
                </c:pt>
                <c:pt idx="31">
                  <c:v>104.63824831300001</c:v>
                </c:pt>
                <c:pt idx="32">
                  <c:v>104.572103322</c:v>
                </c:pt>
                <c:pt idx="33">
                  <c:v>107.3443774</c:v>
                </c:pt>
                <c:pt idx="34">
                  <c:v>107.57835760899999</c:v>
                </c:pt>
                <c:pt idx="35">
                  <c:v>105.552892148</c:v>
                </c:pt>
                <c:pt idx="36">
                  <c:v>107.53288593000001</c:v>
                </c:pt>
                <c:pt idx="37">
                  <c:v>111.392674418</c:v>
                </c:pt>
                <c:pt idx="38">
                  <c:v>109.79126623099999</c:v>
                </c:pt>
                <c:pt idx="39">
                  <c:v>107.734079467</c:v>
                </c:pt>
                <c:pt idx="40">
                  <c:v>108.749310077</c:v>
                </c:pt>
                <c:pt idx="41">
                  <c:v>108.517680943</c:v>
                </c:pt>
                <c:pt idx="42">
                  <c:v>105.332777045</c:v>
                </c:pt>
                <c:pt idx="43">
                  <c:v>104.102694286</c:v>
                </c:pt>
                <c:pt idx="44">
                  <c:v>105.169910423</c:v>
                </c:pt>
                <c:pt idx="45">
                  <c:v>107.79550567299999</c:v>
                </c:pt>
                <c:pt idx="46">
                  <c:v>107.661930113</c:v>
                </c:pt>
                <c:pt idx="47">
                  <c:v>107.332957294</c:v>
                </c:pt>
                <c:pt idx="48">
                  <c:v>108.521287082</c:v>
                </c:pt>
                <c:pt idx="49">
                  <c:v>109.270164983</c:v>
                </c:pt>
                <c:pt idx="50">
                  <c:v>113.79240969</c:v>
                </c:pt>
                <c:pt idx="51">
                  <c:v>112.890305934</c:v>
                </c:pt>
                <c:pt idx="52">
                  <c:v>110.875701912</c:v>
                </c:pt>
                <c:pt idx="53">
                  <c:v>108.56626808999999</c:v>
                </c:pt>
                <c:pt idx="54">
                  <c:v>108.07315111600001</c:v>
                </c:pt>
                <c:pt idx="55">
                  <c:v>107.64634250899999</c:v>
                </c:pt>
                <c:pt idx="56">
                  <c:v>100.929718702</c:v>
                </c:pt>
                <c:pt idx="57">
                  <c:v>103.747842711</c:v>
                </c:pt>
                <c:pt idx="58">
                  <c:v>105.566476087</c:v>
                </c:pt>
                <c:pt idx="59">
                  <c:v>103.965917996</c:v>
                </c:pt>
                <c:pt idx="60">
                  <c:v>103.740498336</c:v>
                </c:pt>
                <c:pt idx="61">
                  <c:v>105.50093113</c:v>
                </c:pt>
                <c:pt idx="62">
                  <c:v>106.046601659</c:v>
                </c:pt>
                <c:pt idx="63">
                  <c:v>105.801633917</c:v>
                </c:pt>
                <c:pt idx="64">
                  <c:v>103.686550334</c:v>
                </c:pt>
                <c:pt idx="65">
                  <c:v>101.705142353</c:v>
                </c:pt>
                <c:pt idx="66">
                  <c:v>104.304629777</c:v>
                </c:pt>
                <c:pt idx="67">
                  <c:v>102.808319469</c:v>
                </c:pt>
                <c:pt idx="68">
                  <c:v>102.80530363299999</c:v>
                </c:pt>
                <c:pt idx="69">
                  <c:v>103.15017466099999</c:v>
                </c:pt>
                <c:pt idx="70">
                  <c:v>107.326505247</c:v>
                </c:pt>
                <c:pt idx="71">
                  <c:v>108.349661266</c:v>
                </c:pt>
                <c:pt idx="72">
                  <c:v>110.464811885</c:v>
                </c:pt>
                <c:pt idx="73">
                  <c:v>110.849304424</c:v>
                </c:pt>
                <c:pt idx="74">
                  <c:v>110.57697738500001</c:v>
                </c:pt>
                <c:pt idx="75">
                  <c:v>110.652060715</c:v>
                </c:pt>
                <c:pt idx="76">
                  <c:v>112.983574078</c:v>
                </c:pt>
                <c:pt idx="77">
                  <c:v>116.47280957700001</c:v>
                </c:pt>
                <c:pt idx="78">
                  <c:v>121.174090479</c:v>
                </c:pt>
                <c:pt idx="79">
                  <c:v>121.247608001</c:v>
                </c:pt>
                <c:pt idx="80">
                  <c:v>120.18059007799999</c:v>
                </c:pt>
                <c:pt idx="81">
                  <c:v>118.534690899</c:v>
                </c:pt>
                <c:pt idx="82">
                  <c:v>116.18704885699999</c:v>
                </c:pt>
                <c:pt idx="83">
                  <c:v>118.210074425</c:v>
                </c:pt>
                <c:pt idx="84">
                  <c:v>117.872856403</c:v>
                </c:pt>
                <c:pt idx="85">
                  <c:v>115.69790186900001</c:v>
                </c:pt>
                <c:pt idx="86">
                  <c:v>122.145995129</c:v>
                </c:pt>
                <c:pt idx="87">
                  <c:v>121.99455704499999</c:v>
                </c:pt>
                <c:pt idx="88">
                  <c:v>122.185201918</c:v>
                </c:pt>
                <c:pt idx="89">
                  <c:v>121.181637108</c:v>
                </c:pt>
                <c:pt idx="90">
                  <c:v>118.841861256</c:v>
                </c:pt>
                <c:pt idx="91">
                  <c:v>115.30715229899999</c:v>
                </c:pt>
                <c:pt idx="92">
                  <c:v>114.823266555</c:v>
                </c:pt>
                <c:pt idx="93">
                  <c:v>116.95369631600001</c:v>
                </c:pt>
                <c:pt idx="94">
                  <c:v>118.197944749</c:v>
                </c:pt>
                <c:pt idx="95">
                  <c:v>117.413712898</c:v>
                </c:pt>
                <c:pt idx="96">
                  <c:v>122.581757091</c:v>
                </c:pt>
                <c:pt idx="97">
                  <c:v>127.782720083</c:v>
                </c:pt>
                <c:pt idx="98">
                  <c:v>130.922396494</c:v>
                </c:pt>
                <c:pt idx="99">
                  <c:v>133.84981469900001</c:v>
                </c:pt>
                <c:pt idx="100">
                  <c:v>136.837745544</c:v>
                </c:pt>
              </c:numCache>
            </c:numRef>
          </c:yVal>
          <c:smooth val="1"/>
        </c:ser>
        <c:ser>
          <c:idx val="26"/>
          <c:order val="26"/>
          <c:tx>
            <c:strRef>
              <c:f>S_plus!$AM$1</c:f>
              <c:strCache>
                <c:ptCount val="1"/>
                <c:pt idx="0">
                  <c:v>Sim27</c:v>
                </c:pt>
              </c:strCache>
            </c:strRef>
          </c:tx>
          <c:marker>
            <c:symbol val="none"/>
          </c:marker>
          <c:xVal>
            <c:numRef>
              <c:f>S_plus!$L$2:$L$102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S_plus!$AM$2:$AM$102</c:f>
              <c:numCache>
                <c:formatCode>General</c:formatCode>
                <c:ptCount val="101"/>
                <c:pt idx="0">
                  <c:v>100</c:v>
                </c:pt>
                <c:pt idx="1">
                  <c:v>101.41948439799999</c:v>
                </c:pt>
                <c:pt idx="2">
                  <c:v>100.98044355</c:v>
                </c:pt>
                <c:pt idx="3">
                  <c:v>99.709424863899997</c:v>
                </c:pt>
                <c:pt idx="4">
                  <c:v>100.170035368</c:v>
                </c:pt>
                <c:pt idx="5">
                  <c:v>99.844751237500006</c:v>
                </c:pt>
                <c:pt idx="6">
                  <c:v>100.203813517</c:v>
                </c:pt>
                <c:pt idx="7">
                  <c:v>100.566654464</c:v>
                </c:pt>
                <c:pt idx="8">
                  <c:v>101.282763499</c:v>
                </c:pt>
                <c:pt idx="9">
                  <c:v>99.610882864199993</c:v>
                </c:pt>
                <c:pt idx="10">
                  <c:v>98.183803147999996</c:v>
                </c:pt>
                <c:pt idx="11">
                  <c:v>97.402788349000005</c:v>
                </c:pt>
                <c:pt idx="12">
                  <c:v>96.776273827500006</c:v>
                </c:pt>
                <c:pt idx="13">
                  <c:v>96.010695311000006</c:v>
                </c:pt>
                <c:pt idx="14">
                  <c:v>94.586543420200002</c:v>
                </c:pt>
                <c:pt idx="15">
                  <c:v>93.8803378506</c:v>
                </c:pt>
                <c:pt idx="16">
                  <c:v>91.723661850599996</c:v>
                </c:pt>
                <c:pt idx="17">
                  <c:v>90.611134285099993</c:v>
                </c:pt>
                <c:pt idx="18">
                  <c:v>89.137152639099995</c:v>
                </c:pt>
                <c:pt idx="19">
                  <c:v>86.400402538600005</c:v>
                </c:pt>
                <c:pt idx="20">
                  <c:v>87.151286442300005</c:v>
                </c:pt>
                <c:pt idx="21">
                  <c:v>87.102634364799997</c:v>
                </c:pt>
                <c:pt idx="22">
                  <c:v>89.763295419900004</c:v>
                </c:pt>
                <c:pt idx="23">
                  <c:v>89.7338049592</c:v>
                </c:pt>
                <c:pt idx="24">
                  <c:v>89.889742716499995</c:v>
                </c:pt>
                <c:pt idx="25">
                  <c:v>90.6194772634</c:v>
                </c:pt>
                <c:pt idx="26">
                  <c:v>91.914433519799999</c:v>
                </c:pt>
                <c:pt idx="27">
                  <c:v>94.438804440499993</c:v>
                </c:pt>
                <c:pt idx="28">
                  <c:v>96.358760551700001</c:v>
                </c:pt>
                <c:pt idx="29">
                  <c:v>95.839688936000002</c:v>
                </c:pt>
                <c:pt idx="30">
                  <c:v>97.144435727699999</c:v>
                </c:pt>
                <c:pt idx="31">
                  <c:v>94.837237685000005</c:v>
                </c:pt>
                <c:pt idx="32">
                  <c:v>96.200765319200002</c:v>
                </c:pt>
                <c:pt idx="33">
                  <c:v>96.999432224200007</c:v>
                </c:pt>
                <c:pt idx="34">
                  <c:v>97.118178734500006</c:v>
                </c:pt>
                <c:pt idx="35">
                  <c:v>99.872223022200004</c:v>
                </c:pt>
                <c:pt idx="36">
                  <c:v>100.89580385399999</c:v>
                </c:pt>
                <c:pt idx="37">
                  <c:v>98.221679858399995</c:v>
                </c:pt>
                <c:pt idx="38">
                  <c:v>98.964302449499996</c:v>
                </c:pt>
                <c:pt idx="39">
                  <c:v>100.58423773600001</c:v>
                </c:pt>
                <c:pt idx="40">
                  <c:v>102.609957669</c:v>
                </c:pt>
                <c:pt idx="41">
                  <c:v>101.742240037</c:v>
                </c:pt>
                <c:pt idx="42">
                  <c:v>99.891177800700007</c:v>
                </c:pt>
                <c:pt idx="43">
                  <c:v>98.631097167899995</c:v>
                </c:pt>
                <c:pt idx="44">
                  <c:v>96.719589119000005</c:v>
                </c:pt>
                <c:pt idx="45">
                  <c:v>99.303078978100004</c:v>
                </c:pt>
                <c:pt idx="46">
                  <c:v>96.653538170600001</c:v>
                </c:pt>
                <c:pt idx="47">
                  <c:v>97.045092814399993</c:v>
                </c:pt>
                <c:pt idx="48">
                  <c:v>96.5810097568</c:v>
                </c:pt>
                <c:pt idx="49">
                  <c:v>93.113093377400006</c:v>
                </c:pt>
                <c:pt idx="50">
                  <c:v>92.662173908300005</c:v>
                </c:pt>
                <c:pt idx="51">
                  <c:v>91.744424975300007</c:v>
                </c:pt>
                <c:pt idx="52">
                  <c:v>92.113965325600006</c:v>
                </c:pt>
                <c:pt idx="53">
                  <c:v>93.253417275199993</c:v>
                </c:pt>
                <c:pt idx="54">
                  <c:v>94.368633786299995</c:v>
                </c:pt>
                <c:pt idx="55">
                  <c:v>94.6589311213</c:v>
                </c:pt>
                <c:pt idx="56">
                  <c:v>93.268769786600004</c:v>
                </c:pt>
                <c:pt idx="57">
                  <c:v>90.651005442400006</c:v>
                </c:pt>
                <c:pt idx="58">
                  <c:v>88.032761987499995</c:v>
                </c:pt>
                <c:pt idx="59">
                  <c:v>88.090606885200003</c:v>
                </c:pt>
                <c:pt idx="60">
                  <c:v>89.461892113499999</c:v>
                </c:pt>
                <c:pt idx="61">
                  <c:v>92.586127226100004</c:v>
                </c:pt>
                <c:pt idx="62">
                  <c:v>90.818998607699996</c:v>
                </c:pt>
                <c:pt idx="63">
                  <c:v>86.354544707100004</c:v>
                </c:pt>
                <c:pt idx="64">
                  <c:v>87.546409527600005</c:v>
                </c:pt>
                <c:pt idx="65">
                  <c:v>87.013770757200007</c:v>
                </c:pt>
                <c:pt idx="66">
                  <c:v>88.448575165799994</c:v>
                </c:pt>
                <c:pt idx="67">
                  <c:v>89.972087186400003</c:v>
                </c:pt>
                <c:pt idx="68">
                  <c:v>89.748050114799995</c:v>
                </c:pt>
                <c:pt idx="69">
                  <c:v>90.164875029200005</c:v>
                </c:pt>
                <c:pt idx="70">
                  <c:v>89.694755997800002</c:v>
                </c:pt>
                <c:pt idx="71">
                  <c:v>90.622659068499999</c:v>
                </c:pt>
                <c:pt idx="72">
                  <c:v>91.006897428299993</c:v>
                </c:pt>
                <c:pt idx="73">
                  <c:v>91.443360280600004</c:v>
                </c:pt>
                <c:pt idx="74">
                  <c:v>93.659787334699999</c:v>
                </c:pt>
                <c:pt idx="75">
                  <c:v>93.698615562300006</c:v>
                </c:pt>
                <c:pt idx="76">
                  <c:v>95.188347901200004</c:v>
                </c:pt>
                <c:pt idx="77">
                  <c:v>97.431822811900005</c:v>
                </c:pt>
                <c:pt idx="78">
                  <c:v>98.626080642800005</c:v>
                </c:pt>
                <c:pt idx="79">
                  <c:v>100.060969687</c:v>
                </c:pt>
                <c:pt idx="80">
                  <c:v>103.28660683699999</c:v>
                </c:pt>
                <c:pt idx="81">
                  <c:v>106.307238273</c:v>
                </c:pt>
                <c:pt idx="82">
                  <c:v>107.69517342499999</c:v>
                </c:pt>
                <c:pt idx="83">
                  <c:v>106.575784527</c:v>
                </c:pt>
                <c:pt idx="84">
                  <c:v>104.48499241099999</c:v>
                </c:pt>
                <c:pt idx="85">
                  <c:v>108.118381652</c:v>
                </c:pt>
                <c:pt idx="86">
                  <c:v>104.628192478</c:v>
                </c:pt>
                <c:pt idx="87">
                  <c:v>107.146622705</c:v>
                </c:pt>
                <c:pt idx="88">
                  <c:v>105.668492731</c:v>
                </c:pt>
                <c:pt idx="89">
                  <c:v>100.98230114499999</c:v>
                </c:pt>
                <c:pt idx="90">
                  <c:v>101.52072344299999</c:v>
                </c:pt>
                <c:pt idx="91">
                  <c:v>102.728990043</c:v>
                </c:pt>
                <c:pt idx="92">
                  <c:v>103.458955425</c:v>
                </c:pt>
                <c:pt idx="93">
                  <c:v>102.564426098</c:v>
                </c:pt>
                <c:pt idx="94">
                  <c:v>106.06765185499999</c:v>
                </c:pt>
                <c:pt idx="95">
                  <c:v>105.860585203</c:v>
                </c:pt>
                <c:pt idx="96">
                  <c:v>109.316541941</c:v>
                </c:pt>
                <c:pt idx="97">
                  <c:v>107.771563383</c:v>
                </c:pt>
                <c:pt idx="98">
                  <c:v>111.252956967</c:v>
                </c:pt>
                <c:pt idx="99">
                  <c:v>108.07723528699999</c:v>
                </c:pt>
                <c:pt idx="100">
                  <c:v>107.677553887</c:v>
                </c:pt>
              </c:numCache>
            </c:numRef>
          </c:yVal>
          <c:smooth val="1"/>
        </c:ser>
        <c:ser>
          <c:idx val="27"/>
          <c:order val="27"/>
          <c:tx>
            <c:strRef>
              <c:f>S_plus!$AN$1</c:f>
              <c:strCache>
                <c:ptCount val="1"/>
                <c:pt idx="0">
                  <c:v>Sim28</c:v>
                </c:pt>
              </c:strCache>
            </c:strRef>
          </c:tx>
          <c:marker>
            <c:symbol val="none"/>
          </c:marker>
          <c:xVal>
            <c:numRef>
              <c:f>S_plus!$L$2:$L$102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S_plus!$AN$2:$AN$102</c:f>
              <c:numCache>
                <c:formatCode>General</c:formatCode>
                <c:ptCount val="101"/>
                <c:pt idx="0">
                  <c:v>100</c:v>
                </c:pt>
                <c:pt idx="1">
                  <c:v>100.674823207</c:v>
                </c:pt>
                <c:pt idx="2">
                  <c:v>103.74848224</c:v>
                </c:pt>
                <c:pt idx="3">
                  <c:v>104.56321995899999</c:v>
                </c:pt>
                <c:pt idx="4">
                  <c:v>106.50198404699999</c:v>
                </c:pt>
                <c:pt idx="5">
                  <c:v>108.00797018900001</c:v>
                </c:pt>
                <c:pt idx="6">
                  <c:v>105.46287039800001</c:v>
                </c:pt>
                <c:pt idx="7">
                  <c:v>107.25073575</c:v>
                </c:pt>
                <c:pt idx="8">
                  <c:v>109.88160634</c:v>
                </c:pt>
                <c:pt idx="9">
                  <c:v>106.715028135</c:v>
                </c:pt>
                <c:pt idx="10">
                  <c:v>106.707768749</c:v>
                </c:pt>
                <c:pt idx="11">
                  <c:v>108.453930504</c:v>
                </c:pt>
                <c:pt idx="12">
                  <c:v>105.93696132399999</c:v>
                </c:pt>
                <c:pt idx="13">
                  <c:v>109.02023742999999</c:v>
                </c:pt>
                <c:pt idx="14">
                  <c:v>108.123434433</c:v>
                </c:pt>
                <c:pt idx="15">
                  <c:v>111.56999754100001</c:v>
                </c:pt>
                <c:pt idx="16">
                  <c:v>116.237779628</c:v>
                </c:pt>
                <c:pt idx="17">
                  <c:v>112.815703673</c:v>
                </c:pt>
                <c:pt idx="18">
                  <c:v>114.487248995</c:v>
                </c:pt>
                <c:pt idx="19">
                  <c:v>119.203705533</c:v>
                </c:pt>
                <c:pt idx="20">
                  <c:v>122.92362101499999</c:v>
                </c:pt>
                <c:pt idx="21">
                  <c:v>121.160100781</c:v>
                </c:pt>
                <c:pt idx="22">
                  <c:v>124.122848033</c:v>
                </c:pt>
                <c:pt idx="23">
                  <c:v>121.55147195000001</c:v>
                </c:pt>
                <c:pt idx="24">
                  <c:v>122.583581611</c:v>
                </c:pt>
                <c:pt idx="25">
                  <c:v>120.69225261299999</c:v>
                </c:pt>
                <c:pt idx="26">
                  <c:v>123.159842446</c:v>
                </c:pt>
                <c:pt idx="27">
                  <c:v>127.407706866</c:v>
                </c:pt>
                <c:pt idx="28">
                  <c:v>129.73499071500001</c:v>
                </c:pt>
                <c:pt idx="29">
                  <c:v>126.821373705</c:v>
                </c:pt>
                <c:pt idx="30">
                  <c:v>122.971574136</c:v>
                </c:pt>
                <c:pt idx="31">
                  <c:v>125.59619937799999</c:v>
                </c:pt>
                <c:pt idx="32">
                  <c:v>125.172737208</c:v>
                </c:pt>
                <c:pt idx="33">
                  <c:v>123.620340648</c:v>
                </c:pt>
                <c:pt idx="34">
                  <c:v>126.65118970100001</c:v>
                </c:pt>
                <c:pt idx="35">
                  <c:v>128.47963859800001</c:v>
                </c:pt>
                <c:pt idx="36">
                  <c:v>126.174191553</c:v>
                </c:pt>
                <c:pt idx="37">
                  <c:v>127.546437869</c:v>
                </c:pt>
                <c:pt idx="38">
                  <c:v>123.495235257</c:v>
                </c:pt>
                <c:pt idx="39">
                  <c:v>124.449701375</c:v>
                </c:pt>
                <c:pt idx="40">
                  <c:v>120.60145554499999</c:v>
                </c:pt>
                <c:pt idx="41">
                  <c:v>120.332559995</c:v>
                </c:pt>
                <c:pt idx="42">
                  <c:v>123.405994119</c:v>
                </c:pt>
                <c:pt idx="43">
                  <c:v>121.13356866300001</c:v>
                </c:pt>
                <c:pt idx="44">
                  <c:v>120.993722547</c:v>
                </c:pt>
                <c:pt idx="45">
                  <c:v>116.965067085</c:v>
                </c:pt>
                <c:pt idx="46">
                  <c:v>117.85813063000001</c:v>
                </c:pt>
                <c:pt idx="47">
                  <c:v>117.19475378200001</c:v>
                </c:pt>
                <c:pt idx="48">
                  <c:v>117.46466376799999</c:v>
                </c:pt>
                <c:pt idx="49">
                  <c:v>115.634901856</c:v>
                </c:pt>
                <c:pt idx="50">
                  <c:v>119.516342803</c:v>
                </c:pt>
                <c:pt idx="51">
                  <c:v>114.452645491</c:v>
                </c:pt>
                <c:pt idx="52">
                  <c:v>108.833017794</c:v>
                </c:pt>
                <c:pt idx="53">
                  <c:v>109.41106513</c:v>
                </c:pt>
                <c:pt idx="54">
                  <c:v>110.667082433</c:v>
                </c:pt>
                <c:pt idx="55">
                  <c:v>108.97121125</c:v>
                </c:pt>
                <c:pt idx="56">
                  <c:v>108.926048545</c:v>
                </c:pt>
                <c:pt idx="57">
                  <c:v>105.22795435499999</c:v>
                </c:pt>
                <c:pt idx="58">
                  <c:v>102.160502282</c:v>
                </c:pt>
                <c:pt idx="59">
                  <c:v>101.897151685</c:v>
                </c:pt>
                <c:pt idx="60">
                  <c:v>100.52490469599999</c:v>
                </c:pt>
                <c:pt idx="61">
                  <c:v>97.108884814099994</c:v>
                </c:pt>
                <c:pt idx="62">
                  <c:v>96.284484000399999</c:v>
                </c:pt>
                <c:pt idx="63">
                  <c:v>98.192726493699993</c:v>
                </c:pt>
                <c:pt idx="64">
                  <c:v>98.315888959999995</c:v>
                </c:pt>
                <c:pt idx="65">
                  <c:v>98.502828826499993</c:v>
                </c:pt>
                <c:pt idx="66">
                  <c:v>100.18821404800001</c:v>
                </c:pt>
                <c:pt idx="67">
                  <c:v>98.828998148799997</c:v>
                </c:pt>
                <c:pt idx="68">
                  <c:v>102.514278027</c:v>
                </c:pt>
                <c:pt idx="69">
                  <c:v>98.313716773799996</c:v>
                </c:pt>
                <c:pt idx="70">
                  <c:v>99.875186435399996</c:v>
                </c:pt>
                <c:pt idx="71">
                  <c:v>100.278241525</c:v>
                </c:pt>
                <c:pt idx="72">
                  <c:v>97.970594915299998</c:v>
                </c:pt>
                <c:pt idx="73">
                  <c:v>96.3905283438</c:v>
                </c:pt>
                <c:pt idx="74">
                  <c:v>95.058357932299998</c:v>
                </c:pt>
                <c:pt idx="75">
                  <c:v>98.569595319000001</c:v>
                </c:pt>
                <c:pt idx="76">
                  <c:v>97.553106732499998</c:v>
                </c:pt>
                <c:pt idx="77">
                  <c:v>96.455045860699997</c:v>
                </c:pt>
                <c:pt idx="78">
                  <c:v>97.943360914699994</c:v>
                </c:pt>
                <c:pt idx="79">
                  <c:v>100.446176272</c:v>
                </c:pt>
                <c:pt idx="80">
                  <c:v>103.427414881</c:v>
                </c:pt>
                <c:pt idx="81">
                  <c:v>101.706275562</c:v>
                </c:pt>
                <c:pt idx="82">
                  <c:v>101.800340155</c:v>
                </c:pt>
                <c:pt idx="83">
                  <c:v>100.037679431</c:v>
                </c:pt>
                <c:pt idx="84">
                  <c:v>103.20844180900001</c:v>
                </c:pt>
                <c:pt idx="85">
                  <c:v>102.129756895</c:v>
                </c:pt>
                <c:pt idx="86">
                  <c:v>100.64424972099999</c:v>
                </c:pt>
                <c:pt idx="87">
                  <c:v>100.212229584</c:v>
                </c:pt>
                <c:pt idx="88">
                  <c:v>101.18645633</c:v>
                </c:pt>
                <c:pt idx="89">
                  <c:v>100.94301053</c:v>
                </c:pt>
                <c:pt idx="90">
                  <c:v>100.740429777</c:v>
                </c:pt>
                <c:pt idx="91">
                  <c:v>97.232489982000004</c:v>
                </c:pt>
                <c:pt idx="92">
                  <c:v>96.173923342999998</c:v>
                </c:pt>
                <c:pt idx="93">
                  <c:v>94.498656310100003</c:v>
                </c:pt>
                <c:pt idx="94">
                  <c:v>95.553664940299996</c:v>
                </c:pt>
                <c:pt idx="95">
                  <c:v>96.630406781800005</c:v>
                </c:pt>
                <c:pt idx="96">
                  <c:v>96.5174699831</c:v>
                </c:pt>
                <c:pt idx="97">
                  <c:v>96.032328891800006</c:v>
                </c:pt>
                <c:pt idx="98">
                  <c:v>91.878992281099997</c:v>
                </c:pt>
                <c:pt idx="99">
                  <c:v>89.676465618700007</c:v>
                </c:pt>
                <c:pt idx="100">
                  <c:v>87.913569730700004</c:v>
                </c:pt>
              </c:numCache>
            </c:numRef>
          </c:yVal>
          <c:smooth val="1"/>
        </c:ser>
        <c:ser>
          <c:idx val="28"/>
          <c:order val="28"/>
          <c:tx>
            <c:strRef>
              <c:f>S_plus!$AO$1</c:f>
              <c:strCache>
                <c:ptCount val="1"/>
                <c:pt idx="0">
                  <c:v>Sim29</c:v>
                </c:pt>
              </c:strCache>
            </c:strRef>
          </c:tx>
          <c:marker>
            <c:symbol val="none"/>
          </c:marker>
          <c:xVal>
            <c:numRef>
              <c:f>S_plus!$L$2:$L$102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S_plus!$AO$2:$AO$102</c:f>
              <c:numCache>
                <c:formatCode>General</c:formatCode>
                <c:ptCount val="101"/>
                <c:pt idx="0">
                  <c:v>100</c:v>
                </c:pt>
                <c:pt idx="1">
                  <c:v>98.836280721799994</c:v>
                </c:pt>
                <c:pt idx="2">
                  <c:v>98.224966757299995</c:v>
                </c:pt>
                <c:pt idx="3">
                  <c:v>98.280253931999994</c:v>
                </c:pt>
                <c:pt idx="4">
                  <c:v>102.180604289</c:v>
                </c:pt>
                <c:pt idx="5">
                  <c:v>104.471321499</c:v>
                </c:pt>
                <c:pt idx="6">
                  <c:v>109.143189431</c:v>
                </c:pt>
                <c:pt idx="7">
                  <c:v>109.32281586000001</c:v>
                </c:pt>
                <c:pt idx="8">
                  <c:v>109.69252930099999</c:v>
                </c:pt>
                <c:pt idx="9">
                  <c:v>105.70168590500001</c:v>
                </c:pt>
                <c:pt idx="10">
                  <c:v>108.058886044</c:v>
                </c:pt>
                <c:pt idx="11">
                  <c:v>112.591243921</c:v>
                </c:pt>
                <c:pt idx="12">
                  <c:v>115.78169401</c:v>
                </c:pt>
                <c:pt idx="13">
                  <c:v>116.209959544</c:v>
                </c:pt>
                <c:pt idx="14">
                  <c:v>111.096165434</c:v>
                </c:pt>
                <c:pt idx="15">
                  <c:v>109.435436985</c:v>
                </c:pt>
                <c:pt idx="16">
                  <c:v>107.280609148</c:v>
                </c:pt>
                <c:pt idx="17">
                  <c:v>104.177759572</c:v>
                </c:pt>
                <c:pt idx="18">
                  <c:v>102.93159966499999</c:v>
                </c:pt>
                <c:pt idx="19">
                  <c:v>104.166894914</c:v>
                </c:pt>
                <c:pt idx="20">
                  <c:v>103.700872248</c:v>
                </c:pt>
                <c:pt idx="21">
                  <c:v>100.644519714</c:v>
                </c:pt>
                <c:pt idx="22">
                  <c:v>99.9535491189</c:v>
                </c:pt>
                <c:pt idx="23">
                  <c:v>101.24924296</c:v>
                </c:pt>
                <c:pt idx="24">
                  <c:v>99.718045616300003</c:v>
                </c:pt>
                <c:pt idx="25">
                  <c:v>97.214979588999995</c:v>
                </c:pt>
                <c:pt idx="26">
                  <c:v>95.953562073399993</c:v>
                </c:pt>
                <c:pt idx="27">
                  <c:v>97.923977133099996</c:v>
                </c:pt>
                <c:pt idx="28">
                  <c:v>98.117529070700002</c:v>
                </c:pt>
                <c:pt idx="29">
                  <c:v>95.788963160199998</c:v>
                </c:pt>
                <c:pt idx="30">
                  <c:v>99.143858545699999</c:v>
                </c:pt>
                <c:pt idx="31">
                  <c:v>97.866485440199995</c:v>
                </c:pt>
                <c:pt idx="32">
                  <c:v>99.419427252999995</c:v>
                </c:pt>
                <c:pt idx="33">
                  <c:v>100.68530611600001</c:v>
                </c:pt>
                <c:pt idx="34">
                  <c:v>99.017116270700001</c:v>
                </c:pt>
                <c:pt idx="35">
                  <c:v>95.248297023899994</c:v>
                </c:pt>
                <c:pt idx="36">
                  <c:v>92.833453082299997</c:v>
                </c:pt>
                <c:pt idx="37">
                  <c:v>92.212168864500001</c:v>
                </c:pt>
                <c:pt idx="38">
                  <c:v>91.724040643699993</c:v>
                </c:pt>
                <c:pt idx="39">
                  <c:v>90.318401907099997</c:v>
                </c:pt>
                <c:pt idx="40">
                  <c:v>88.159526195699996</c:v>
                </c:pt>
                <c:pt idx="41">
                  <c:v>90.215827923600003</c:v>
                </c:pt>
                <c:pt idx="42">
                  <c:v>89.965255390199999</c:v>
                </c:pt>
                <c:pt idx="43">
                  <c:v>89.827608138900004</c:v>
                </c:pt>
                <c:pt idx="44">
                  <c:v>90.432980528800002</c:v>
                </c:pt>
                <c:pt idx="45">
                  <c:v>90.979420621100004</c:v>
                </c:pt>
                <c:pt idx="46">
                  <c:v>91.898660266700006</c:v>
                </c:pt>
                <c:pt idx="47">
                  <c:v>93.223547098200001</c:v>
                </c:pt>
                <c:pt idx="48">
                  <c:v>92.456193855600006</c:v>
                </c:pt>
                <c:pt idx="49">
                  <c:v>90.999969407600005</c:v>
                </c:pt>
                <c:pt idx="50">
                  <c:v>93.234038582400004</c:v>
                </c:pt>
                <c:pt idx="51">
                  <c:v>91.818279864399997</c:v>
                </c:pt>
                <c:pt idx="52">
                  <c:v>90.329347556499997</c:v>
                </c:pt>
                <c:pt idx="53">
                  <c:v>93.624128572900005</c:v>
                </c:pt>
                <c:pt idx="54">
                  <c:v>94.157323560500004</c:v>
                </c:pt>
                <c:pt idx="55">
                  <c:v>94.720949564999998</c:v>
                </c:pt>
                <c:pt idx="56">
                  <c:v>94.270921266499997</c:v>
                </c:pt>
                <c:pt idx="57">
                  <c:v>93.758158578000007</c:v>
                </c:pt>
                <c:pt idx="58">
                  <c:v>97.516825580200006</c:v>
                </c:pt>
                <c:pt idx="59">
                  <c:v>96.043136551999993</c:v>
                </c:pt>
                <c:pt idx="60">
                  <c:v>96.045419421199995</c:v>
                </c:pt>
                <c:pt idx="61">
                  <c:v>94.995808328500004</c:v>
                </c:pt>
                <c:pt idx="62">
                  <c:v>93.4824830437</c:v>
                </c:pt>
                <c:pt idx="63">
                  <c:v>95.214971037599994</c:v>
                </c:pt>
                <c:pt idx="64">
                  <c:v>94.657956304500004</c:v>
                </c:pt>
                <c:pt idx="65">
                  <c:v>97.7457570893</c:v>
                </c:pt>
                <c:pt idx="66">
                  <c:v>100.15889175</c:v>
                </c:pt>
                <c:pt idx="67">
                  <c:v>95.481088567</c:v>
                </c:pt>
                <c:pt idx="68">
                  <c:v>97.353909185999996</c:v>
                </c:pt>
                <c:pt idx="69">
                  <c:v>97.959440037500002</c:v>
                </c:pt>
                <c:pt idx="70">
                  <c:v>97.985259881000005</c:v>
                </c:pt>
                <c:pt idx="71">
                  <c:v>99.702200712800007</c:v>
                </c:pt>
                <c:pt idx="72">
                  <c:v>97.720583508999994</c:v>
                </c:pt>
                <c:pt idx="73">
                  <c:v>98.558464212700002</c:v>
                </c:pt>
                <c:pt idx="74">
                  <c:v>100.232126299</c:v>
                </c:pt>
                <c:pt idx="75">
                  <c:v>103.132700466</c:v>
                </c:pt>
                <c:pt idx="76">
                  <c:v>104.596200473</c:v>
                </c:pt>
                <c:pt idx="77">
                  <c:v>103.498644207</c:v>
                </c:pt>
                <c:pt idx="78">
                  <c:v>101.63446631399999</c:v>
                </c:pt>
                <c:pt idx="79">
                  <c:v>100.400183786</c:v>
                </c:pt>
                <c:pt idx="80">
                  <c:v>101.765134542</c:v>
                </c:pt>
                <c:pt idx="81">
                  <c:v>101.32462933399999</c:v>
                </c:pt>
                <c:pt idx="82">
                  <c:v>103.28143281</c:v>
                </c:pt>
                <c:pt idx="83">
                  <c:v>102.445097795</c:v>
                </c:pt>
                <c:pt idx="84">
                  <c:v>105.570122377</c:v>
                </c:pt>
                <c:pt idx="85">
                  <c:v>105.03189159</c:v>
                </c:pt>
                <c:pt idx="86">
                  <c:v>110.354200205</c:v>
                </c:pt>
                <c:pt idx="87">
                  <c:v>110.43936587499999</c:v>
                </c:pt>
                <c:pt idx="88">
                  <c:v>112.245594698</c:v>
                </c:pt>
                <c:pt idx="89">
                  <c:v>110.547713448</c:v>
                </c:pt>
                <c:pt idx="90">
                  <c:v>112.69239877</c:v>
                </c:pt>
                <c:pt idx="91">
                  <c:v>113.757883272</c:v>
                </c:pt>
                <c:pt idx="92">
                  <c:v>112.69052870199999</c:v>
                </c:pt>
                <c:pt idx="93">
                  <c:v>115.142915113</c:v>
                </c:pt>
                <c:pt idx="94">
                  <c:v>111.23408906100001</c:v>
                </c:pt>
                <c:pt idx="95">
                  <c:v>112.368118303</c:v>
                </c:pt>
                <c:pt idx="96">
                  <c:v>110.77718427400001</c:v>
                </c:pt>
                <c:pt idx="97">
                  <c:v>106.93852287</c:v>
                </c:pt>
                <c:pt idx="98">
                  <c:v>108.730275365</c:v>
                </c:pt>
                <c:pt idx="99">
                  <c:v>109.49156491700001</c:v>
                </c:pt>
                <c:pt idx="100">
                  <c:v>111.81510859399999</c:v>
                </c:pt>
              </c:numCache>
            </c:numRef>
          </c:yVal>
          <c:smooth val="1"/>
        </c:ser>
        <c:ser>
          <c:idx val="29"/>
          <c:order val="29"/>
          <c:tx>
            <c:strRef>
              <c:f>S_plus!$AP$1</c:f>
              <c:strCache>
                <c:ptCount val="1"/>
                <c:pt idx="0">
                  <c:v>Sim30</c:v>
                </c:pt>
              </c:strCache>
            </c:strRef>
          </c:tx>
          <c:marker>
            <c:symbol val="none"/>
          </c:marker>
          <c:xVal>
            <c:numRef>
              <c:f>S_plus!$L$2:$L$102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S_plus!$AP$2:$AP$102</c:f>
              <c:numCache>
                <c:formatCode>General</c:formatCode>
                <c:ptCount val="101"/>
                <c:pt idx="0">
                  <c:v>100</c:v>
                </c:pt>
                <c:pt idx="1">
                  <c:v>99.691157134299999</c:v>
                </c:pt>
                <c:pt idx="2">
                  <c:v>97.678598376500005</c:v>
                </c:pt>
                <c:pt idx="3">
                  <c:v>94.793110575200004</c:v>
                </c:pt>
                <c:pt idx="4">
                  <c:v>95.878878091800004</c:v>
                </c:pt>
                <c:pt idx="5">
                  <c:v>98.605597108300003</c:v>
                </c:pt>
                <c:pt idx="6">
                  <c:v>93.457517495800005</c:v>
                </c:pt>
                <c:pt idx="7">
                  <c:v>95.572505779899998</c:v>
                </c:pt>
                <c:pt idx="8">
                  <c:v>95.646976829600007</c:v>
                </c:pt>
                <c:pt idx="9">
                  <c:v>95.190185432199996</c:v>
                </c:pt>
                <c:pt idx="10">
                  <c:v>96.982680802100006</c:v>
                </c:pt>
                <c:pt idx="11">
                  <c:v>102.584970508</c:v>
                </c:pt>
                <c:pt idx="12">
                  <c:v>103.21571215900001</c:v>
                </c:pt>
                <c:pt idx="13">
                  <c:v>99.629556550199993</c:v>
                </c:pt>
                <c:pt idx="14">
                  <c:v>100.60243780899999</c:v>
                </c:pt>
                <c:pt idx="15">
                  <c:v>101.12735484300001</c:v>
                </c:pt>
                <c:pt idx="16">
                  <c:v>97.818782671899996</c:v>
                </c:pt>
                <c:pt idx="17">
                  <c:v>98.207899160300002</c:v>
                </c:pt>
                <c:pt idx="18">
                  <c:v>95.942475550500006</c:v>
                </c:pt>
                <c:pt idx="19">
                  <c:v>97.531083056200004</c:v>
                </c:pt>
                <c:pt idx="20">
                  <c:v>93.3542361895</c:v>
                </c:pt>
                <c:pt idx="21">
                  <c:v>93.278399891099994</c:v>
                </c:pt>
                <c:pt idx="22">
                  <c:v>93.932512216500001</c:v>
                </c:pt>
                <c:pt idx="23">
                  <c:v>94.1059575548</c:v>
                </c:pt>
                <c:pt idx="24">
                  <c:v>94.196277412300006</c:v>
                </c:pt>
                <c:pt idx="25">
                  <c:v>94.909575253499995</c:v>
                </c:pt>
                <c:pt idx="26">
                  <c:v>96.626418973400007</c:v>
                </c:pt>
                <c:pt idx="27">
                  <c:v>96.044142495700001</c:v>
                </c:pt>
                <c:pt idx="28">
                  <c:v>95.076568522000002</c:v>
                </c:pt>
                <c:pt idx="29">
                  <c:v>90.016072334300006</c:v>
                </c:pt>
                <c:pt idx="30">
                  <c:v>87.502134436399999</c:v>
                </c:pt>
                <c:pt idx="31">
                  <c:v>89.335060296099996</c:v>
                </c:pt>
                <c:pt idx="32">
                  <c:v>87.913635238599994</c:v>
                </c:pt>
                <c:pt idx="33">
                  <c:v>87.345313104699997</c:v>
                </c:pt>
                <c:pt idx="34">
                  <c:v>89.440680464099998</c:v>
                </c:pt>
                <c:pt idx="35">
                  <c:v>86.863743889999995</c:v>
                </c:pt>
                <c:pt idx="36">
                  <c:v>90.200735420900003</c:v>
                </c:pt>
                <c:pt idx="37">
                  <c:v>87.602731153700006</c:v>
                </c:pt>
                <c:pt idx="38">
                  <c:v>87.327759837900004</c:v>
                </c:pt>
                <c:pt idx="39">
                  <c:v>86.370614008999993</c:v>
                </c:pt>
                <c:pt idx="40">
                  <c:v>82.042273788100005</c:v>
                </c:pt>
                <c:pt idx="41">
                  <c:v>79.989307995199994</c:v>
                </c:pt>
                <c:pt idx="42">
                  <c:v>80.291471233699994</c:v>
                </c:pt>
                <c:pt idx="43">
                  <c:v>78.896515471100003</c:v>
                </c:pt>
                <c:pt idx="44">
                  <c:v>78.746553188199996</c:v>
                </c:pt>
                <c:pt idx="45">
                  <c:v>81.031807572299996</c:v>
                </c:pt>
                <c:pt idx="46">
                  <c:v>78.928513219999999</c:v>
                </c:pt>
                <c:pt idx="47">
                  <c:v>79.837254783500001</c:v>
                </c:pt>
                <c:pt idx="48">
                  <c:v>82.459185731800005</c:v>
                </c:pt>
                <c:pt idx="49">
                  <c:v>81.314218155899994</c:v>
                </c:pt>
                <c:pt idx="50">
                  <c:v>84.744689136900007</c:v>
                </c:pt>
                <c:pt idx="51">
                  <c:v>87.161291480399996</c:v>
                </c:pt>
                <c:pt idx="52">
                  <c:v>84.212133173200002</c:v>
                </c:pt>
                <c:pt idx="53">
                  <c:v>86.924810961600002</c:v>
                </c:pt>
                <c:pt idx="54">
                  <c:v>90.330045467299996</c:v>
                </c:pt>
                <c:pt idx="55">
                  <c:v>87.845705401900005</c:v>
                </c:pt>
                <c:pt idx="56">
                  <c:v>87.966664456700002</c:v>
                </c:pt>
                <c:pt idx="57">
                  <c:v>85.901900713900005</c:v>
                </c:pt>
                <c:pt idx="58">
                  <c:v>84.145789344899995</c:v>
                </c:pt>
                <c:pt idx="59">
                  <c:v>85.076330847700007</c:v>
                </c:pt>
                <c:pt idx="60">
                  <c:v>86.154026935199994</c:v>
                </c:pt>
                <c:pt idx="61">
                  <c:v>84.639360363999998</c:v>
                </c:pt>
                <c:pt idx="62">
                  <c:v>82.909433822400004</c:v>
                </c:pt>
                <c:pt idx="63">
                  <c:v>84.579216507300004</c:v>
                </c:pt>
                <c:pt idx="64">
                  <c:v>83.876762277200001</c:v>
                </c:pt>
                <c:pt idx="65">
                  <c:v>86.549053299500002</c:v>
                </c:pt>
                <c:pt idx="66">
                  <c:v>89.032094596099995</c:v>
                </c:pt>
                <c:pt idx="67">
                  <c:v>88.918522823299995</c:v>
                </c:pt>
                <c:pt idx="68">
                  <c:v>90.408035025100006</c:v>
                </c:pt>
                <c:pt idx="69">
                  <c:v>91.049800340900006</c:v>
                </c:pt>
                <c:pt idx="70">
                  <c:v>92.903610758300005</c:v>
                </c:pt>
                <c:pt idx="71">
                  <c:v>92.120951794500002</c:v>
                </c:pt>
                <c:pt idx="72">
                  <c:v>91.499065358099998</c:v>
                </c:pt>
                <c:pt idx="73">
                  <c:v>93.853161068700004</c:v>
                </c:pt>
                <c:pt idx="74">
                  <c:v>95.456065562700005</c:v>
                </c:pt>
                <c:pt idx="75">
                  <c:v>94.102394241699997</c:v>
                </c:pt>
                <c:pt idx="76">
                  <c:v>94.1322585745</c:v>
                </c:pt>
                <c:pt idx="77">
                  <c:v>97.158064046000007</c:v>
                </c:pt>
                <c:pt idx="78">
                  <c:v>97.601760397600003</c:v>
                </c:pt>
                <c:pt idx="79">
                  <c:v>100.951369355</c:v>
                </c:pt>
                <c:pt idx="80">
                  <c:v>102.37588812200001</c:v>
                </c:pt>
                <c:pt idx="81">
                  <c:v>100.26150027200001</c:v>
                </c:pt>
                <c:pt idx="82">
                  <c:v>98.935966819399994</c:v>
                </c:pt>
                <c:pt idx="83">
                  <c:v>99.332588060299997</c:v>
                </c:pt>
                <c:pt idx="84">
                  <c:v>100.32123278100001</c:v>
                </c:pt>
                <c:pt idx="85">
                  <c:v>99.929789172</c:v>
                </c:pt>
                <c:pt idx="86">
                  <c:v>98.429965110400005</c:v>
                </c:pt>
                <c:pt idx="87">
                  <c:v>96.490139567200004</c:v>
                </c:pt>
                <c:pt idx="88">
                  <c:v>96.194973027299994</c:v>
                </c:pt>
                <c:pt idx="89">
                  <c:v>100.09156996999999</c:v>
                </c:pt>
                <c:pt idx="90">
                  <c:v>100.07333373199999</c:v>
                </c:pt>
                <c:pt idx="91">
                  <c:v>96.191659829900004</c:v>
                </c:pt>
                <c:pt idx="92">
                  <c:v>96.332669921199994</c:v>
                </c:pt>
                <c:pt idx="93">
                  <c:v>94.333126574700003</c:v>
                </c:pt>
                <c:pt idx="94">
                  <c:v>98.482205829400002</c:v>
                </c:pt>
                <c:pt idx="95">
                  <c:v>94.927734899300006</c:v>
                </c:pt>
                <c:pt idx="96">
                  <c:v>91.8065047953</c:v>
                </c:pt>
                <c:pt idx="97">
                  <c:v>92.026125318400005</c:v>
                </c:pt>
                <c:pt idx="98">
                  <c:v>91.696327835100007</c:v>
                </c:pt>
                <c:pt idx="99">
                  <c:v>91.5754821007</c:v>
                </c:pt>
                <c:pt idx="100">
                  <c:v>93.0575334177</c:v>
                </c:pt>
              </c:numCache>
            </c:numRef>
          </c:yVal>
          <c:smooth val="1"/>
        </c:ser>
        <c:ser>
          <c:idx val="30"/>
          <c:order val="30"/>
          <c:tx>
            <c:strRef>
              <c:f>S_plus!$AQ$1</c:f>
              <c:strCache>
                <c:ptCount val="1"/>
                <c:pt idx="0">
                  <c:v>Sim31</c:v>
                </c:pt>
              </c:strCache>
            </c:strRef>
          </c:tx>
          <c:marker>
            <c:symbol val="none"/>
          </c:marker>
          <c:xVal>
            <c:numRef>
              <c:f>S_plus!$L$2:$L$102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S_plus!$AQ$2:$AQ$102</c:f>
              <c:numCache>
                <c:formatCode>General</c:formatCode>
                <c:ptCount val="101"/>
                <c:pt idx="0">
                  <c:v>100</c:v>
                </c:pt>
                <c:pt idx="1">
                  <c:v>97.279759718899996</c:v>
                </c:pt>
                <c:pt idx="2">
                  <c:v>95.181798400100007</c:v>
                </c:pt>
                <c:pt idx="3">
                  <c:v>99.015120187400001</c:v>
                </c:pt>
                <c:pt idx="4">
                  <c:v>97.326193513199996</c:v>
                </c:pt>
                <c:pt idx="5">
                  <c:v>99.8642624023</c:v>
                </c:pt>
                <c:pt idx="6">
                  <c:v>102.958749707</c:v>
                </c:pt>
                <c:pt idx="7">
                  <c:v>103.02412898199999</c:v>
                </c:pt>
                <c:pt idx="8">
                  <c:v>100.080325577</c:v>
                </c:pt>
                <c:pt idx="9">
                  <c:v>96.876389610299995</c:v>
                </c:pt>
                <c:pt idx="10">
                  <c:v>95.735384357300006</c:v>
                </c:pt>
                <c:pt idx="11">
                  <c:v>95.800892073399993</c:v>
                </c:pt>
                <c:pt idx="12">
                  <c:v>93.297262002799997</c:v>
                </c:pt>
                <c:pt idx="13">
                  <c:v>95.524058316400001</c:v>
                </c:pt>
                <c:pt idx="14">
                  <c:v>97.415403283399996</c:v>
                </c:pt>
                <c:pt idx="15">
                  <c:v>98.254387415699995</c:v>
                </c:pt>
                <c:pt idx="16">
                  <c:v>100.27784879399999</c:v>
                </c:pt>
                <c:pt idx="17">
                  <c:v>101.549715269</c:v>
                </c:pt>
                <c:pt idx="18">
                  <c:v>101.80688221299999</c:v>
                </c:pt>
                <c:pt idx="19">
                  <c:v>101.220370308</c:v>
                </c:pt>
                <c:pt idx="20">
                  <c:v>101.06892048100001</c:v>
                </c:pt>
                <c:pt idx="21">
                  <c:v>100.389286775</c:v>
                </c:pt>
                <c:pt idx="22">
                  <c:v>100.67847498499999</c:v>
                </c:pt>
                <c:pt idx="23">
                  <c:v>103.059872322</c:v>
                </c:pt>
                <c:pt idx="24">
                  <c:v>103.82479259</c:v>
                </c:pt>
                <c:pt idx="25">
                  <c:v>101.725829421</c:v>
                </c:pt>
                <c:pt idx="26">
                  <c:v>101.16280336600001</c:v>
                </c:pt>
                <c:pt idx="27">
                  <c:v>97.757668879199997</c:v>
                </c:pt>
                <c:pt idx="28">
                  <c:v>98.064835243900006</c:v>
                </c:pt>
                <c:pt idx="29">
                  <c:v>98.907195182600006</c:v>
                </c:pt>
                <c:pt idx="30">
                  <c:v>99.1941476266</c:v>
                </c:pt>
                <c:pt idx="31">
                  <c:v>100.54407205</c:v>
                </c:pt>
                <c:pt idx="32">
                  <c:v>97.372097064800002</c:v>
                </c:pt>
                <c:pt idx="33">
                  <c:v>98.202702296200002</c:v>
                </c:pt>
                <c:pt idx="34">
                  <c:v>98.061503086399995</c:v>
                </c:pt>
                <c:pt idx="35">
                  <c:v>98.725580809299998</c:v>
                </c:pt>
                <c:pt idx="36">
                  <c:v>98.528901198599996</c:v>
                </c:pt>
                <c:pt idx="37">
                  <c:v>97.703044899800005</c:v>
                </c:pt>
                <c:pt idx="38">
                  <c:v>97.548008870900006</c:v>
                </c:pt>
                <c:pt idx="39">
                  <c:v>94.911973349700006</c:v>
                </c:pt>
                <c:pt idx="40">
                  <c:v>96.701955985699996</c:v>
                </c:pt>
                <c:pt idx="41">
                  <c:v>98.904605640699998</c:v>
                </c:pt>
                <c:pt idx="42">
                  <c:v>100.725273589</c:v>
                </c:pt>
                <c:pt idx="43">
                  <c:v>105.042778807</c:v>
                </c:pt>
                <c:pt idx="44">
                  <c:v>104.764099535</c:v>
                </c:pt>
                <c:pt idx="45">
                  <c:v>105.085468945</c:v>
                </c:pt>
                <c:pt idx="46">
                  <c:v>109.23195898900001</c:v>
                </c:pt>
                <c:pt idx="47">
                  <c:v>110.170864893</c:v>
                </c:pt>
                <c:pt idx="48">
                  <c:v>112.133424179</c:v>
                </c:pt>
                <c:pt idx="49">
                  <c:v>115.253822973</c:v>
                </c:pt>
                <c:pt idx="50">
                  <c:v>116.283330507</c:v>
                </c:pt>
                <c:pt idx="51">
                  <c:v>112.783986798</c:v>
                </c:pt>
                <c:pt idx="52">
                  <c:v>116.225791054</c:v>
                </c:pt>
                <c:pt idx="53">
                  <c:v>116.55154199899999</c:v>
                </c:pt>
                <c:pt idx="54">
                  <c:v>119.382944091</c:v>
                </c:pt>
                <c:pt idx="55">
                  <c:v>120.41952362000001</c:v>
                </c:pt>
                <c:pt idx="56">
                  <c:v>123.773954899</c:v>
                </c:pt>
                <c:pt idx="57">
                  <c:v>123.085077743</c:v>
                </c:pt>
                <c:pt idx="58">
                  <c:v>125.369587968</c:v>
                </c:pt>
                <c:pt idx="59">
                  <c:v>120.579384953</c:v>
                </c:pt>
                <c:pt idx="60">
                  <c:v>120.35609266500001</c:v>
                </c:pt>
                <c:pt idx="61">
                  <c:v>117.07930390200001</c:v>
                </c:pt>
                <c:pt idx="62">
                  <c:v>116.251359992</c:v>
                </c:pt>
                <c:pt idx="63">
                  <c:v>116.530593031</c:v>
                </c:pt>
                <c:pt idx="64">
                  <c:v>117.460661676</c:v>
                </c:pt>
                <c:pt idx="65">
                  <c:v>115.71879865</c:v>
                </c:pt>
                <c:pt idx="66">
                  <c:v>116.58400094700001</c:v>
                </c:pt>
                <c:pt idx="67">
                  <c:v>114.943560992</c:v>
                </c:pt>
                <c:pt idx="68">
                  <c:v>115.910317929</c:v>
                </c:pt>
                <c:pt idx="69">
                  <c:v>118.306494192</c:v>
                </c:pt>
                <c:pt idx="70">
                  <c:v>115.917607656</c:v>
                </c:pt>
                <c:pt idx="71">
                  <c:v>117.05567067299999</c:v>
                </c:pt>
                <c:pt idx="72">
                  <c:v>115.714897513</c:v>
                </c:pt>
                <c:pt idx="73">
                  <c:v>116.749764337</c:v>
                </c:pt>
                <c:pt idx="74">
                  <c:v>114.66399520900001</c:v>
                </c:pt>
                <c:pt idx="75">
                  <c:v>116.576731008</c:v>
                </c:pt>
                <c:pt idx="76">
                  <c:v>113.611704942</c:v>
                </c:pt>
                <c:pt idx="77">
                  <c:v>112.899083296</c:v>
                </c:pt>
                <c:pt idx="78">
                  <c:v>113.22593026</c:v>
                </c:pt>
                <c:pt idx="79">
                  <c:v>117.702031039</c:v>
                </c:pt>
                <c:pt idx="80">
                  <c:v>116.783268947</c:v>
                </c:pt>
                <c:pt idx="81">
                  <c:v>117.253101521</c:v>
                </c:pt>
                <c:pt idx="82">
                  <c:v>113.612674615</c:v>
                </c:pt>
                <c:pt idx="83">
                  <c:v>112.61742884900001</c:v>
                </c:pt>
                <c:pt idx="84">
                  <c:v>111.331988266</c:v>
                </c:pt>
                <c:pt idx="85">
                  <c:v>113.468127095</c:v>
                </c:pt>
                <c:pt idx="86">
                  <c:v>116.710770098</c:v>
                </c:pt>
                <c:pt idx="87">
                  <c:v>117.43673868099999</c:v>
                </c:pt>
                <c:pt idx="88">
                  <c:v>114.97571751</c:v>
                </c:pt>
                <c:pt idx="89">
                  <c:v>114.889094159</c:v>
                </c:pt>
                <c:pt idx="90">
                  <c:v>115.585990581</c:v>
                </c:pt>
                <c:pt idx="91">
                  <c:v>115.15118167999999</c:v>
                </c:pt>
                <c:pt idx="92">
                  <c:v>114.34742489600001</c:v>
                </c:pt>
                <c:pt idx="93">
                  <c:v>112.16072953299999</c:v>
                </c:pt>
                <c:pt idx="94">
                  <c:v>110.795522162</c:v>
                </c:pt>
                <c:pt idx="95">
                  <c:v>111.33287496</c:v>
                </c:pt>
                <c:pt idx="96">
                  <c:v>110.909125656</c:v>
                </c:pt>
                <c:pt idx="97">
                  <c:v>109.068442558</c:v>
                </c:pt>
                <c:pt idx="98">
                  <c:v>108.948323014</c:v>
                </c:pt>
                <c:pt idx="99">
                  <c:v>109.193937729</c:v>
                </c:pt>
                <c:pt idx="100">
                  <c:v>109.270887182</c:v>
                </c:pt>
              </c:numCache>
            </c:numRef>
          </c:yVal>
          <c:smooth val="1"/>
        </c:ser>
        <c:ser>
          <c:idx val="31"/>
          <c:order val="31"/>
          <c:tx>
            <c:strRef>
              <c:f>S_plus!$AR$1</c:f>
              <c:strCache>
                <c:ptCount val="1"/>
                <c:pt idx="0">
                  <c:v>Sim32</c:v>
                </c:pt>
              </c:strCache>
            </c:strRef>
          </c:tx>
          <c:marker>
            <c:symbol val="none"/>
          </c:marker>
          <c:xVal>
            <c:numRef>
              <c:f>S_plus!$L$2:$L$102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S_plus!$AR$2:$AR$102</c:f>
              <c:numCache>
                <c:formatCode>General</c:formatCode>
                <c:ptCount val="101"/>
                <c:pt idx="0">
                  <c:v>100</c:v>
                </c:pt>
                <c:pt idx="1">
                  <c:v>99.6044129191</c:v>
                </c:pt>
                <c:pt idx="2">
                  <c:v>100.960099289</c:v>
                </c:pt>
                <c:pt idx="3">
                  <c:v>103.79855164200001</c:v>
                </c:pt>
                <c:pt idx="4">
                  <c:v>102.028996703</c:v>
                </c:pt>
                <c:pt idx="5">
                  <c:v>102.758590095</c:v>
                </c:pt>
                <c:pt idx="6">
                  <c:v>103.154123704</c:v>
                </c:pt>
                <c:pt idx="7">
                  <c:v>100.99542264999999</c:v>
                </c:pt>
                <c:pt idx="8">
                  <c:v>102.989144289</c:v>
                </c:pt>
                <c:pt idx="9">
                  <c:v>101.994401844</c:v>
                </c:pt>
                <c:pt idx="10">
                  <c:v>100.916914679</c:v>
                </c:pt>
                <c:pt idx="11">
                  <c:v>100.12756971899999</c:v>
                </c:pt>
                <c:pt idx="12">
                  <c:v>100.291570323</c:v>
                </c:pt>
                <c:pt idx="13">
                  <c:v>99.525658041200003</c:v>
                </c:pt>
                <c:pt idx="14">
                  <c:v>96.302086169500001</c:v>
                </c:pt>
                <c:pt idx="15">
                  <c:v>95.677096262000006</c:v>
                </c:pt>
                <c:pt idx="16">
                  <c:v>95.715192264400002</c:v>
                </c:pt>
                <c:pt idx="17">
                  <c:v>99.107325311300002</c:v>
                </c:pt>
                <c:pt idx="18">
                  <c:v>99.072801739900001</c:v>
                </c:pt>
                <c:pt idx="19">
                  <c:v>101.015331433</c:v>
                </c:pt>
                <c:pt idx="20">
                  <c:v>99.903675129800007</c:v>
                </c:pt>
                <c:pt idx="21">
                  <c:v>99.097516517100004</c:v>
                </c:pt>
                <c:pt idx="22">
                  <c:v>97.519629802699995</c:v>
                </c:pt>
                <c:pt idx="23">
                  <c:v>98.385540390599999</c:v>
                </c:pt>
                <c:pt idx="24">
                  <c:v>100.553761963</c:v>
                </c:pt>
                <c:pt idx="25">
                  <c:v>103.665944536</c:v>
                </c:pt>
                <c:pt idx="26">
                  <c:v>101.884920849</c:v>
                </c:pt>
                <c:pt idx="27">
                  <c:v>105.798664815</c:v>
                </c:pt>
                <c:pt idx="28">
                  <c:v>107.40288188300001</c:v>
                </c:pt>
                <c:pt idx="29">
                  <c:v>106.678881266</c:v>
                </c:pt>
                <c:pt idx="30">
                  <c:v>105.918238766</c:v>
                </c:pt>
                <c:pt idx="31">
                  <c:v>106.53247791299999</c:v>
                </c:pt>
                <c:pt idx="32">
                  <c:v>108.19488415399999</c:v>
                </c:pt>
                <c:pt idx="33">
                  <c:v>104.36585767299999</c:v>
                </c:pt>
                <c:pt idx="34">
                  <c:v>102.969454043</c:v>
                </c:pt>
                <c:pt idx="35">
                  <c:v>104.682735988</c:v>
                </c:pt>
                <c:pt idx="36">
                  <c:v>102.044841908</c:v>
                </c:pt>
                <c:pt idx="37">
                  <c:v>99.457621184399997</c:v>
                </c:pt>
                <c:pt idx="38">
                  <c:v>98.5878195409</c:v>
                </c:pt>
                <c:pt idx="39">
                  <c:v>98.206956959699994</c:v>
                </c:pt>
                <c:pt idx="40">
                  <c:v>99.550517077500004</c:v>
                </c:pt>
                <c:pt idx="41">
                  <c:v>97.020135222099995</c:v>
                </c:pt>
                <c:pt idx="42">
                  <c:v>98.343744090000001</c:v>
                </c:pt>
                <c:pt idx="43">
                  <c:v>98.667072270199995</c:v>
                </c:pt>
                <c:pt idx="44">
                  <c:v>100.46065959800001</c:v>
                </c:pt>
                <c:pt idx="45">
                  <c:v>101.10952569600001</c:v>
                </c:pt>
                <c:pt idx="46">
                  <c:v>97.513758060599997</c:v>
                </c:pt>
                <c:pt idx="47">
                  <c:v>99.351074967000002</c:v>
                </c:pt>
                <c:pt idx="48">
                  <c:v>99.374155228899994</c:v>
                </c:pt>
                <c:pt idx="49">
                  <c:v>99.672615879600002</c:v>
                </c:pt>
                <c:pt idx="50">
                  <c:v>97.039067837999994</c:v>
                </c:pt>
                <c:pt idx="51">
                  <c:v>96.789856003099999</c:v>
                </c:pt>
                <c:pt idx="52">
                  <c:v>94.860100790800004</c:v>
                </c:pt>
                <c:pt idx="53">
                  <c:v>95.267813079000007</c:v>
                </c:pt>
                <c:pt idx="54">
                  <c:v>98.854143619699997</c:v>
                </c:pt>
                <c:pt idx="55">
                  <c:v>95.199076558300007</c:v>
                </c:pt>
                <c:pt idx="56">
                  <c:v>94.191981181700001</c:v>
                </c:pt>
                <c:pt idx="57">
                  <c:v>96.685929484200003</c:v>
                </c:pt>
                <c:pt idx="58">
                  <c:v>97.7034540999</c:v>
                </c:pt>
                <c:pt idx="59">
                  <c:v>96.769297645400002</c:v>
                </c:pt>
                <c:pt idx="60">
                  <c:v>99.799910917700004</c:v>
                </c:pt>
                <c:pt idx="61">
                  <c:v>100.097253389</c:v>
                </c:pt>
                <c:pt idx="62">
                  <c:v>97.863184451799995</c:v>
                </c:pt>
                <c:pt idx="63">
                  <c:v>99.061094301599994</c:v>
                </c:pt>
                <c:pt idx="64">
                  <c:v>96.878801923099999</c:v>
                </c:pt>
                <c:pt idx="65">
                  <c:v>98.485723445299996</c:v>
                </c:pt>
                <c:pt idx="66">
                  <c:v>99.469834052400003</c:v>
                </c:pt>
                <c:pt idx="67">
                  <c:v>101.211832689</c:v>
                </c:pt>
                <c:pt idx="68">
                  <c:v>101.352897642</c:v>
                </c:pt>
                <c:pt idx="69">
                  <c:v>104.372232142</c:v>
                </c:pt>
                <c:pt idx="70">
                  <c:v>105.934428324</c:v>
                </c:pt>
                <c:pt idx="71">
                  <c:v>105.38322682499999</c:v>
                </c:pt>
                <c:pt idx="72">
                  <c:v>104.90911314</c:v>
                </c:pt>
                <c:pt idx="73">
                  <c:v>103.63133339399999</c:v>
                </c:pt>
                <c:pt idx="74">
                  <c:v>102.457490445</c:v>
                </c:pt>
                <c:pt idx="75">
                  <c:v>101.978842402</c:v>
                </c:pt>
                <c:pt idx="76">
                  <c:v>101.315243385</c:v>
                </c:pt>
                <c:pt idx="77">
                  <c:v>104.272452825</c:v>
                </c:pt>
                <c:pt idx="78">
                  <c:v>106.303554289</c:v>
                </c:pt>
                <c:pt idx="79">
                  <c:v>103.946363409</c:v>
                </c:pt>
                <c:pt idx="80">
                  <c:v>102.07808433300001</c:v>
                </c:pt>
                <c:pt idx="81">
                  <c:v>100.411709661</c:v>
                </c:pt>
                <c:pt idx="82">
                  <c:v>99.644112938600003</c:v>
                </c:pt>
                <c:pt idx="83">
                  <c:v>99.750273525300003</c:v>
                </c:pt>
                <c:pt idx="84">
                  <c:v>98.799353091900002</c:v>
                </c:pt>
                <c:pt idx="85">
                  <c:v>97.668400179200006</c:v>
                </c:pt>
                <c:pt idx="86">
                  <c:v>96.055003709900006</c:v>
                </c:pt>
                <c:pt idx="87">
                  <c:v>93.033426942800006</c:v>
                </c:pt>
                <c:pt idx="88">
                  <c:v>92.722835655200001</c:v>
                </c:pt>
                <c:pt idx="89">
                  <c:v>93.812713531399993</c:v>
                </c:pt>
                <c:pt idx="90">
                  <c:v>95.501830348499993</c:v>
                </c:pt>
                <c:pt idx="91">
                  <c:v>94.200412411399995</c:v>
                </c:pt>
                <c:pt idx="92">
                  <c:v>95.985454448900001</c:v>
                </c:pt>
                <c:pt idx="93">
                  <c:v>97.700266437300002</c:v>
                </c:pt>
                <c:pt idx="94">
                  <c:v>98.811058143400004</c:v>
                </c:pt>
                <c:pt idx="95">
                  <c:v>94.940442281299994</c:v>
                </c:pt>
                <c:pt idx="96">
                  <c:v>93.524368023299999</c:v>
                </c:pt>
                <c:pt idx="97">
                  <c:v>95.068004161000005</c:v>
                </c:pt>
                <c:pt idx="98">
                  <c:v>92.343956007800003</c:v>
                </c:pt>
                <c:pt idx="99">
                  <c:v>93.215633670000003</c:v>
                </c:pt>
                <c:pt idx="100">
                  <c:v>89.743163913299995</c:v>
                </c:pt>
              </c:numCache>
            </c:numRef>
          </c:yVal>
          <c:smooth val="1"/>
        </c:ser>
        <c:ser>
          <c:idx val="32"/>
          <c:order val="32"/>
          <c:tx>
            <c:strRef>
              <c:f>S_plus!$AS$1</c:f>
              <c:strCache>
                <c:ptCount val="1"/>
                <c:pt idx="0">
                  <c:v>Sim33</c:v>
                </c:pt>
              </c:strCache>
            </c:strRef>
          </c:tx>
          <c:marker>
            <c:symbol val="none"/>
          </c:marker>
          <c:xVal>
            <c:numRef>
              <c:f>S_plus!$L$2:$L$102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S_plus!$AS$2:$AS$102</c:f>
              <c:numCache>
                <c:formatCode>General</c:formatCode>
                <c:ptCount val="101"/>
                <c:pt idx="0">
                  <c:v>100</c:v>
                </c:pt>
                <c:pt idx="1">
                  <c:v>102.63198522499999</c:v>
                </c:pt>
                <c:pt idx="2">
                  <c:v>101.55949440000001</c:v>
                </c:pt>
                <c:pt idx="3">
                  <c:v>98.442837191300001</c:v>
                </c:pt>
                <c:pt idx="4">
                  <c:v>95.987245830700004</c:v>
                </c:pt>
                <c:pt idx="5">
                  <c:v>99.325385627299994</c:v>
                </c:pt>
                <c:pt idx="6">
                  <c:v>103.194715312</c:v>
                </c:pt>
                <c:pt idx="7">
                  <c:v>103.73039418099999</c:v>
                </c:pt>
                <c:pt idx="8">
                  <c:v>104.456145565</c:v>
                </c:pt>
                <c:pt idx="9">
                  <c:v>105.599038112</c:v>
                </c:pt>
                <c:pt idx="10">
                  <c:v>104.270752316</c:v>
                </c:pt>
                <c:pt idx="11">
                  <c:v>108.947097232</c:v>
                </c:pt>
                <c:pt idx="12">
                  <c:v>107.264080392</c:v>
                </c:pt>
                <c:pt idx="13">
                  <c:v>107.383508331</c:v>
                </c:pt>
                <c:pt idx="14">
                  <c:v>109.19753066600001</c:v>
                </c:pt>
                <c:pt idx="15">
                  <c:v>110.282756601</c:v>
                </c:pt>
                <c:pt idx="16">
                  <c:v>112.778649077</c:v>
                </c:pt>
                <c:pt idx="17">
                  <c:v>110.90414969699999</c:v>
                </c:pt>
                <c:pt idx="18">
                  <c:v>111.532717881</c:v>
                </c:pt>
                <c:pt idx="19">
                  <c:v>117.590643762</c:v>
                </c:pt>
                <c:pt idx="20">
                  <c:v>118.80859810299999</c:v>
                </c:pt>
                <c:pt idx="21">
                  <c:v>122.136549515</c:v>
                </c:pt>
                <c:pt idx="22">
                  <c:v>125.01647204</c:v>
                </c:pt>
                <c:pt idx="23">
                  <c:v>122.11327322699999</c:v>
                </c:pt>
                <c:pt idx="24">
                  <c:v>118.360423252</c:v>
                </c:pt>
                <c:pt idx="25">
                  <c:v>118.705437076</c:v>
                </c:pt>
                <c:pt idx="26">
                  <c:v>120.810901894</c:v>
                </c:pt>
                <c:pt idx="27">
                  <c:v>122.058647142</c:v>
                </c:pt>
                <c:pt idx="28">
                  <c:v>120.66852453</c:v>
                </c:pt>
                <c:pt idx="29">
                  <c:v>120.226918509</c:v>
                </c:pt>
                <c:pt idx="30">
                  <c:v>120.754214198</c:v>
                </c:pt>
                <c:pt idx="31">
                  <c:v>117.53509027699999</c:v>
                </c:pt>
                <c:pt idx="32">
                  <c:v>113.573481695</c:v>
                </c:pt>
                <c:pt idx="33">
                  <c:v>109.481961438</c:v>
                </c:pt>
                <c:pt idx="34">
                  <c:v>111.10213096699999</c:v>
                </c:pt>
                <c:pt idx="35">
                  <c:v>113.35368133599999</c:v>
                </c:pt>
                <c:pt idx="36">
                  <c:v>114.022655797</c:v>
                </c:pt>
                <c:pt idx="37">
                  <c:v>117.726681251</c:v>
                </c:pt>
                <c:pt idx="38">
                  <c:v>115.41423234</c:v>
                </c:pt>
                <c:pt idx="39">
                  <c:v>116.990550133</c:v>
                </c:pt>
                <c:pt idx="40">
                  <c:v>119.91437593800001</c:v>
                </c:pt>
                <c:pt idx="41">
                  <c:v>117.29375726799999</c:v>
                </c:pt>
                <c:pt idx="42">
                  <c:v>118.49773168</c:v>
                </c:pt>
                <c:pt idx="43">
                  <c:v>116.8110889</c:v>
                </c:pt>
                <c:pt idx="44">
                  <c:v>114.966545356</c:v>
                </c:pt>
                <c:pt idx="45">
                  <c:v>117.713720481</c:v>
                </c:pt>
                <c:pt idx="46">
                  <c:v>116.985596946</c:v>
                </c:pt>
                <c:pt idx="47">
                  <c:v>117.600600759</c:v>
                </c:pt>
                <c:pt idx="48">
                  <c:v>116.841078733</c:v>
                </c:pt>
                <c:pt idx="49">
                  <c:v>117.611562972</c:v>
                </c:pt>
                <c:pt idx="50">
                  <c:v>122.790324673</c:v>
                </c:pt>
                <c:pt idx="51">
                  <c:v>118.830629919</c:v>
                </c:pt>
                <c:pt idx="52">
                  <c:v>120.071128296</c:v>
                </c:pt>
                <c:pt idx="53">
                  <c:v>122.58541858</c:v>
                </c:pt>
                <c:pt idx="54">
                  <c:v>123.732275516</c:v>
                </c:pt>
                <c:pt idx="55">
                  <c:v>122.29202507399999</c:v>
                </c:pt>
                <c:pt idx="56">
                  <c:v>121.850660867</c:v>
                </c:pt>
                <c:pt idx="57">
                  <c:v>127.675496745</c:v>
                </c:pt>
                <c:pt idx="58">
                  <c:v>126.45628601</c:v>
                </c:pt>
                <c:pt idx="59">
                  <c:v>130.94570653299999</c:v>
                </c:pt>
                <c:pt idx="60">
                  <c:v>130.79812083600001</c:v>
                </c:pt>
                <c:pt idx="61">
                  <c:v>128.988683716</c:v>
                </c:pt>
                <c:pt idx="62">
                  <c:v>125.216079608</c:v>
                </c:pt>
                <c:pt idx="63">
                  <c:v>130.19267200300001</c:v>
                </c:pt>
                <c:pt idx="64">
                  <c:v>127.96514565299999</c:v>
                </c:pt>
                <c:pt idx="65">
                  <c:v>130.556460039</c:v>
                </c:pt>
                <c:pt idx="66">
                  <c:v>132.54582180099999</c:v>
                </c:pt>
                <c:pt idx="67">
                  <c:v>134.403382956</c:v>
                </c:pt>
                <c:pt idx="68">
                  <c:v>138.13588169600001</c:v>
                </c:pt>
                <c:pt idx="69">
                  <c:v>137.354019123</c:v>
                </c:pt>
                <c:pt idx="70">
                  <c:v>139.28650087299999</c:v>
                </c:pt>
                <c:pt idx="71">
                  <c:v>139.055435018</c:v>
                </c:pt>
                <c:pt idx="72">
                  <c:v>140.59599149900001</c:v>
                </c:pt>
                <c:pt idx="73">
                  <c:v>136.06551018100001</c:v>
                </c:pt>
                <c:pt idx="74">
                  <c:v>137.52737390499999</c:v>
                </c:pt>
                <c:pt idx="75">
                  <c:v>137.552888104</c:v>
                </c:pt>
                <c:pt idx="76">
                  <c:v>137.54677595000001</c:v>
                </c:pt>
                <c:pt idx="77">
                  <c:v>140.17268206700001</c:v>
                </c:pt>
                <c:pt idx="78">
                  <c:v>135.30050895900001</c:v>
                </c:pt>
                <c:pt idx="79">
                  <c:v>133.49244327900001</c:v>
                </c:pt>
                <c:pt idx="80">
                  <c:v>133.26276147999999</c:v>
                </c:pt>
                <c:pt idx="81">
                  <c:v>130.73966307500001</c:v>
                </c:pt>
                <c:pt idx="82">
                  <c:v>130.42336487399999</c:v>
                </c:pt>
                <c:pt idx="83">
                  <c:v>128.26796877199999</c:v>
                </c:pt>
                <c:pt idx="84">
                  <c:v>129.13106913499999</c:v>
                </c:pt>
                <c:pt idx="85">
                  <c:v>130.50515334400001</c:v>
                </c:pt>
                <c:pt idx="86">
                  <c:v>131.99524969500001</c:v>
                </c:pt>
                <c:pt idx="87">
                  <c:v>130.77696992200001</c:v>
                </c:pt>
                <c:pt idx="88">
                  <c:v>127.03035610400001</c:v>
                </c:pt>
                <c:pt idx="89">
                  <c:v>127.79280743699999</c:v>
                </c:pt>
                <c:pt idx="90">
                  <c:v>124.425813003</c:v>
                </c:pt>
                <c:pt idx="91">
                  <c:v>120.806717088</c:v>
                </c:pt>
                <c:pt idx="92">
                  <c:v>120.079851229</c:v>
                </c:pt>
                <c:pt idx="93">
                  <c:v>119.22835867400001</c:v>
                </c:pt>
                <c:pt idx="94">
                  <c:v>120.56110431899999</c:v>
                </c:pt>
                <c:pt idx="95">
                  <c:v>118.99591553899999</c:v>
                </c:pt>
                <c:pt idx="96">
                  <c:v>117.778100471</c:v>
                </c:pt>
                <c:pt idx="97">
                  <c:v>122.259787406</c:v>
                </c:pt>
                <c:pt idx="98">
                  <c:v>123.145852863</c:v>
                </c:pt>
                <c:pt idx="99">
                  <c:v>123.972365029</c:v>
                </c:pt>
                <c:pt idx="100">
                  <c:v>126.077077425</c:v>
                </c:pt>
              </c:numCache>
            </c:numRef>
          </c:yVal>
          <c:smooth val="1"/>
        </c:ser>
        <c:ser>
          <c:idx val="33"/>
          <c:order val="33"/>
          <c:tx>
            <c:strRef>
              <c:f>S_plus!$AT$1</c:f>
              <c:strCache>
                <c:ptCount val="1"/>
                <c:pt idx="0">
                  <c:v>Sim34</c:v>
                </c:pt>
              </c:strCache>
            </c:strRef>
          </c:tx>
          <c:marker>
            <c:symbol val="none"/>
          </c:marker>
          <c:xVal>
            <c:numRef>
              <c:f>S_plus!$L$2:$L$102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S_plus!$AT$2:$AT$102</c:f>
              <c:numCache>
                <c:formatCode>General</c:formatCode>
                <c:ptCount val="101"/>
                <c:pt idx="0">
                  <c:v>100</c:v>
                </c:pt>
                <c:pt idx="1">
                  <c:v>101.208132076</c:v>
                </c:pt>
                <c:pt idx="2">
                  <c:v>97.820595918600006</c:v>
                </c:pt>
                <c:pt idx="3">
                  <c:v>95.043339833000005</c:v>
                </c:pt>
                <c:pt idx="4">
                  <c:v>96.538615086500002</c:v>
                </c:pt>
                <c:pt idx="5">
                  <c:v>96.548320757300004</c:v>
                </c:pt>
                <c:pt idx="6">
                  <c:v>94.076098265100001</c:v>
                </c:pt>
                <c:pt idx="7">
                  <c:v>91.938341526499997</c:v>
                </c:pt>
                <c:pt idx="8">
                  <c:v>89.583299976700005</c:v>
                </c:pt>
                <c:pt idx="9">
                  <c:v>93.299027902800006</c:v>
                </c:pt>
                <c:pt idx="10">
                  <c:v>93.371093302800006</c:v>
                </c:pt>
                <c:pt idx="11">
                  <c:v>93.856613291800002</c:v>
                </c:pt>
                <c:pt idx="12">
                  <c:v>91.222953685500002</c:v>
                </c:pt>
                <c:pt idx="13">
                  <c:v>90.321121217400005</c:v>
                </c:pt>
                <c:pt idx="14">
                  <c:v>92.543759816800005</c:v>
                </c:pt>
                <c:pt idx="15">
                  <c:v>92.955882195000001</c:v>
                </c:pt>
                <c:pt idx="16">
                  <c:v>95.141509037099993</c:v>
                </c:pt>
                <c:pt idx="17">
                  <c:v>93.794418193599995</c:v>
                </c:pt>
                <c:pt idx="18">
                  <c:v>96.386925860100007</c:v>
                </c:pt>
                <c:pt idx="19">
                  <c:v>95.859756479799998</c:v>
                </c:pt>
                <c:pt idx="20">
                  <c:v>93.215446121699998</c:v>
                </c:pt>
                <c:pt idx="21">
                  <c:v>91.594432589299998</c:v>
                </c:pt>
                <c:pt idx="22">
                  <c:v>89.413571658400002</c:v>
                </c:pt>
                <c:pt idx="23">
                  <c:v>90.890402314100001</c:v>
                </c:pt>
                <c:pt idx="24">
                  <c:v>85.390670056199994</c:v>
                </c:pt>
                <c:pt idx="25">
                  <c:v>86.991562422399994</c:v>
                </c:pt>
                <c:pt idx="26">
                  <c:v>88.474109719300003</c:v>
                </c:pt>
                <c:pt idx="27">
                  <c:v>90.938892562600003</c:v>
                </c:pt>
                <c:pt idx="28">
                  <c:v>92.6493066922</c:v>
                </c:pt>
                <c:pt idx="29">
                  <c:v>94.127676738600002</c:v>
                </c:pt>
                <c:pt idx="30">
                  <c:v>94.474262745399997</c:v>
                </c:pt>
                <c:pt idx="31">
                  <c:v>96.220804594599997</c:v>
                </c:pt>
                <c:pt idx="32">
                  <c:v>96.829897285900003</c:v>
                </c:pt>
                <c:pt idx="33">
                  <c:v>97.098676148899997</c:v>
                </c:pt>
                <c:pt idx="34">
                  <c:v>98.194563120400005</c:v>
                </c:pt>
                <c:pt idx="35">
                  <c:v>98.883073870900006</c:v>
                </c:pt>
                <c:pt idx="36">
                  <c:v>99.379408374899995</c:v>
                </c:pt>
                <c:pt idx="37">
                  <c:v>101.012351319</c:v>
                </c:pt>
                <c:pt idx="38">
                  <c:v>100.483502055</c:v>
                </c:pt>
                <c:pt idx="39">
                  <c:v>96.774019520600007</c:v>
                </c:pt>
                <c:pt idx="40">
                  <c:v>93.244228073599999</c:v>
                </c:pt>
                <c:pt idx="41">
                  <c:v>92.311435098399997</c:v>
                </c:pt>
                <c:pt idx="42">
                  <c:v>92.852954319600002</c:v>
                </c:pt>
                <c:pt idx="43">
                  <c:v>93.604619511999999</c:v>
                </c:pt>
                <c:pt idx="44">
                  <c:v>91.421407221099997</c:v>
                </c:pt>
                <c:pt idx="45">
                  <c:v>91.298736391299997</c:v>
                </c:pt>
                <c:pt idx="46">
                  <c:v>91.555896492700001</c:v>
                </c:pt>
                <c:pt idx="47">
                  <c:v>91.117895522200001</c:v>
                </c:pt>
                <c:pt idx="48">
                  <c:v>94.880370389600003</c:v>
                </c:pt>
                <c:pt idx="49">
                  <c:v>98.302212222199998</c:v>
                </c:pt>
                <c:pt idx="50">
                  <c:v>97.0509463665</c:v>
                </c:pt>
                <c:pt idx="51">
                  <c:v>96.483950204899998</c:v>
                </c:pt>
                <c:pt idx="52">
                  <c:v>93.5068531103</c:v>
                </c:pt>
                <c:pt idx="53">
                  <c:v>93.9784893912</c:v>
                </c:pt>
                <c:pt idx="54">
                  <c:v>94.800298106400007</c:v>
                </c:pt>
                <c:pt idx="55">
                  <c:v>95.076893871400003</c:v>
                </c:pt>
                <c:pt idx="56">
                  <c:v>95.107441704699994</c:v>
                </c:pt>
                <c:pt idx="57">
                  <c:v>91.074235937500006</c:v>
                </c:pt>
                <c:pt idx="58">
                  <c:v>89.303600614600001</c:v>
                </c:pt>
                <c:pt idx="59">
                  <c:v>87.706620564900007</c:v>
                </c:pt>
                <c:pt idx="60">
                  <c:v>87.271156163399993</c:v>
                </c:pt>
                <c:pt idx="61">
                  <c:v>88.718268779799999</c:v>
                </c:pt>
                <c:pt idx="62">
                  <c:v>86.775327872299997</c:v>
                </c:pt>
                <c:pt idx="63">
                  <c:v>88.819281710799999</c:v>
                </c:pt>
                <c:pt idx="64">
                  <c:v>88.175915266600001</c:v>
                </c:pt>
                <c:pt idx="65">
                  <c:v>86.754744437100001</c:v>
                </c:pt>
                <c:pt idx="66">
                  <c:v>86.122472161299996</c:v>
                </c:pt>
                <c:pt idx="67">
                  <c:v>86.134390116899993</c:v>
                </c:pt>
                <c:pt idx="68">
                  <c:v>84.273981402499999</c:v>
                </c:pt>
                <c:pt idx="69">
                  <c:v>85.983469188000001</c:v>
                </c:pt>
                <c:pt idx="70">
                  <c:v>86.549743202800002</c:v>
                </c:pt>
                <c:pt idx="71">
                  <c:v>87.656177630100004</c:v>
                </c:pt>
                <c:pt idx="72">
                  <c:v>85.133586332099995</c:v>
                </c:pt>
                <c:pt idx="73">
                  <c:v>89.286689878600001</c:v>
                </c:pt>
                <c:pt idx="74">
                  <c:v>89.765944444699997</c:v>
                </c:pt>
                <c:pt idx="75">
                  <c:v>91.433483840899996</c:v>
                </c:pt>
                <c:pt idx="76">
                  <c:v>90.481539023500005</c:v>
                </c:pt>
                <c:pt idx="77">
                  <c:v>92.925970640499997</c:v>
                </c:pt>
                <c:pt idx="78">
                  <c:v>91.747379115599998</c:v>
                </c:pt>
                <c:pt idx="79">
                  <c:v>91.963456279499994</c:v>
                </c:pt>
                <c:pt idx="80">
                  <c:v>94.270540199199999</c:v>
                </c:pt>
                <c:pt idx="81">
                  <c:v>91.952109990099999</c:v>
                </c:pt>
                <c:pt idx="82">
                  <c:v>90.7834530457</c:v>
                </c:pt>
                <c:pt idx="83">
                  <c:v>92.907964164299997</c:v>
                </c:pt>
                <c:pt idx="84">
                  <c:v>94.1445935534</c:v>
                </c:pt>
                <c:pt idx="85">
                  <c:v>95.925024375600003</c:v>
                </c:pt>
                <c:pt idx="86">
                  <c:v>98.0512856279</c:v>
                </c:pt>
                <c:pt idx="87">
                  <c:v>100.017196734</c:v>
                </c:pt>
                <c:pt idx="88">
                  <c:v>101.697793096</c:v>
                </c:pt>
                <c:pt idx="89">
                  <c:v>102.584435834</c:v>
                </c:pt>
                <c:pt idx="90">
                  <c:v>101.89460911</c:v>
                </c:pt>
                <c:pt idx="91">
                  <c:v>105.65013643499999</c:v>
                </c:pt>
                <c:pt idx="92">
                  <c:v>103.803099527</c:v>
                </c:pt>
                <c:pt idx="93">
                  <c:v>102.812562473</c:v>
                </c:pt>
                <c:pt idx="94">
                  <c:v>103.52671592900001</c:v>
                </c:pt>
                <c:pt idx="95">
                  <c:v>102.654463987</c:v>
                </c:pt>
                <c:pt idx="96">
                  <c:v>102.51161052400001</c:v>
                </c:pt>
                <c:pt idx="97">
                  <c:v>100.038250678</c:v>
                </c:pt>
                <c:pt idx="98">
                  <c:v>98.914041364100001</c:v>
                </c:pt>
                <c:pt idx="99">
                  <c:v>98.157636238199999</c:v>
                </c:pt>
                <c:pt idx="100">
                  <c:v>98.0742837584</c:v>
                </c:pt>
              </c:numCache>
            </c:numRef>
          </c:yVal>
          <c:smooth val="1"/>
        </c:ser>
        <c:ser>
          <c:idx val="34"/>
          <c:order val="34"/>
          <c:tx>
            <c:strRef>
              <c:f>S_plus!$AU$1</c:f>
              <c:strCache>
                <c:ptCount val="1"/>
                <c:pt idx="0">
                  <c:v>Sim35</c:v>
                </c:pt>
              </c:strCache>
            </c:strRef>
          </c:tx>
          <c:marker>
            <c:symbol val="none"/>
          </c:marker>
          <c:xVal>
            <c:numRef>
              <c:f>S_plus!$L$2:$L$102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S_plus!$AU$2:$AU$102</c:f>
              <c:numCache>
                <c:formatCode>General</c:formatCode>
                <c:ptCount val="101"/>
                <c:pt idx="0">
                  <c:v>100</c:v>
                </c:pt>
                <c:pt idx="1">
                  <c:v>98.899914371600005</c:v>
                </c:pt>
                <c:pt idx="2">
                  <c:v>98.266365692600004</c:v>
                </c:pt>
                <c:pt idx="3">
                  <c:v>98.489279363700007</c:v>
                </c:pt>
                <c:pt idx="4">
                  <c:v>99.389494310200007</c:v>
                </c:pt>
                <c:pt idx="5">
                  <c:v>100.464273867</c:v>
                </c:pt>
                <c:pt idx="6">
                  <c:v>99.870589507800005</c:v>
                </c:pt>
                <c:pt idx="7">
                  <c:v>97.390784624999995</c:v>
                </c:pt>
                <c:pt idx="8">
                  <c:v>96.314327719700003</c:v>
                </c:pt>
                <c:pt idx="9">
                  <c:v>98.228855924300007</c:v>
                </c:pt>
                <c:pt idx="10">
                  <c:v>96.409439665400001</c:v>
                </c:pt>
                <c:pt idx="11">
                  <c:v>94.500189608200003</c:v>
                </c:pt>
                <c:pt idx="12">
                  <c:v>97.036899448</c:v>
                </c:pt>
                <c:pt idx="13">
                  <c:v>97.261909897500004</c:v>
                </c:pt>
                <c:pt idx="14">
                  <c:v>95.457514176499998</c:v>
                </c:pt>
                <c:pt idx="15">
                  <c:v>97.215793195900005</c:v>
                </c:pt>
                <c:pt idx="16">
                  <c:v>97.859270694200006</c:v>
                </c:pt>
                <c:pt idx="17">
                  <c:v>99.370810881899999</c:v>
                </c:pt>
                <c:pt idx="18">
                  <c:v>102.451764583</c:v>
                </c:pt>
                <c:pt idx="19">
                  <c:v>99.700551872099993</c:v>
                </c:pt>
                <c:pt idx="20">
                  <c:v>101.08185489900001</c:v>
                </c:pt>
                <c:pt idx="21">
                  <c:v>98.428641743599997</c:v>
                </c:pt>
                <c:pt idx="22">
                  <c:v>100.26416455</c:v>
                </c:pt>
                <c:pt idx="23">
                  <c:v>96.409131201999998</c:v>
                </c:pt>
                <c:pt idx="24">
                  <c:v>96.904582193699994</c:v>
                </c:pt>
                <c:pt idx="25">
                  <c:v>95.134454748500005</c:v>
                </c:pt>
                <c:pt idx="26">
                  <c:v>93.751228138499997</c:v>
                </c:pt>
                <c:pt idx="27">
                  <c:v>94.555653170699998</c:v>
                </c:pt>
                <c:pt idx="28">
                  <c:v>92.4503952707</c:v>
                </c:pt>
                <c:pt idx="29">
                  <c:v>90.783322841499995</c:v>
                </c:pt>
                <c:pt idx="30">
                  <c:v>91.648825311600007</c:v>
                </c:pt>
                <c:pt idx="31">
                  <c:v>91.790381212400007</c:v>
                </c:pt>
                <c:pt idx="32">
                  <c:v>90.789390754600007</c:v>
                </c:pt>
                <c:pt idx="33">
                  <c:v>91.506052729700002</c:v>
                </c:pt>
                <c:pt idx="34">
                  <c:v>91.837207708099996</c:v>
                </c:pt>
                <c:pt idx="35">
                  <c:v>86.146058227099999</c:v>
                </c:pt>
                <c:pt idx="36">
                  <c:v>88.820920983700006</c:v>
                </c:pt>
                <c:pt idx="37">
                  <c:v>91.404385974500002</c:v>
                </c:pt>
                <c:pt idx="38">
                  <c:v>91.443258551699998</c:v>
                </c:pt>
                <c:pt idx="39">
                  <c:v>92.212017652699998</c:v>
                </c:pt>
                <c:pt idx="40">
                  <c:v>91.437472702400001</c:v>
                </c:pt>
                <c:pt idx="41">
                  <c:v>93.447901537500002</c:v>
                </c:pt>
                <c:pt idx="42">
                  <c:v>94.512319269100004</c:v>
                </c:pt>
                <c:pt idx="43">
                  <c:v>92.485493067099995</c:v>
                </c:pt>
                <c:pt idx="44">
                  <c:v>96.012224700100006</c:v>
                </c:pt>
                <c:pt idx="45">
                  <c:v>96.061792934799996</c:v>
                </c:pt>
                <c:pt idx="46">
                  <c:v>97.915310628499995</c:v>
                </c:pt>
                <c:pt idx="47">
                  <c:v>101.97588100500001</c:v>
                </c:pt>
                <c:pt idx="48">
                  <c:v>101.71346450199999</c:v>
                </c:pt>
                <c:pt idx="49">
                  <c:v>101.623795273</c:v>
                </c:pt>
                <c:pt idx="50">
                  <c:v>103.74776515400001</c:v>
                </c:pt>
                <c:pt idx="51">
                  <c:v>103.8613714</c:v>
                </c:pt>
                <c:pt idx="52">
                  <c:v>106.93788922100001</c:v>
                </c:pt>
                <c:pt idx="53">
                  <c:v>106.730928183</c:v>
                </c:pt>
                <c:pt idx="54">
                  <c:v>106.271419931</c:v>
                </c:pt>
                <c:pt idx="55">
                  <c:v>110.29863174400001</c:v>
                </c:pt>
                <c:pt idx="56">
                  <c:v>112.25190299400001</c:v>
                </c:pt>
                <c:pt idx="57">
                  <c:v>112.205218516</c:v>
                </c:pt>
                <c:pt idx="58">
                  <c:v>110.578815494</c:v>
                </c:pt>
                <c:pt idx="59">
                  <c:v>109.363803953</c:v>
                </c:pt>
                <c:pt idx="60">
                  <c:v>107.56190983</c:v>
                </c:pt>
                <c:pt idx="61">
                  <c:v>106.246068419</c:v>
                </c:pt>
                <c:pt idx="62">
                  <c:v>110.274059244</c:v>
                </c:pt>
                <c:pt idx="63">
                  <c:v>111.75414410899999</c:v>
                </c:pt>
                <c:pt idx="64">
                  <c:v>114.658012586</c:v>
                </c:pt>
                <c:pt idx="65">
                  <c:v>113.75849807500001</c:v>
                </c:pt>
                <c:pt idx="66">
                  <c:v>116.606480357</c:v>
                </c:pt>
                <c:pt idx="67">
                  <c:v>113.29067875299999</c:v>
                </c:pt>
                <c:pt idx="68">
                  <c:v>110.60604835300001</c:v>
                </c:pt>
                <c:pt idx="69">
                  <c:v>112.058957832</c:v>
                </c:pt>
                <c:pt idx="70">
                  <c:v>112.425542893</c:v>
                </c:pt>
                <c:pt idx="71">
                  <c:v>115.330852495</c:v>
                </c:pt>
                <c:pt idx="72">
                  <c:v>120.349048815</c:v>
                </c:pt>
                <c:pt idx="73">
                  <c:v>118.674952105</c:v>
                </c:pt>
                <c:pt idx="74">
                  <c:v>121.95311683600001</c:v>
                </c:pt>
                <c:pt idx="75">
                  <c:v>120.81104618400001</c:v>
                </c:pt>
                <c:pt idx="76">
                  <c:v>122.289894797</c:v>
                </c:pt>
                <c:pt idx="77">
                  <c:v>123.672850462</c:v>
                </c:pt>
                <c:pt idx="78">
                  <c:v>124.44422257799999</c:v>
                </c:pt>
                <c:pt idx="79">
                  <c:v>122.430663486</c:v>
                </c:pt>
                <c:pt idx="80">
                  <c:v>119.271591028</c:v>
                </c:pt>
                <c:pt idx="81">
                  <c:v>121.17301361299999</c:v>
                </c:pt>
                <c:pt idx="82">
                  <c:v>123.45635195</c:v>
                </c:pt>
                <c:pt idx="83">
                  <c:v>119.17108848700001</c:v>
                </c:pt>
                <c:pt idx="84">
                  <c:v>120.244068998</c:v>
                </c:pt>
                <c:pt idx="85">
                  <c:v>123.660181518</c:v>
                </c:pt>
                <c:pt idx="86">
                  <c:v>123.72009702</c:v>
                </c:pt>
                <c:pt idx="87">
                  <c:v>126.814504512</c:v>
                </c:pt>
                <c:pt idx="88">
                  <c:v>131.03647416300001</c:v>
                </c:pt>
                <c:pt idx="89">
                  <c:v>130.901405178</c:v>
                </c:pt>
                <c:pt idx="90">
                  <c:v>131.15932362000001</c:v>
                </c:pt>
                <c:pt idx="91">
                  <c:v>130.40904460799999</c:v>
                </c:pt>
                <c:pt idx="92">
                  <c:v>134.87806583</c:v>
                </c:pt>
                <c:pt idx="93">
                  <c:v>135.07290893999999</c:v>
                </c:pt>
                <c:pt idx="94">
                  <c:v>132.70689240300001</c:v>
                </c:pt>
                <c:pt idx="95">
                  <c:v>131.447169973</c:v>
                </c:pt>
                <c:pt idx="96">
                  <c:v>129.507479176</c:v>
                </c:pt>
                <c:pt idx="97">
                  <c:v>129.52861874000001</c:v>
                </c:pt>
                <c:pt idx="98">
                  <c:v>126.113168191</c:v>
                </c:pt>
                <c:pt idx="99">
                  <c:v>125.746580553</c:v>
                </c:pt>
                <c:pt idx="100">
                  <c:v>127.690001732</c:v>
                </c:pt>
              </c:numCache>
            </c:numRef>
          </c:yVal>
          <c:smooth val="1"/>
        </c:ser>
        <c:ser>
          <c:idx val="35"/>
          <c:order val="35"/>
          <c:tx>
            <c:strRef>
              <c:f>S_plus!$AV$1</c:f>
              <c:strCache>
                <c:ptCount val="1"/>
                <c:pt idx="0">
                  <c:v>Sim36</c:v>
                </c:pt>
              </c:strCache>
            </c:strRef>
          </c:tx>
          <c:marker>
            <c:symbol val="none"/>
          </c:marker>
          <c:xVal>
            <c:numRef>
              <c:f>S_plus!$L$2:$L$102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S_plus!$AV$2:$AV$102</c:f>
              <c:numCache>
                <c:formatCode>General</c:formatCode>
                <c:ptCount val="101"/>
                <c:pt idx="0">
                  <c:v>100</c:v>
                </c:pt>
                <c:pt idx="1">
                  <c:v>99.942376023700007</c:v>
                </c:pt>
                <c:pt idx="2">
                  <c:v>101.471998992</c:v>
                </c:pt>
                <c:pt idx="3">
                  <c:v>96.891662474499995</c:v>
                </c:pt>
                <c:pt idx="4">
                  <c:v>95.837280921300007</c:v>
                </c:pt>
                <c:pt idx="5">
                  <c:v>93.190419252200002</c:v>
                </c:pt>
                <c:pt idx="6">
                  <c:v>94.648758829599998</c:v>
                </c:pt>
                <c:pt idx="7">
                  <c:v>95.860626308500002</c:v>
                </c:pt>
                <c:pt idx="8">
                  <c:v>96.603415600100007</c:v>
                </c:pt>
                <c:pt idx="9">
                  <c:v>101.20811351899999</c:v>
                </c:pt>
                <c:pt idx="10">
                  <c:v>99.924897418599997</c:v>
                </c:pt>
                <c:pt idx="11">
                  <c:v>99.992767504699998</c:v>
                </c:pt>
                <c:pt idx="12">
                  <c:v>98.9794641063</c:v>
                </c:pt>
                <c:pt idx="13">
                  <c:v>98.481874085900003</c:v>
                </c:pt>
                <c:pt idx="14">
                  <c:v>98.252899658700002</c:v>
                </c:pt>
                <c:pt idx="15">
                  <c:v>99.386437558899999</c:v>
                </c:pt>
                <c:pt idx="16">
                  <c:v>95.822586513199994</c:v>
                </c:pt>
                <c:pt idx="17">
                  <c:v>97.167482553100001</c:v>
                </c:pt>
                <c:pt idx="18">
                  <c:v>97.445050855000005</c:v>
                </c:pt>
                <c:pt idx="19">
                  <c:v>98.141427321199998</c:v>
                </c:pt>
                <c:pt idx="20">
                  <c:v>98.919416272700005</c:v>
                </c:pt>
                <c:pt idx="21">
                  <c:v>96.5468946604</c:v>
                </c:pt>
                <c:pt idx="22">
                  <c:v>97.473786670199999</c:v>
                </c:pt>
                <c:pt idx="23">
                  <c:v>94.114275679100004</c:v>
                </c:pt>
                <c:pt idx="24">
                  <c:v>95.223272990200002</c:v>
                </c:pt>
                <c:pt idx="25">
                  <c:v>94.613805179799996</c:v>
                </c:pt>
                <c:pt idx="26">
                  <c:v>94.490365980000007</c:v>
                </c:pt>
                <c:pt idx="27">
                  <c:v>98.854277584299993</c:v>
                </c:pt>
                <c:pt idx="28">
                  <c:v>101.691031169</c:v>
                </c:pt>
                <c:pt idx="29">
                  <c:v>100.456581804</c:v>
                </c:pt>
                <c:pt idx="30">
                  <c:v>96.971876370000004</c:v>
                </c:pt>
                <c:pt idx="31">
                  <c:v>99.834340772600001</c:v>
                </c:pt>
                <c:pt idx="32">
                  <c:v>97.498080897299999</c:v>
                </c:pt>
                <c:pt idx="33">
                  <c:v>101.07078081900001</c:v>
                </c:pt>
                <c:pt idx="34">
                  <c:v>102.728350784</c:v>
                </c:pt>
                <c:pt idx="35">
                  <c:v>100.769408446</c:v>
                </c:pt>
                <c:pt idx="36">
                  <c:v>98.538474534299993</c:v>
                </c:pt>
                <c:pt idx="37">
                  <c:v>98.853480845999997</c:v>
                </c:pt>
                <c:pt idx="38">
                  <c:v>100.024493518</c:v>
                </c:pt>
                <c:pt idx="39">
                  <c:v>101.604589179</c:v>
                </c:pt>
                <c:pt idx="40">
                  <c:v>102.89343532300001</c:v>
                </c:pt>
                <c:pt idx="41">
                  <c:v>101.16392460599999</c:v>
                </c:pt>
                <c:pt idx="42">
                  <c:v>104.99065750600001</c:v>
                </c:pt>
                <c:pt idx="43">
                  <c:v>106.210649369</c:v>
                </c:pt>
                <c:pt idx="44">
                  <c:v>106.86733243</c:v>
                </c:pt>
                <c:pt idx="45">
                  <c:v>110.963454305</c:v>
                </c:pt>
                <c:pt idx="46">
                  <c:v>107.70144632500001</c:v>
                </c:pt>
                <c:pt idx="47">
                  <c:v>112.109713646</c:v>
                </c:pt>
                <c:pt idx="48">
                  <c:v>116.352317012</c:v>
                </c:pt>
                <c:pt idx="49">
                  <c:v>117.436687701</c:v>
                </c:pt>
                <c:pt idx="50">
                  <c:v>119.910107614</c:v>
                </c:pt>
                <c:pt idx="51">
                  <c:v>125.828288473</c:v>
                </c:pt>
                <c:pt idx="52">
                  <c:v>123.157057452</c:v>
                </c:pt>
                <c:pt idx="53">
                  <c:v>125.03495427199999</c:v>
                </c:pt>
                <c:pt idx="54">
                  <c:v>122.96918412700001</c:v>
                </c:pt>
                <c:pt idx="55">
                  <c:v>125.617874305</c:v>
                </c:pt>
                <c:pt idx="56">
                  <c:v>120.853890197</c:v>
                </c:pt>
                <c:pt idx="57">
                  <c:v>123.649078868</c:v>
                </c:pt>
                <c:pt idx="58">
                  <c:v>124.017172249</c:v>
                </c:pt>
                <c:pt idx="59">
                  <c:v>124.732430154</c:v>
                </c:pt>
                <c:pt idx="60">
                  <c:v>124.933908831</c:v>
                </c:pt>
                <c:pt idx="61">
                  <c:v>123.244684136</c:v>
                </c:pt>
                <c:pt idx="62">
                  <c:v>121.870490789</c:v>
                </c:pt>
                <c:pt idx="63">
                  <c:v>121.52576486700001</c:v>
                </c:pt>
                <c:pt idx="64">
                  <c:v>125.305627044</c:v>
                </c:pt>
                <c:pt idx="65">
                  <c:v>125.32132319999999</c:v>
                </c:pt>
                <c:pt idx="66">
                  <c:v>129.28275240799999</c:v>
                </c:pt>
                <c:pt idx="67">
                  <c:v>132.25626288000001</c:v>
                </c:pt>
                <c:pt idx="68">
                  <c:v>131.50085062799999</c:v>
                </c:pt>
                <c:pt idx="69">
                  <c:v>127.88092481</c:v>
                </c:pt>
                <c:pt idx="70">
                  <c:v>127.49025385100001</c:v>
                </c:pt>
                <c:pt idx="71">
                  <c:v>124.285289542</c:v>
                </c:pt>
                <c:pt idx="72">
                  <c:v>122.371080439</c:v>
                </c:pt>
                <c:pt idx="73">
                  <c:v>123.091165223</c:v>
                </c:pt>
                <c:pt idx="74">
                  <c:v>127.210361197</c:v>
                </c:pt>
                <c:pt idx="75">
                  <c:v>129.24464791299999</c:v>
                </c:pt>
                <c:pt idx="76">
                  <c:v>126.137820926</c:v>
                </c:pt>
                <c:pt idx="77">
                  <c:v>122.134526521</c:v>
                </c:pt>
                <c:pt idx="78">
                  <c:v>124.67729777300001</c:v>
                </c:pt>
                <c:pt idx="79">
                  <c:v>124.03468175499999</c:v>
                </c:pt>
                <c:pt idx="80">
                  <c:v>122.397261828</c:v>
                </c:pt>
                <c:pt idx="81">
                  <c:v>117.887456597</c:v>
                </c:pt>
                <c:pt idx="82">
                  <c:v>115.283499283</c:v>
                </c:pt>
                <c:pt idx="83">
                  <c:v>115.92249718399999</c:v>
                </c:pt>
                <c:pt idx="84">
                  <c:v>117.36875773200001</c:v>
                </c:pt>
                <c:pt idx="85">
                  <c:v>118.365914737</c:v>
                </c:pt>
                <c:pt idx="86">
                  <c:v>121.663308062</c:v>
                </c:pt>
                <c:pt idx="87">
                  <c:v>122.75217399899999</c:v>
                </c:pt>
                <c:pt idx="88">
                  <c:v>122.125383242</c:v>
                </c:pt>
                <c:pt idx="89">
                  <c:v>125.67370870400001</c:v>
                </c:pt>
                <c:pt idx="90">
                  <c:v>123.768548557</c:v>
                </c:pt>
                <c:pt idx="91">
                  <c:v>126.66557803000001</c:v>
                </c:pt>
                <c:pt idx="92">
                  <c:v>126.740549753</c:v>
                </c:pt>
                <c:pt idx="93">
                  <c:v>123.117932322</c:v>
                </c:pt>
                <c:pt idx="94">
                  <c:v>121.02251004599999</c:v>
                </c:pt>
                <c:pt idx="95">
                  <c:v>118.977822614</c:v>
                </c:pt>
                <c:pt idx="96">
                  <c:v>116.820600439</c:v>
                </c:pt>
                <c:pt idx="97">
                  <c:v>115.288747202</c:v>
                </c:pt>
                <c:pt idx="98">
                  <c:v>114.809962297</c:v>
                </c:pt>
                <c:pt idx="99">
                  <c:v>119.398814328</c:v>
                </c:pt>
                <c:pt idx="100">
                  <c:v>118.401014246</c:v>
                </c:pt>
              </c:numCache>
            </c:numRef>
          </c:yVal>
          <c:smooth val="1"/>
        </c:ser>
        <c:ser>
          <c:idx val="36"/>
          <c:order val="36"/>
          <c:tx>
            <c:strRef>
              <c:f>S_plus!$AW$1</c:f>
              <c:strCache>
                <c:ptCount val="1"/>
                <c:pt idx="0">
                  <c:v>Sim37</c:v>
                </c:pt>
              </c:strCache>
            </c:strRef>
          </c:tx>
          <c:marker>
            <c:symbol val="none"/>
          </c:marker>
          <c:xVal>
            <c:numRef>
              <c:f>S_plus!$L$2:$L$102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S_plus!$AW$2:$AW$102</c:f>
              <c:numCache>
                <c:formatCode>General</c:formatCode>
                <c:ptCount val="101"/>
                <c:pt idx="0">
                  <c:v>100</c:v>
                </c:pt>
                <c:pt idx="1">
                  <c:v>101.95332191999999</c:v>
                </c:pt>
                <c:pt idx="2">
                  <c:v>101.128183845</c:v>
                </c:pt>
                <c:pt idx="3">
                  <c:v>103.87333129300001</c:v>
                </c:pt>
                <c:pt idx="4">
                  <c:v>107.210173326</c:v>
                </c:pt>
                <c:pt idx="5">
                  <c:v>108.337381675</c:v>
                </c:pt>
                <c:pt idx="6">
                  <c:v>104.14043395</c:v>
                </c:pt>
                <c:pt idx="7">
                  <c:v>103.99355183999999</c:v>
                </c:pt>
                <c:pt idx="8">
                  <c:v>103.310545534</c:v>
                </c:pt>
                <c:pt idx="9">
                  <c:v>102.480421702</c:v>
                </c:pt>
                <c:pt idx="10">
                  <c:v>105.316247491</c:v>
                </c:pt>
                <c:pt idx="11">
                  <c:v>106.234984576</c:v>
                </c:pt>
                <c:pt idx="12">
                  <c:v>108.275867284</c:v>
                </c:pt>
                <c:pt idx="13">
                  <c:v>108.053454183</c:v>
                </c:pt>
                <c:pt idx="14">
                  <c:v>108.096274259</c:v>
                </c:pt>
                <c:pt idx="15">
                  <c:v>109.829886325</c:v>
                </c:pt>
                <c:pt idx="16">
                  <c:v>112.157413288</c:v>
                </c:pt>
                <c:pt idx="17">
                  <c:v>115.356657822</c:v>
                </c:pt>
                <c:pt idx="18">
                  <c:v>114.492934664</c:v>
                </c:pt>
                <c:pt idx="19">
                  <c:v>117.303032331</c:v>
                </c:pt>
                <c:pt idx="20">
                  <c:v>114.579590772</c:v>
                </c:pt>
                <c:pt idx="21">
                  <c:v>113.906514773</c:v>
                </c:pt>
                <c:pt idx="22">
                  <c:v>113.03339323</c:v>
                </c:pt>
                <c:pt idx="23">
                  <c:v>112.08315088099999</c:v>
                </c:pt>
                <c:pt idx="24">
                  <c:v>114.41983900300001</c:v>
                </c:pt>
                <c:pt idx="25">
                  <c:v>114.244865057</c:v>
                </c:pt>
                <c:pt idx="26">
                  <c:v>115.217167545</c:v>
                </c:pt>
                <c:pt idx="27">
                  <c:v>113.454295644</c:v>
                </c:pt>
                <c:pt idx="28">
                  <c:v>113.13840811199999</c:v>
                </c:pt>
                <c:pt idx="29">
                  <c:v>116.82605435799999</c:v>
                </c:pt>
                <c:pt idx="30">
                  <c:v>118.050309242</c:v>
                </c:pt>
                <c:pt idx="31">
                  <c:v>123.44779991199999</c:v>
                </c:pt>
                <c:pt idx="32">
                  <c:v>122.931303427</c:v>
                </c:pt>
                <c:pt idx="33">
                  <c:v>122.85846869</c:v>
                </c:pt>
                <c:pt idx="34">
                  <c:v>121.96080242399999</c:v>
                </c:pt>
                <c:pt idx="35">
                  <c:v>122.012670778</c:v>
                </c:pt>
                <c:pt idx="36">
                  <c:v>124.257381583</c:v>
                </c:pt>
                <c:pt idx="37">
                  <c:v>121.467701362</c:v>
                </c:pt>
                <c:pt idx="38">
                  <c:v>118.500667939</c:v>
                </c:pt>
                <c:pt idx="39">
                  <c:v>117.798612914</c:v>
                </c:pt>
                <c:pt idx="40">
                  <c:v>119.350714005</c:v>
                </c:pt>
                <c:pt idx="41">
                  <c:v>118.14437536</c:v>
                </c:pt>
                <c:pt idx="42">
                  <c:v>119.32086232499999</c:v>
                </c:pt>
                <c:pt idx="43">
                  <c:v>122.63272297</c:v>
                </c:pt>
                <c:pt idx="44">
                  <c:v>122.71597787899999</c:v>
                </c:pt>
                <c:pt idx="45">
                  <c:v>122.470390994</c:v>
                </c:pt>
                <c:pt idx="46">
                  <c:v>126.47486110600001</c:v>
                </c:pt>
                <c:pt idx="47">
                  <c:v>124.54503259800001</c:v>
                </c:pt>
                <c:pt idx="48">
                  <c:v>124.70951750899999</c:v>
                </c:pt>
                <c:pt idx="49">
                  <c:v>122.576576734</c:v>
                </c:pt>
                <c:pt idx="50">
                  <c:v>119.415728395</c:v>
                </c:pt>
                <c:pt idx="51">
                  <c:v>121.884426809</c:v>
                </c:pt>
                <c:pt idx="52">
                  <c:v>123.468679349</c:v>
                </c:pt>
                <c:pt idx="53">
                  <c:v>122.370186954</c:v>
                </c:pt>
                <c:pt idx="54">
                  <c:v>124.060485591</c:v>
                </c:pt>
                <c:pt idx="55">
                  <c:v>124.222451674</c:v>
                </c:pt>
                <c:pt idx="56">
                  <c:v>124.082936574</c:v>
                </c:pt>
                <c:pt idx="57">
                  <c:v>121.63504821799999</c:v>
                </c:pt>
                <c:pt idx="58">
                  <c:v>121.75591439900001</c:v>
                </c:pt>
                <c:pt idx="59">
                  <c:v>119.979527557</c:v>
                </c:pt>
                <c:pt idx="60">
                  <c:v>116.15087248499999</c:v>
                </c:pt>
                <c:pt idx="61">
                  <c:v>115.79519156000001</c:v>
                </c:pt>
                <c:pt idx="62">
                  <c:v>118.583644517</c:v>
                </c:pt>
                <c:pt idx="63">
                  <c:v>118.249252536</c:v>
                </c:pt>
                <c:pt idx="64">
                  <c:v>114.416638105</c:v>
                </c:pt>
                <c:pt idx="65">
                  <c:v>114.52212892999999</c:v>
                </c:pt>
                <c:pt idx="66">
                  <c:v>108.72846532699999</c:v>
                </c:pt>
                <c:pt idx="67">
                  <c:v>108.93244777699999</c:v>
                </c:pt>
                <c:pt idx="68">
                  <c:v>112.855581081</c:v>
                </c:pt>
                <c:pt idx="69">
                  <c:v>114.95339272699999</c:v>
                </c:pt>
                <c:pt idx="70">
                  <c:v>116.64809378699999</c:v>
                </c:pt>
                <c:pt idx="71">
                  <c:v>113.13411505000001</c:v>
                </c:pt>
                <c:pt idx="72">
                  <c:v>112.796854911</c:v>
                </c:pt>
                <c:pt idx="73">
                  <c:v>112.238859515</c:v>
                </c:pt>
                <c:pt idx="74">
                  <c:v>115.58217171</c:v>
                </c:pt>
                <c:pt idx="75">
                  <c:v>116.138880071</c:v>
                </c:pt>
                <c:pt idx="76">
                  <c:v>114.034883697</c:v>
                </c:pt>
                <c:pt idx="77">
                  <c:v>113.105308331</c:v>
                </c:pt>
                <c:pt idx="78">
                  <c:v>114.589740002</c:v>
                </c:pt>
                <c:pt idx="79">
                  <c:v>114.200411824</c:v>
                </c:pt>
                <c:pt idx="80">
                  <c:v>109.978997995</c:v>
                </c:pt>
                <c:pt idx="81">
                  <c:v>110.69486308</c:v>
                </c:pt>
                <c:pt idx="82">
                  <c:v>110.41987116599999</c:v>
                </c:pt>
                <c:pt idx="83">
                  <c:v>110.183344064</c:v>
                </c:pt>
                <c:pt idx="84">
                  <c:v>108.94390712000001</c:v>
                </c:pt>
                <c:pt idx="85">
                  <c:v>113.062397993</c:v>
                </c:pt>
                <c:pt idx="86">
                  <c:v>112.805723841</c:v>
                </c:pt>
                <c:pt idx="87">
                  <c:v>114.348571914</c:v>
                </c:pt>
                <c:pt idx="88">
                  <c:v>117.329470915</c:v>
                </c:pt>
                <c:pt idx="89">
                  <c:v>119.116683877</c:v>
                </c:pt>
                <c:pt idx="90">
                  <c:v>116.109040607</c:v>
                </c:pt>
                <c:pt idx="91">
                  <c:v>113.49323876</c:v>
                </c:pt>
                <c:pt idx="92">
                  <c:v>114.719097379</c:v>
                </c:pt>
                <c:pt idx="93">
                  <c:v>114.772304276</c:v>
                </c:pt>
                <c:pt idx="94">
                  <c:v>115.783710191</c:v>
                </c:pt>
                <c:pt idx="95">
                  <c:v>114.424181557</c:v>
                </c:pt>
                <c:pt idx="96">
                  <c:v>115.21218633300001</c:v>
                </c:pt>
                <c:pt idx="97">
                  <c:v>115.99248679999999</c:v>
                </c:pt>
                <c:pt idx="98">
                  <c:v>116.063055285</c:v>
                </c:pt>
                <c:pt idx="99">
                  <c:v>114.87154410399999</c:v>
                </c:pt>
                <c:pt idx="100">
                  <c:v>114.48042743000001</c:v>
                </c:pt>
              </c:numCache>
            </c:numRef>
          </c:yVal>
          <c:smooth val="1"/>
        </c:ser>
        <c:ser>
          <c:idx val="37"/>
          <c:order val="37"/>
          <c:tx>
            <c:strRef>
              <c:f>S_plus!$AX$1</c:f>
              <c:strCache>
                <c:ptCount val="1"/>
                <c:pt idx="0">
                  <c:v>Sim38</c:v>
                </c:pt>
              </c:strCache>
            </c:strRef>
          </c:tx>
          <c:marker>
            <c:symbol val="none"/>
          </c:marker>
          <c:xVal>
            <c:numRef>
              <c:f>S_plus!$L$2:$L$102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S_plus!$AX$2:$AX$102</c:f>
              <c:numCache>
                <c:formatCode>General</c:formatCode>
                <c:ptCount val="101"/>
                <c:pt idx="0">
                  <c:v>100</c:v>
                </c:pt>
                <c:pt idx="1">
                  <c:v>99.377392637300005</c:v>
                </c:pt>
                <c:pt idx="2">
                  <c:v>100.469411721</c:v>
                </c:pt>
                <c:pt idx="3">
                  <c:v>101.330575446</c:v>
                </c:pt>
                <c:pt idx="4">
                  <c:v>100.32167880900001</c:v>
                </c:pt>
                <c:pt idx="5">
                  <c:v>101.039205399</c:v>
                </c:pt>
                <c:pt idx="6">
                  <c:v>99.348758962600002</c:v>
                </c:pt>
                <c:pt idx="7">
                  <c:v>97.129500864999997</c:v>
                </c:pt>
                <c:pt idx="8">
                  <c:v>96.779610120399994</c:v>
                </c:pt>
                <c:pt idx="9">
                  <c:v>98.891455225000001</c:v>
                </c:pt>
                <c:pt idx="10">
                  <c:v>98.092919508700007</c:v>
                </c:pt>
                <c:pt idx="11">
                  <c:v>96.953017970000005</c:v>
                </c:pt>
                <c:pt idx="12">
                  <c:v>97.635902568800006</c:v>
                </c:pt>
                <c:pt idx="13">
                  <c:v>99.4243590918</c:v>
                </c:pt>
                <c:pt idx="14">
                  <c:v>102.790639107</c:v>
                </c:pt>
                <c:pt idx="15">
                  <c:v>98.632018835799997</c:v>
                </c:pt>
                <c:pt idx="16">
                  <c:v>96.812310330000003</c:v>
                </c:pt>
                <c:pt idx="17">
                  <c:v>97.136841575600002</c:v>
                </c:pt>
                <c:pt idx="18">
                  <c:v>96.113886443799998</c:v>
                </c:pt>
                <c:pt idx="19">
                  <c:v>97.942514493199994</c:v>
                </c:pt>
                <c:pt idx="20">
                  <c:v>96.108433311900001</c:v>
                </c:pt>
                <c:pt idx="21">
                  <c:v>93.050414187599998</c:v>
                </c:pt>
                <c:pt idx="22">
                  <c:v>94.581936771900004</c:v>
                </c:pt>
                <c:pt idx="23">
                  <c:v>95.4457857636</c:v>
                </c:pt>
                <c:pt idx="24">
                  <c:v>94.105633314900004</c:v>
                </c:pt>
                <c:pt idx="25">
                  <c:v>95.866365403000003</c:v>
                </c:pt>
                <c:pt idx="26">
                  <c:v>97.407612141200005</c:v>
                </c:pt>
                <c:pt idx="27">
                  <c:v>97.646533486300001</c:v>
                </c:pt>
                <c:pt idx="28">
                  <c:v>98.5551451348</c:v>
                </c:pt>
                <c:pt idx="29">
                  <c:v>98.979968318399997</c:v>
                </c:pt>
                <c:pt idx="30">
                  <c:v>97.181574452700005</c:v>
                </c:pt>
                <c:pt idx="31">
                  <c:v>95.457855121999998</c:v>
                </c:pt>
                <c:pt idx="32">
                  <c:v>94.495997490500002</c:v>
                </c:pt>
                <c:pt idx="33">
                  <c:v>91.849550337500006</c:v>
                </c:pt>
                <c:pt idx="34">
                  <c:v>90.773297459999995</c:v>
                </c:pt>
                <c:pt idx="35">
                  <c:v>93.7632928596</c:v>
                </c:pt>
                <c:pt idx="36">
                  <c:v>90.908006420899994</c:v>
                </c:pt>
                <c:pt idx="37">
                  <c:v>91.505821323299998</c:v>
                </c:pt>
                <c:pt idx="38">
                  <c:v>94.327847300299993</c:v>
                </c:pt>
                <c:pt idx="39">
                  <c:v>98.576145843099994</c:v>
                </c:pt>
                <c:pt idx="40">
                  <c:v>102.49854237300001</c:v>
                </c:pt>
                <c:pt idx="41">
                  <c:v>101.881562089</c:v>
                </c:pt>
                <c:pt idx="42">
                  <c:v>102.978782028</c:v>
                </c:pt>
                <c:pt idx="43">
                  <c:v>104.479781836</c:v>
                </c:pt>
                <c:pt idx="44">
                  <c:v>101.79365917699999</c:v>
                </c:pt>
                <c:pt idx="45">
                  <c:v>104.417821059</c:v>
                </c:pt>
                <c:pt idx="46">
                  <c:v>102.32898768699999</c:v>
                </c:pt>
                <c:pt idx="47">
                  <c:v>102.030258006</c:v>
                </c:pt>
                <c:pt idx="48">
                  <c:v>102.55446291600001</c:v>
                </c:pt>
                <c:pt idx="49">
                  <c:v>105.83095437199999</c:v>
                </c:pt>
                <c:pt idx="50">
                  <c:v>107.820797196</c:v>
                </c:pt>
                <c:pt idx="51">
                  <c:v>107.52866774500001</c:v>
                </c:pt>
                <c:pt idx="52">
                  <c:v>105.942029531</c:v>
                </c:pt>
                <c:pt idx="53">
                  <c:v>104.793852062</c:v>
                </c:pt>
                <c:pt idx="54">
                  <c:v>104.08002299899999</c:v>
                </c:pt>
                <c:pt idx="55">
                  <c:v>104.63882485800001</c:v>
                </c:pt>
                <c:pt idx="56">
                  <c:v>99.610354858799994</c:v>
                </c:pt>
                <c:pt idx="57">
                  <c:v>99.644257984700005</c:v>
                </c:pt>
                <c:pt idx="58">
                  <c:v>101.250223527</c:v>
                </c:pt>
                <c:pt idx="59">
                  <c:v>105.312133854</c:v>
                </c:pt>
                <c:pt idx="60">
                  <c:v>103.600379387</c:v>
                </c:pt>
                <c:pt idx="61">
                  <c:v>103.531867952</c:v>
                </c:pt>
                <c:pt idx="62">
                  <c:v>105.744757104</c:v>
                </c:pt>
                <c:pt idx="63">
                  <c:v>104.177265639</c:v>
                </c:pt>
                <c:pt idx="64">
                  <c:v>104.104033996</c:v>
                </c:pt>
                <c:pt idx="65">
                  <c:v>102.770904599</c:v>
                </c:pt>
                <c:pt idx="66">
                  <c:v>104.12694153699999</c:v>
                </c:pt>
                <c:pt idx="67">
                  <c:v>101.28840245000001</c:v>
                </c:pt>
                <c:pt idx="68">
                  <c:v>98.426620053400001</c:v>
                </c:pt>
                <c:pt idx="69">
                  <c:v>98.229385441700003</c:v>
                </c:pt>
                <c:pt idx="70">
                  <c:v>96.450889376000006</c:v>
                </c:pt>
                <c:pt idx="71">
                  <c:v>96.926041671899995</c:v>
                </c:pt>
                <c:pt idx="72">
                  <c:v>95.932448606700007</c:v>
                </c:pt>
                <c:pt idx="73">
                  <c:v>100.34030845700001</c:v>
                </c:pt>
                <c:pt idx="74">
                  <c:v>100.043113769</c:v>
                </c:pt>
                <c:pt idx="75">
                  <c:v>102.644281857</c:v>
                </c:pt>
                <c:pt idx="76">
                  <c:v>100.923875948</c:v>
                </c:pt>
                <c:pt idx="77">
                  <c:v>101.21387916499999</c:v>
                </c:pt>
                <c:pt idx="78">
                  <c:v>99.184885176999998</c:v>
                </c:pt>
                <c:pt idx="79">
                  <c:v>97.806465259500001</c:v>
                </c:pt>
                <c:pt idx="80">
                  <c:v>94.918894998599995</c:v>
                </c:pt>
                <c:pt idx="81">
                  <c:v>97.158855364999994</c:v>
                </c:pt>
                <c:pt idx="82">
                  <c:v>97.133505008699998</c:v>
                </c:pt>
                <c:pt idx="83">
                  <c:v>92.47801389</c:v>
                </c:pt>
                <c:pt idx="84">
                  <c:v>91.440081143599997</c:v>
                </c:pt>
                <c:pt idx="85">
                  <c:v>89.817653164000006</c:v>
                </c:pt>
                <c:pt idx="86">
                  <c:v>89.716209915999997</c:v>
                </c:pt>
                <c:pt idx="87">
                  <c:v>89.675120104300007</c:v>
                </c:pt>
                <c:pt idx="88">
                  <c:v>88.924842777999999</c:v>
                </c:pt>
                <c:pt idx="89">
                  <c:v>91.629206052200004</c:v>
                </c:pt>
                <c:pt idx="90">
                  <c:v>91.363424319499998</c:v>
                </c:pt>
                <c:pt idx="91">
                  <c:v>88.868620349500006</c:v>
                </c:pt>
                <c:pt idx="92">
                  <c:v>89.028795011</c:v>
                </c:pt>
                <c:pt idx="93">
                  <c:v>89.858059449600006</c:v>
                </c:pt>
                <c:pt idx="94">
                  <c:v>87.351091871799994</c:v>
                </c:pt>
                <c:pt idx="95">
                  <c:v>87.205197683400002</c:v>
                </c:pt>
                <c:pt idx="96">
                  <c:v>87.841186675399996</c:v>
                </c:pt>
                <c:pt idx="97">
                  <c:v>87.423048775799998</c:v>
                </c:pt>
                <c:pt idx="98">
                  <c:v>87.632012126199996</c:v>
                </c:pt>
                <c:pt idx="99">
                  <c:v>89.838663833400005</c:v>
                </c:pt>
                <c:pt idx="100">
                  <c:v>87.159578359899996</c:v>
                </c:pt>
              </c:numCache>
            </c:numRef>
          </c:yVal>
          <c:smooth val="1"/>
        </c:ser>
        <c:ser>
          <c:idx val="38"/>
          <c:order val="38"/>
          <c:tx>
            <c:strRef>
              <c:f>S_plus!$AY$1</c:f>
              <c:strCache>
                <c:ptCount val="1"/>
                <c:pt idx="0">
                  <c:v>Sim39</c:v>
                </c:pt>
              </c:strCache>
            </c:strRef>
          </c:tx>
          <c:marker>
            <c:symbol val="none"/>
          </c:marker>
          <c:xVal>
            <c:numRef>
              <c:f>S_plus!$L$2:$L$102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S_plus!$AY$2:$AY$102</c:f>
              <c:numCache>
                <c:formatCode>General</c:formatCode>
                <c:ptCount val="101"/>
                <c:pt idx="0">
                  <c:v>100</c:v>
                </c:pt>
                <c:pt idx="1">
                  <c:v>99.118793248200006</c:v>
                </c:pt>
                <c:pt idx="2">
                  <c:v>100.61984121099999</c:v>
                </c:pt>
                <c:pt idx="3">
                  <c:v>101.84795776599999</c:v>
                </c:pt>
                <c:pt idx="4">
                  <c:v>105.963558128</c:v>
                </c:pt>
                <c:pt idx="5">
                  <c:v>107.139365681</c:v>
                </c:pt>
                <c:pt idx="6">
                  <c:v>109.705847283</c:v>
                </c:pt>
                <c:pt idx="7">
                  <c:v>108.995354271</c:v>
                </c:pt>
                <c:pt idx="8">
                  <c:v>112.272312816</c:v>
                </c:pt>
                <c:pt idx="9">
                  <c:v>112.595986688</c:v>
                </c:pt>
                <c:pt idx="10">
                  <c:v>111.07401242500001</c:v>
                </c:pt>
                <c:pt idx="11">
                  <c:v>112.405442163</c:v>
                </c:pt>
                <c:pt idx="12">
                  <c:v>110.54989990599999</c:v>
                </c:pt>
                <c:pt idx="13">
                  <c:v>110.214548104</c:v>
                </c:pt>
                <c:pt idx="14">
                  <c:v>109.505945715</c:v>
                </c:pt>
                <c:pt idx="15">
                  <c:v>108.796598456</c:v>
                </c:pt>
                <c:pt idx="16">
                  <c:v>106.819426416</c:v>
                </c:pt>
                <c:pt idx="17">
                  <c:v>103.070359067</c:v>
                </c:pt>
                <c:pt idx="18">
                  <c:v>101.218836744</c:v>
                </c:pt>
                <c:pt idx="19">
                  <c:v>101.50733498300001</c:v>
                </c:pt>
                <c:pt idx="20">
                  <c:v>97.653054964899994</c:v>
                </c:pt>
                <c:pt idx="21">
                  <c:v>92.242652364799994</c:v>
                </c:pt>
                <c:pt idx="22">
                  <c:v>96.0070994963</c:v>
                </c:pt>
                <c:pt idx="23">
                  <c:v>95.542425318799999</c:v>
                </c:pt>
                <c:pt idx="24">
                  <c:v>90.749374275899996</c:v>
                </c:pt>
                <c:pt idx="25">
                  <c:v>91.151919033400006</c:v>
                </c:pt>
                <c:pt idx="26">
                  <c:v>92.449114479100004</c:v>
                </c:pt>
                <c:pt idx="27">
                  <c:v>90.466190698999995</c:v>
                </c:pt>
                <c:pt idx="28">
                  <c:v>89.1886222264</c:v>
                </c:pt>
                <c:pt idx="29">
                  <c:v>90.5960261938</c:v>
                </c:pt>
                <c:pt idx="30">
                  <c:v>90.400468623899997</c:v>
                </c:pt>
                <c:pt idx="31">
                  <c:v>87.4732954017</c:v>
                </c:pt>
                <c:pt idx="32">
                  <c:v>89.990222148499996</c:v>
                </c:pt>
                <c:pt idx="33">
                  <c:v>90.064547770800004</c:v>
                </c:pt>
                <c:pt idx="34">
                  <c:v>92.878899905400004</c:v>
                </c:pt>
                <c:pt idx="35">
                  <c:v>95.657322942500002</c:v>
                </c:pt>
                <c:pt idx="36">
                  <c:v>94.133439714700003</c:v>
                </c:pt>
                <c:pt idx="37">
                  <c:v>96.632239273099998</c:v>
                </c:pt>
                <c:pt idx="38">
                  <c:v>96.731151517100002</c:v>
                </c:pt>
                <c:pt idx="39">
                  <c:v>95.024208647500004</c:v>
                </c:pt>
                <c:pt idx="40">
                  <c:v>94.303678883000003</c:v>
                </c:pt>
                <c:pt idx="41">
                  <c:v>94.156373146600004</c:v>
                </c:pt>
                <c:pt idx="42">
                  <c:v>90.9908416902</c:v>
                </c:pt>
                <c:pt idx="43">
                  <c:v>91.669305868600006</c:v>
                </c:pt>
                <c:pt idx="44">
                  <c:v>89.812220441700006</c:v>
                </c:pt>
                <c:pt idx="45">
                  <c:v>87.226807742399998</c:v>
                </c:pt>
                <c:pt idx="46">
                  <c:v>88.465379748000004</c:v>
                </c:pt>
                <c:pt idx="47">
                  <c:v>91.705732930699995</c:v>
                </c:pt>
                <c:pt idx="48">
                  <c:v>93.394802451199993</c:v>
                </c:pt>
                <c:pt idx="49">
                  <c:v>94.697305363300003</c:v>
                </c:pt>
                <c:pt idx="50">
                  <c:v>96.216323025999998</c:v>
                </c:pt>
                <c:pt idx="51">
                  <c:v>99.513172558500003</c:v>
                </c:pt>
                <c:pt idx="52">
                  <c:v>99.434941039899996</c:v>
                </c:pt>
                <c:pt idx="53">
                  <c:v>98.139946237499998</c:v>
                </c:pt>
                <c:pt idx="54">
                  <c:v>100.30668399</c:v>
                </c:pt>
                <c:pt idx="55">
                  <c:v>102.784067424</c:v>
                </c:pt>
                <c:pt idx="56">
                  <c:v>102.761941345</c:v>
                </c:pt>
                <c:pt idx="57">
                  <c:v>103.447062551</c:v>
                </c:pt>
                <c:pt idx="58">
                  <c:v>102.263183662</c:v>
                </c:pt>
                <c:pt idx="59">
                  <c:v>102.192499095</c:v>
                </c:pt>
                <c:pt idx="60">
                  <c:v>96.860562747900005</c:v>
                </c:pt>
                <c:pt idx="61">
                  <c:v>97.010141882499994</c:v>
                </c:pt>
                <c:pt idx="62">
                  <c:v>99.960451941900004</c:v>
                </c:pt>
                <c:pt idx="63">
                  <c:v>100.287428015</c:v>
                </c:pt>
                <c:pt idx="64">
                  <c:v>97.035316074099995</c:v>
                </c:pt>
                <c:pt idx="65">
                  <c:v>97.875082258999996</c:v>
                </c:pt>
                <c:pt idx="66">
                  <c:v>96.259136401399999</c:v>
                </c:pt>
                <c:pt idx="67">
                  <c:v>97.067800322500005</c:v>
                </c:pt>
                <c:pt idx="68">
                  <c:v>97.770126347399994</c:v>
                </c:pt>
                <c:pt idx="69">
                  <c:v>97.248415171700003</c:v>
                </c:pt>
                <c:pt idx="70">
                  <c:v>99.821365076999996</c:v>
                </c:pt>
                <c:pt idx="71">
                  <c:v>99.409374592600003</c:v>
                </c:pt>
                <c:pt idx="72">
                  <c:v>98.316522091400003</c:v>
                </c:pt>
                <c:pt idx="73">
                  <c:v>96.880726788999993</c:v>
                </c:pt>
                <c:pt idx="74">
                  <c:v>95.536399329299996</c:v>
                </c:pt>
                <c:pt idx="75">
                  <c:v>92.243804480199998</c:v>
                </c:pt>
                <c:pt idx="76">
                  <c:v>92.369902663900007</c:v>
                </c:pt>
                <c:pt idx="77">
                  <c:v>92.1972418804</c:v>
                </c:pt>
                <c:pt idx="78">
                  <c:v>90.588538083900005</c:v>
                </c:pt>
                <c:pt idx="79">
                  <c:v>90.262914938400002</c:v>
                </c:pt>
                <c:pt idx="80">
                  <c:v>89.336467241500003</c:v>
                </c:pt>
                <c:pt idx="81">
                  <c:v>87.091765808600002</c:v>
                </c:pt>
                <c:pt idx="82">
                  <c:v>86.099216704200003</c:v>
                </c:pt>
                <c:pt idx="83">
                  <c:v>87.928199846699997</c:v>
                </c:pt>
                <c:pt idx="84">
                  <c:v>89.601200980000002</c:v>
                </c:pt>
                <c:pt idx="85">
                  <c:v>89.364514290599999</c:v>
                </c:pt>
                <c:pt idx="86">
                  <c:v>89.768828378199998</c:v>
                </c:pt>
                <c:pt idx="87">
                  <c:v>89.183130245200005</c:v>
                </c:pt>
                <c:pt idx="88">
                  <c:v>88.703112965000003</c:v>
                </c:pt>
                <c:pt idx="89">
                  <c:v>88.440732329599996</c:v>
                </c:pt>
                <c:pt idx="90">
                  <c:v>89.474741525900001</c:v>
                </c:pt>
                <c:pt idx="91">
                  <c:v>86.3887999863</c:v>
                </c:pt>
                <c:pt idx="92">
                  <c:v>85.537762915299993</c:v>
                </c:pt>
                <c:pt idx="93">
                  <c:v>87.127385089000001</c:v>
                </c:pt>
                <c:pt idx="94">
                  <c:v>87.633275572499997</c:v>
                </c:pt>
                <c:pt idx="95">
                  <c:v>88.527295822900001</c:v>
                </c:pt>
                <c:pt idx="96">
                  <c:v>88.006592211500006</c:v>
                </c:pt>
                <c:pt idx="97">
                  <c:v>87.409538453600007</c:v>
                </c:pt>
                <c:pt idx="98">
                  <c:v>86.517726339899994</c:v>
                </c:pt>
                <c:pt idx="99">
                  <c:v>89.751874192499997</c:v>
                </c:pt>
                <c:pt idx="100">
                  <c:v>90.477026760699999</c:v>
                </c:pt>
              </c:numCache>
            </c:numRef>
          </c:yVal>
          <c:smooth val="1"/>
        </c:ser>
        <c:ser>
          <c:idx val="39"/>
          <c:order val="39"/>
          <c:tx>
            <c:strRef>
              <c:f>S_plus!$AZ$1</c:f>
              <c:strCache>
                <c:ptCount val="1"/>
                <c:pt idx="0">
                  <c:v>Sim40</c:v>
                </c:pt>
              </c:strCache>
            </c:strRef>
          </c:tx>
          <c:marker>
            <c:symbol val="none"/>
          </c:marker>
          <c:xVal>
            <c:numRef>
              <c:f>S_plus!$L$2:$L$102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S_plus!$AZ$2:$AZ$102</c:f>
              <c:numCache>
                <c:formatCode>General</c:formatCode>
                <c:ptCount val="101"/>
                <c:pt idx="0">
                  <c:v>100</c:v>
                </c:pt>
                <c:pt idx="1">
                  <c:v>100.735120635</c:v>
                </c:pt>
                <c:pt idx="2">
                  <c:v>101.47167621</c:v>
                </c:pt>
                <c:pt idx="3">
                  <c:v>100.91776524799999</c:v>
                </c:pt>
                <c:pt idx="4">
                  <c:v>103.282290699</c:v>
                </c:pt>
                <c:pt idx="5">
                  <c:v>103.717802694</c:v>
                </c:pt>
                <c:pt idx="6">
                  <c:v>104.850636737</c:v>
                </c:pt>
                <c:pt idx="7">
                  <c:v>104.517721177</c:v>
                </c:pt>
                <c:pt idx="8">
                  <c:v>104.48273817800001</c:v>
                </c:pt>
                <c:pt idx="9">
                  <c:v>104.297767327</c:v>
                </c:pt>
                <c:pt idx="10">
                  <c:v>105.960502095</c:v>
                </c:pt>
                <c:pt idx="11">
                  <c:v>109.541155442</c:v>
                </c:pt>
                <c:pt idx="12">
                  <c:v>109.40064366999999</c:v>
                </c:pt>
                <c:pt idx="13">
                  <c:v>113.131976017</c:v>
                </c:pt>
                <c:pt idx="14">
                  <c:v>110.50429750000001</c:v>
                </c:pt>
                <c:pt idx="15">
                  <c:v>107.905635096</c:v>
                </c:pt>
                <c:pt idx="16">
                  <c:v>108.678273432</c:v>
                </c:pt>
                <c:pt idx="17">
                  <c:v>108.968275788</c:v>
                </c:pt>
                <c:pt idx="18">
                  <c:v>108.08896708899999</c:v>
                </c:pt>
                <c:pt idx="19">
                  <c:v>113.793349683</c:v>
                </c:pt>
                <c:pt idx="20">
                  <c:v>114.28050052499999</c:v>
                </c:pt>
                <c:pt idx="21">
                  <c:v>116.400051343</c:v>
                </c:pt>
                <c:pt idx="22">
                  <c:v>113.805636452</c:v>
                </c:pt>
                <c:pt idx="23">
                  <c:v>113.270053301</c:v>
                </c:pt>
                <c:pt idx="24">
                  <c:v>114.87133521600001</c:v>
                </c:pt>
                <c:pt idx="25">
                  <c:v>117.523232724</c:v>
                </c:pt>
                <c:pt idx="26">
                  <c:v>118.67919118099999</c:v>
                </c:pt>
                <c:pt idx="27">
                  <c:v>119.939613353</c:v>
                </c:pt>
                <c:pt idx="28">
                  <c:v>119.437841273</c:v>
                </c:pt>
                <c:pt idx="29">
                  <c:v>120.672499612</c:v>
                </c:pt>
                <c:pt idx="30">
                  <c:v>118.122916359</c:v>
                </c:pt>
                <c:pt idx="31">
                  <c:v>120.05365740000001</c:v>
                </c:pt>
                <c:pt idx="32">
                  <c:v>116.811780652</c:v>
                </c:pt>
                <c:pt idx="33">
                  <c:v>115.48224616</c:v>
                </c:pt>
                <c:pt idx="34">
                  <c:v>115.668338445</c:v>
                </c:pt>
                <c:pt idx="35">
                  <c:v>117.858911277</c:v>
                </c:pt>
                <c:pt idx="36">
                  <c:v>116.85708085900001</c:v>
                </c:pt>
                <c:pt idx="37">
                  <c:v>120.95991182</c:v>
                </c:pt>
                <c:pt idx="38">
                  <c:v>116.51163110100001</c:v>
                </c:pt>
                <c:pt idx="39">
                  <c:v>118.653466408</c:v>
                </c:pt>
                <c:pt idx="40">
                  <c:v>121.172798771</c:v>
                </c:pt>
                <c:pt idx="41">
                  <c:v>117.973802459</c:v>
                </c:pt>
                <c:pt idx="42">
                  <c:v>119.179245679</c:v>
                </c:pt>
                <c:pt idx="43">
                  <c:v>122.411469588</c:v>
                </c:pt>
                <c:pt idx="44">
                  <c:v>120.00668849100001</c:v>
                </c:pt>
                <c:pt idx="45">
                  <c:v>121.28636104100001</c:v>
                </c:pt>
                <c:pt idx="46">
                  <c:v>122.21177273399999</c:v>
                </c:pt>
                <c:pt idx="47">
                  <c:v>122.376906955</c:v>
                </c:pt>
                <c:pt idx="48">
                  <c:v>124.801452072</c:v>
                </c:pt>
                <c:pt idx="49">
                  <c:v>124.993830938</c:v>
                </c:pt>
                <c:pt idx="50">
                  <c:v>124.580965947</c:v>
                </c:pt>
                <c:pt idx="51">
                  <c:v>123.559858007</c:v>
                </c:pt>
                <c:pt idx="52">
                  <c:v>125.139286594</c:v>
                </c:pt>
                <c:pt idx="53">
                  <c:v>125.757397638</c:v>
                </c:pt>
                <c:pt idx="54">
                  <c:v>122.509488018</c:v>
                </c:pt>
                <c:pt idx="55">
                  <c:v>122.66621422</c:v>
                </c:pt>
                <c:pt idx="56">
                  <c:v>124.199768181</c:v>
                </c:pt>
                <c:pt idx="57">
                  <c:v>125.015661842</c:v>
                </c:pt>
                <c:pt idx="58">
                  <c:v>127.988492073</c:v>
                </c:pt>
                <c:pt idx="59">
                  <c:v>127.053092596</c:v>
                </c:pt>
                <c:pt idx="60">
                  <c:v>128.47271291300001</c:v>
                </c:pt>
                <c:pt idx="61">
                  <c:v>131.88022601399999</c:v>
                </c:pt>
                <c:pt idx="62">
                  <c:v>130.744023371</c:v>
                </c:pt>
                <c:pt idx="63">
                  <c:v>129.55337788700001</c:v>
                </c:pt>
                <c:pt idx="64">
                  <c:v>130.657225192</c:v>
                </c:pt>
                <c:pt idx="65">
                  <c:v>135.177135585</c:v>
                </c:pt>
                <c:pt idx="66">
                  <c:v>128.710572009</c:v>
                </c:pt>
                <c:pt idx="67">
                  <c:v>125.222616429</c:v>
                </c:pt>
                <c:pt idx="68">
                  <c:v>125.161613723</c:v>
                </c:pt>
                <c:pt idx="69">
                  <c:v>128.03175582099999</c:v>
                </c:pt>
                <c:pt idx="70">
                  <c:v>127.700582148</c:v>
                </c:pt>
                <c:pt idx="71">
                  <c:v>122.747527445</c:v>
                </c:pt>
                <c:pt idx="72">
                  <c:v>123.757302548</c:v>
                </c:pt>
                <c:pt idx="73">
                  <c:v>124.09342580800001</c:v>
                </c:pt>
                <c:pt idx="74">
                  <c:v>120.64860269499999</c:v>
                </c:pt>
                <c:pt idx="75">
                  <c:v>121.010886576</c:v>
                </c:pt>
                <c:pt idx="76">
                  <c:v>121.13590921399999</c:v>
                </c:pt>
                <c:pt idx="77">
                  <c:v>120.27487405799999</c:v>
                </c:pt>
                <c:pt idx="78">
                  <c:v>126.769850973</c:v>
                </c:pt>
                <c:pt idx="79">
                  <c:v>126.580873485</c:v>
                </c:pt>
                <c:pt idx="80">
                  <c:v>129.45822938500001</c:v>
                </c:pt>
                <c:pt idx="81">
                  <c:v>127.36577105400001</c:v>
                </c:pt>
                <c:pt idx="82">
                  <c:v>126.48301096100001</c:v>
                </c:pt>
                <c:pt idx="83">
                  <c:v>124.942028436</c:v>
                </c:pt>
                <c:pt idx="84">
                  <c:v>124.903595512</c:v>
                </c:pt>
                <c:pt idx="85">
                  <c:v>124.453513109</c:v>
                </c:pt>
                <c:pt idx="86">
                  <c:v>126.196116176</c:v>
                </c:pt>
                <c:pt idx="87">
                  <c:v>129.113140101</c:v>
                </c:pt>
                <c:pt idx="88">
                  <c:v>129.879948109</c:v>
                </c:pt>
                <c:pt idx="89">
                  <c:v>133.33013637600001</c:v>
                </c:pt>
                <c:pt idx="90">
                  <c:v>135.01645898999999</c:v>
                </c:pt>
                <c:pt idx="91">
                  <c:v>138.621735304</c:v>
                </c:pt>
                <c:pt idx="92">
                  <c:v>137.27290322499999</c:v>
                </c:pt>
                <c:pt idx="93">
                  <c:v>134.61213026499999</c:v>
                </c:pt>
                <c:pt idx="94">
                  <c:v>139.90512157699999</c:v>
                </c:pt>
                <c:pt idx="95">
                  <c:v>134.05191807099999</c:v>
                </c:pt>
                <c:pt idx="96">
                  <c:v>136.41308885399999</c:v>
                </c:pt>
                <c:pt idx="97">
                  <c:v>134.61189198700001</c:v>
                </c:pt>
                <c:pt idx="98">
                  <c:v>134.946437331</c:v>
                </c:pt>
                <c:pt idx="99">
                  <c:v>132.67984703799999</c:v>
                </c:pt>
                <c:pt idx="100">
                  <c:v>131.83587057599999</c:v>
                </c:pt>
              </c:numCache>
            </c:numRef>
          </c:yVal>
          <c:smooth val="1"/>
        </c:ser>
        <c:ser>
          <c:idx val="40"/>
          <c:order val="40"/>
          <c:tx>
            <c:strRef>
              <c:f>S_plus!$BA$1</c:f>
              <c:strCache>
                <c:ptCount val="1"/>
                <c:pt idx="0">
                  <c:v>Sim41</c:v>
                </c:pt>
              </c:strCache>
            </c:strRef>
          </c:tx>
          <c:marker>
            <c:symbol val="none"/>
          </c:marker>
          <c:xVal>
            <c:numRef>
              <c:f>S_plus!$L$2:$L$102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S_plus!$BA$2:$BA$102</c:f>
              <c:numCache>
                <c:formatCode>General</c:formatCode>
                <c:ptCount val="101"/>
                <c:pt idx="0">
                  <c:v>100</c:v>
                </c:pt>
                <c:pt idx="1">
                  <c:v>99.313705465400005</c:v>
                </c:pt>
                <c:pt idx="2">
                  <c:v>99.899546685600001</c:v>
                </c:pt>
                <c:pt idx="3">
                  <c:v>100.652465463</c:v>
                </c:pt>
                <c:pt idx="4">
                  <c:v>102.130055966</c:v>
                </c:pt>
                <c:pt idx="5">
                  <c:v>104.755699741</c:v>
                </c:pt>
                <c:pt idx="6">
                  <c:v>106.09793068099999</c:v>
                </c:pt>
                <c:pt idx="7">
                  <c:v>105.00225760799999</c:v>
                </c:pt>
                <c:pt idx="8">
                  <c:v>104.763390786</c:v>
                </c:pt>
                <c:pt idx="9">
                  <c:v>104.88858118900001</c:v>
                </c:pt>
                <c:pt idx="10">
                  <c:v>107.46262285</c:v>
                </c:pt>
                <c:pt idx="11">
                  <c:v>108.988230845</c:v>
                </c:pt>
                <c:pt idx="12">
                  <c:v>109.294593924</c:v>
                </c:pt>
                <c:pt idx="13">
                  <c:v>113.94966221</c:v>
                </c:pt>
                <c:pt idx="14">
                  <c:v>111.22193750300001</c:v>
                </c:pt>
                <c:pt idx="15">
                  <c:v>109.33352929</c:v>
                </c:pt>
                <c:pt idx="16">
                  <c:v>109.535223641</c:v>
                </c:pt>
                <c:pt idx="17">
                  <c:v>108.237104088</c:v>
                </c:pt>
                <c:pt idx="18">
                  <c:v>107.98966279699999</c:v>
                </c:pt>
                <c:pt idx="19">
                  <c:v>107.475777411</c:v>
                </c:pt>
                <c:pt idx="20">
                  <c:v>108.616760039</c:v>
                </c:pt>
                <c:pt idx="21">
                  <c:v>106.553417306</c:v>
                </c:pt>
                <c:pt idx="22">
                  <c:v>106.26178382400001</c:v>
                </c:pt>
                <c:pt idx="23">
                  <c:v>106.92078803299999</c:v>
                </c:pt>
                <c:pt idx="24">
                  <c:v>108.681628659</c:v>
                </c:pt>
                <c:pt idx="25">
                  <c:v>107.28086851899999</c:v>
                </c:pt>
                <c:pt idx="26">
                  <c:v>107.01425513700001</c:v>
                </c:pt>
                <c:pt idx="27">
                  <c:v>109.851668566</c:v>
                </c:pt>
                <c:pt idx="28">
                  <c:v>113.927242656</c:v>
                </c:pt>
                <c:pt idx="29">
                  <c:v>108.142964209</c:v>
                </c:pt>
                <c:pt idx="30">
                  <c:v>108.013879523</c:v>
                </c:pt>
                <c:pt idx="31">
                  <c:v>109.233342127</c:v>
                </c:pt>
                <c:pt idx="32">
                  <c:v>115.7380095</c:v>
                </c:pt>
                <c:pt idx="33">
                  <c:v>116.66849980400001</c:v>
                </c:pt>
                <c:pt idx="34">
                  <c:v>116.46030038799999</c:v>
                </c:pt>
                <c:pt idx="35">
                  <c:v>115.100271014</c:v>
                </c:pt>
                <c:pt idx="36">
                  <c:v>117.994907783</c:v>
                </c:pt>
                <c:pt idx="37">
                  <c:v>117.413256061</c:v>
                </c:pt>
                <c:pt idx="38">
                  <c:v>115.127703866</c:v>
                </c:pt>
                <c:pt idx="39">
                  <c:v>115.416589946</c:v>
                </c:pt>
                <c:pt idx="40">
                  <c:v>118.625345782</c:v>
                </c:pt>
                <c:pt idx="41">
                  <c:v>118.843942168</c:v>
                </c:pt>
                <c:pt idx="42">
                  <c:v>118.707608239</c:v>
                </c:pt>
                <c:pt idx="43">
                  <c:v>119.971224554</c:v>
                </c:pt>
                <c:pt idx="44">
                  <c:v>123.909557901</c:v>
                </c:pt>
                <c:pt idx="45">
                  <c:v>120.17809316</c:v>
                </c:pt>
                <c:pt idx="46">
                  <c:v>124.325017906</c:v>
                </c:pt>
                <c:pt idx="47">
                  <c:v>122.337894393</c:v>
                </c:pt>
                <c:pt idx="48">
                  <c:v>121.679006585</c:v>
                </c:pt>
                <c:pt idx="49">
                  <c:v>119.54071679099999</c:v>
                </c:pt>
                <c:pt idx="50">
                  <c:v>122.107995633</c:v>
                </c:pt>
                <c:pt idx="51">
                  <c:v>123.763012621</c:v>
                </c:pt>
                <c:pt idx="52">
                  <c:v>120.130361165</c:v>
                </c:pt>
                <c:pt idx="53">
                  <c:v>119.838809813</c:v>
                </c:pt>
                <c:pt idx="54">
                  <c:v>120.690865903</c:v>
                </c:pt>
                <c:pt idx="55">
                  <c:v>115.908430104</c:v>
                </c:pt>
                <c:pt idx="56">
                  <c:v>115.690976741</c:v>
                </c:pt>
                <c:pt idx="57">
                  <c:v>117.747464534</c:v>
                </c:pt>
                <c:pt idx="58">
                  <c:v>122.85223942499999</c:v>
                </c:pt>
                <c:pt idx="59">
                  <c:v>121.805596507</c:v>
                </c:pt>
                <c:pt idx="60">
                  <c:v>115.524851357</c:v>
                </c:pt>
                <c:pt idx="61">
                  <c:v>113.607618102</c:v>
                </c:pt>
                <c:pt idx="62">
                  <c:v>115.77650182399999</c:v>
                </c:pt>
                <c:pt idx="63">
                  <c:v>116.556055628</c:v>
                </c:pt>
                <c:pt idx="64">
                  <c:v>116.814762653</c:v>
                </c:pt>
                <c:pt idx="65">
                  <c:v>118.021032371</c:v>
                </c:pt>
                <c:pt idx="66">
                  <c:v>117.647322989</c:v>
                </c:pt>
                <c:pt idx="67">
                  <c:v>118.87073989300001</c:v>
                </c:pt>
                <c:pt idx="68">
                  <c:v>120.13531215499999</c:v>
                </c:pt>
                <c:pt idx="69">
                  <c:v>122.894750765</c:v>
                </c:pt>
                <c:pt idx="70">
                  <c:v>122.87581875399999</c:v>
                </c:pt>
                <c:pt idx="71">
                  <c:v>126.463835081</c:v>
                </c:pt>
                <c:pt idx="72">
                  <c:v>124.93241746699999</c:v>
                </c:pt>
                <c:pt idx="73">
                  <c:v>123.516268668</c:v>
                </c:pt>
                <c:pt idx="74">
                  <c:v>124.19492259</c:v>
                </c:pt>
                <c:pt idx="75">
                  <c:v>124.441140182</c:v>
                </c:pt>
                <c:pt idx="76">
                  <c:v>123.67633168099999</c:v>
                </c:pt>
                <c:pt idx="77">
                  <c:v>126.092987841</c:v>
                </c:pt>
                <c:pt idx="78">
                  <c:v>126.130169513</c:v>
                </c:pt>
                <c:pt idx="79">
                  <c:v>128.27603720299999</c:v>
                </c:pt>
                <c:pt idx="80">
                  <c:v>126.742018049</c:v>
                </c:pt>
                <c:pt idx="81">
                  <c:v>124.30998449099999</c:v>
                </c:pt>
                <c:pt idx="82">
                  <c:v>124.36867709000001</c:v>
                </c:pt>
                <c:pt idx="83">
                  <c:v>125.524574102</c:v>
                </c:pt>
                <c:pt idx="84">
                  <c:v>126.68555107</c:v>
                </c:pt>
                <c:pt idx="85">
                  <c:v>126.440112434</c:v>
                </c:pt>
                <c:pt idx="86">
                  <c:v>123.492019791</c:v>
                </c:pt>
                <c:pt idx="87">
                  <c:v>122.218787158</c:v>
                </c:pt>
                <c:pt idx="88">
                  <c:v>121.68975901</c:v>
                </c:pt>
                <c:pt idx="89">
                  <c:v>121.045882343</c:v>
                </c:pt>
                <c:pt idx="90">
                  <c:v>120.487240884</c:v>
                </c:pt>
                <c:pt idx="91">
                  <c:v>121.92551638099999</c:v>
                </c:pt>
                <c:pt idx="92">
                  <c:v>123.673065444</c:v>
                </c:pt>
                <c:pt idx="93">
                  <c:v>123.615251128</c:v>
                </c:pt>
                <c:pt idx="94">
                  <c:v>124.472806905</c:v>
                </c:pt>
                <c:pt idx="95">
                  <c:v>126.26756554799999</c:v>
                </c:pt>
                <c:pt idx="96">
                  <c:v>123.870661778</c:v>
                </c:pt>
                <c:pt idx="97">
                  <c:v>118.658722189</c:v>
                </c:pt>
                <c:pt idx="98">
                  <c:v>116.70364835700001</c:v>
                </c:pt>
                <c:pt idx="99">
                  <c:v>117.294242692</c:v>
                </c:pt>
                <c:pt idx="100">
                  <c:v>114.059169774</c:v>
                </c:pt>
              </c:numCache>
            </c:numRef>
          </c:yVal>
          <c:smooth val="1"/>
        </c:ser>
        <c:ser>
          <c:idx val="41"/>
          <c:order val="41"/>
          <c:tx>
            <c:strRef>
              <c:f>S_plus!$BB$1</c:f>
              <c:strCache>
                <c:ptCount val="1"/>
                <c:pt idx="0">
                  <c:v>Sim42</c:v>
                </c:pt>
              </c:strCache>
            </c:strRef>
          </c:tx>
          <c:marker>
            <c:symbol val="none"/>
          </c:marker>
          <c:xVal>
            <c:numRef>
              <c:f>S_plus!$L$2:$L$102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S_plus!$BB$2:$BB$102</c:f>
              <c:numCache>
                <c:formatCode>General</c:formatCode>
                <c:ptCount val="101"/>
                <c:pt idx="0">
                  <c:v>100</c:v>
                </c:pt>
                <c:pt idx="1">
                  <c:v>99.006297703599998</c:v>
                </c:pt>
                <c:pt idx="2">
                  <c:v>97.963641441700005</c:v>
                </c:pt>
                <c:pt idx="3">
                  <c:v>99.232782483999998</c:v>
                </c:pt>
                <c:pt idx="4">
                  <c:v>98.833808220899996</c:v>
                </c:pt>
                <c:pt idx="5">
                  <c:v>103.682809601</c:v>
                </c:pt>
                <c:pt idx="6">
                  <c:v>103.86074857200001</c:v>
                </c:pt>
                <c:pt idx="7">
                  <c:v>102.823837365</c:v>
                </c:pt>
                <c:pt idx="8">
                  <c:v>103.323635967</c:v>
                </c:pt>
                <c:pt idx="9">
                  <c:v>105.081346573</c:v>
                </c:pt>
                <c:pt idx="10">
                  <c:v>105.341190876</c:v>
                </c:pt>
                <c:pt idx="11">
                  <c:v>106.14408374600001</c:v>
                </c:pt>
                <c:pt idx="12">
                  <c:v>108.817908398</c:v>
                </c:pt>
                <c:pt idx="13">
                  <c:v>110.78717640000001</c:v>
                </c:pt>
                <c:pt idx="14">
                  <c:v>106.673355606</c:v>
                </c:pt>
                <c:pt idx="15">
                  <c:v>108.042850395</c:v>
                </c:pt>
                <c:pt idx="16">
                  <c:v>109.911439512</c:v>
                </c:pt>
                <c:pt idx="17">
                  <c:v>111.34032161899999</c:v>
                </c:pt>
                <c:pt idx="18">
                  <c:v>112.64353409100001</c:v>
                </c:pt>
                <c:pt idx="19">
                  <c:v>113.913913546</c:v>
                </c:pt>
                <c:pt idx="20">
                  <c:v>111.685192187</c:v>
                </c:pt>
                <c:pt idx="21">
                  <c:v>111.960416153</c:v>
                </c:pt>
                <c:pt idx="22">
                  <c:v>110.14389521299999</c:v>
                </c:pt>
                <c:pt idx="23">
                  <c:v>108.673387299</c:v>
                </c:pt>
                <c:pt idx="24">
                  <c:v>108.269536182</c:v>
                </c:pt>
                <c:pt idx="25">
                  <c:v>104.973644841</c:v>
                </c:pt>
                <c:pt idx="26">
                  <c:v>105.985565341</c:v>
                </c:pt>
                <c:pt idx="27">
                  <c:v>104.944527182</c:v>
                </c:pt>
                <c:pt idx="28">
                  <c:v>104.371854244</c:v>
                </c:pt>
                <c:pt idx="29">
                  <c:v>105.99702578599999</c:v>
                </c:pt>
                <c:pt idx="30">
                  <c:v>108.612774634</c:v>
                </c:pt>
                <c:pt idx="31">
                  <c:v>105.514961718</c:v>
                </c:pt>
                <c:pt idx="32">
                  <c:v>103.29517295799999</c:v>
                </c:pt>
                <c:pt idx="33">
                  <c:v>106.262074275</c:v>
                </c:pt>
                <c:pt idx="34">
                  <c:v>107.085725447</c:v>
                </c:pt>
                <c:pt idx="35">
                  <c:v>107.55355504000001</c:v>
                </c:pt>
                <c:pt idx="36">
                  <c:v>110.659979548</c:v>
                </c:pt>
                <c:pt idx="37">
                  <c:v>110.993372345</c:v>
                </c:pt>
                <c:pt idx="38">
                  <c:v>110.52943404299999</c:v>
                </c:pt>
                <c:pt idx="39">
                  <c:v>111.488769382</c:v>
                </c:pt>
                <c:pt idx="40">
                  <c:v>110.927845121</c:v>
                </c:pt>
                <c:pt idx="41">
                  <c:v>109.948829797</c:v>
                </c:pt>
                <c:pt idx="42">
                  <c:v>109.796352669</c:v>
                </c:pt>
                <c:pt idx="43">
                  <c:v>107.29045067600001</c:v>
                </c:pt>
                <c:pt idx="44">
                  <c:v>109.336699534</c:v>
                </c:pt>
                <c:pt idx="45">
                  <c:v>108.37574675800001</c:v>
                </c:pt>
                <c:pt idx="46">
                  <c:v>107.405128369</c:v>
                </c:pt>
                <c:pt idx="47">
                  <c:v>106.690762449</c:v>
                </c:pt>
                <c:pt idx="48">
                  <c:v>105.332666362</c:v>
                </c:pt>
                <c:pt idx="49">
                  <c:v>103.487201877</c:v>
                </c:pt>
                <c:pt idx="50">
                  <c:v>98.954067925199993</c:v>
                </c:pt>
                <c:pt idx="51">
                  <c:v>97.222897955799993</c:v>
                </c:pt>
                <c:pt idx="52">
                  <c:v>99.789211714900006</c:v>
                </c:pt>
                <c:pt idx="53">
                  <c:v>97.206855571000006</c:v>
                </c:pt>
                <c:pt idx="54">
                  <c:v>98.575091769500006</c:v>
                </c:pt>
                <c:pt idx="55">
                  <c:v>98.921944130699998</c:v>
                </c:pt>
                <c:pt idx="56">
                  <c:v>95.653349228400003</c:v>
                </c:pt>
                <c:pt idx="57">
                  <c:v>100.564408306</c:v>
                </c:pt>
                <c:pt idx="58">
                  <c:v>104.399712545</c:v>
                </c:pt>
                <c:pt idx="59">
                  <c:v>107.603810888</c:v>
                </c:pt>
                <c:pt idx="60">
                  <c:v>108.881920713</c:v>
                </c:pt>
                <c:pt idx="61">
                  <c:v>110.44877126900001</c:v>
                </c:pt>
                <c:pt idx="62">
                  <c:v>108.8078163</c:v>
                </c:pt>
                <c:pt idx="63">
                  <c:v>110.860087904</c:v>
                </c:pt>
                <c:pt idx="64">
                  <c:v>109.247604833</c:v>
                </c:pt>
                <c:pt idx="65">
                  <c:v>111.385557444</c:v>
                </c:pt>
                <c:pt idx="66">
                  <c:v>108.46401093999999</c:v>
                </c:pt>
                <c:pt idx="67">
                  <c:v>107.434193537</c:v>
                </c:pt>
                <c:pt idx="68">
                  <c:v>107.68692282400001</c:v>
                </c:pt>
                <c:pt idx="69">
                  <c:v>107.997439973</c:v>
                </c:pt>
                <c:pt idx="70">
                  <c:v>106.257347293</c:v>
                </c:pt>
                <c:pt idx="71">
                  <c:v>109.211802179</c:v>
                </c:pt>
                <c:pt idx="72">
                  <c:v>107.358050026</c:v>
                </c:pt>
                <c:pt idx="73">
                  <c:v>105.051743622</c:v>
                </c:pt>
                <c:pt idx="74">
                  <c:v>107.79568944499999</c:v>
                </c:pt>
                <c:pt idx="75">
                  <c:v>108.098989921</c:v>
                </c:pt>
                <c:pt idx="76">
                  <c:v>107.799858591</c:v>
                </c:pt>
                <c:pt idx="77">
                  <c:v>103.693176263</c:v>
                </c:pt>
                <c:pt idx="78">
                  <c:v>99.954839274999998</c:v>
                </c:pt>
                <c:pt idx="79">
                  <c:v>103.319308866</c:v>
                </c:pt>
                <c:pt idx="80">
                  <c:v>103.075376117</c:v>
                </c:pt>
                <c:pt idx="81">
                  <c:v>105.200637262</c:v>
                </c:pt>
                <c:pt idx="82">
                  <c:v>104.11421586900001</c:v>
                </c:pt>
                <c:pt idx="83">
                  <c:v>105.604641957</c:v>
                </c:pt>
                <c:pt idx="84">
                  <c:v>104.758860783</c:v>
                </c:pt>
                <c:pt idx="85">
                  <c:v>102.705639271</c:v>
                </c:pt>
                <c:pt idx="86">
                  <c:v>102.066231977</c:v>
                </c:pt>
                <c:pt idx="87">
                  <c:v>99.842689915600005</c:v>
                </c:pt>
                <c:pt idx="88">
                  <c:v>100.76386099</c:v>
                </c:pt>
                <c:pt idx="89">
                  <c:v>99.440701719499998</c:v>
                </c:pt>
                <c:pt idx="90">
                  <c:v>100.56784567299999</c:v>
                </c:pt>
                <c:pt idx="91">
                  <c:v>103.064544145</c:v>
                </c:pt>
                <c:pt idx="92">
                  <c:v>105.997274116</c:v>
                </c:pt>
                <c:pt idx="93">
                  <c:v>108.407624696</c:v>
                </c:pt>
                <c:pt idx="94">
                  <c:v>105.46142989499999</c:v>
                </c:pt>
                <c:pt idx="95">
                  <c:v>104.77273054299999</c:v>
                </c:pt>
                <c:pt idx="96">
                  <c:v>106.606822404</c:v>
                </c:pt>
                <c:pt idx="97">
                  <c:v>107.060351733</c:v>
                </c:pt>
                <c:pt idx="98">
                  <c:v>105.69335085100001</c:v>
                </c:pt>
                <c:pt idx="99">
                  <c:v>105.546139486</c:v>
                </c:pt>
                <c:pt idx="100">
                  <c:v>106.61706357200001</c:v>
                </c:pt>
              </c:numCache>
            </c:numRef>
          </c:yVal>
          <c:smooth val="1"/>
        </c:ser>
        <c:ser>
          <c:idx val="42"/>
          <c:order val="42"/>
          <c:tx>
            <c:strRef>
              <c:f>S_plus!$BC$1</c:f>
              <c:strCache>
                <c:ptCount val="1"/>
                <c:pt idx="0">
                  <c:v>Sim43</c:v>
                </c:pt>
              </c:strCache>
            </c:strRef>
          </c:tx>
          <c:marker>
            <c:symbol val="none"/>
          </c:marker>
          <c:xVal>
            <c:numRef>
              <c:f>S_plus!$L$2:$L$102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S_plus!$BC$2:$BC$102</c:f>
              <c:numCache>
                <c:formatCode>General</c:formatCode>
                <c:ptCount val="101"/>
                <c:pt idx="0">
                  <c:v>100</c:v>
                </c:pt>
                <c:pt idx="1">
                  <c:v>98.067416831499997</c:v>
                </c:pt>
                <c:pt idx="2">
                  <c:v>100.171162073</c:v>
                </c:pt>
                <c:pt idx="3">
                  <c:v>98.751523599999999</c:v>
                </c:pt>
                <c:pt idx="4">
                  <c:v>96.735242456400002</c:v>
                </c:pt>
                <c:pt idx="5">
                  <c:v>98.726821661700001</c:v>
                </c:pt>
                <c:pt idx="6">
                  <c:v>99.454896505600004</c:v>
                </c:pt>
                <c:pt idx="7">
                  <c:v>101.67859459100001</c:v>
                </c:pt>
                <c:pt idx="8">
                  <c:v>102.847198049</c:v>
                </c:pt>
                <c:pt idx="9">
                  <c:v>104.7315976</c:v>
                </c:pt>
                <c:pt idx="10">
                  <c:v>108.73473973999999</c:v>
                </c:pt>
                <c:pt idx="11">
                  <c:v>105.84054622799999</c:v>
                </c:pt>
                <c:pt idx="12">
                  <c:v>107.583465508</c:v>
                </c:pt>
                <c:pt idx="13">
                  <c:v>109.621814797</c:v>
                </c:pt>
                <c:pt idx="14">
                  <c:v>111.74489907100001</c:v>
                </c:pt>
                <c:pt idx="15">
                  <c:v>114.29118325100001</c:v>
                </c:pt>
                <c:pt idx="16">
                  <c:v>116.36734823800001</c:v>
                </c:pt>
                <c:pt idx="17">
                  <c:v>118.249693142</c:v>
                </c:pt>
                <c:pt idx="18">
                  <c:v>117.58579097000001</c:v>
                </c:pt>
                <c:pt idx="19">
                  <c:v>116.926560415</c:v>
                </c:pt>
                <c:pt idx="20">
                  <c:v>114.65326233</c:v>
                </c:pt>
                <c:pt idx="21">
                  <c:v>116.405138381</c:v>
                </c:pt>
                <c:pt idx="22">
                  <c:v>112.484315151</c:v>
                </c:pt>
                <c:pt idx="23">
                  <c:v>112.329335456</c:v>
                </c:pt>
                <c:pt idx="24">
                  <c:v>111.88554643499999</c:v>
                </c:pt>
                <c:pt idx="25">
                  <c:v>108.970937827</c:v>
                </c:pt>
                <c:pt idx="26">
                  <c:v>108.270614012</c:v>
                </c:pt>
                <c:pt idx="27">
                  <c:v>108.04220753</c:v>
                </c:pt>
                <c:pt idx="28">
                  <c:v>107.809987468</c:v>
                </c:pt>
                <c:pt idx="29">
                  <c:v>106.07929799</c:v>
                </c:pt>
                <c:pt idx="30">
                  <c:v>105.18571095199999</c:v>
                </c:pt>
                <c:pt idx="31">
                  <c:v>109.704474338</c:v>
                </c:pt>
                <c:pt idx="32">
                  <c:v>108.592296292</c:v>
                </c:pt>
                <c:pt idx="33">
                  <c:v>109.396345384</c:v>
                </c:pt>
                <c:pt idx="34">
                  <c:v>110.132452648</c:v>
                </c:pt>
                <c:pt idx="35">
                  <c:v>111.895637662</c:v>
                </c:pt>
                <c:pt idx="36">
                  <c:v>114.38970392</c:v>
                </c:pt>
                <c:pt idx="37">
                  <c:v>116.188928168</c:v>
                </c:pt>
                <c:pt idx="38">
                  <c:v>113.853868365</c:v>
                </c:pt>
                <c:pt idx="39">
                  <c:v>114.698983885</c:v>
                </c:pt>
                <c:pt idx="40">
                  <c:v>113.35163999</c:v>
                </c:pt>
                <c:pt idx="41">
                  <c:v>115.129831178</c:v>
                </c:pt>
                <c:pt idx="42">
                  <c:v>116.061888447</c:v>
                </c:pt>
                <c:pt idx="43">
                  <c:v>115.266706187</c:v>
                </c:pt>
                <c:pt idx="44">
                  <c:v>115.954948489</c:v>
                </c:pt>
                <c:pt idx="45">
                  <c:v>116.386298799</c:v>
                </c:pt>
                <c:pt idx="46">
                  <c:v>116.136712582</c:v>
                </c:pt>
                <c:pt idx="47">
                  <c:v>116.110664173</c:v>
                </c:pt>
                <c:pt idx="48">
                  <c:v>121.652543018</c:v>
                </c:pt>
                <c:pt idx="49">
                  <c:v>123.710125744</c:v>
                </c:pt>
                <c:pt idx="50">
                  <c:v>123.631307436</c:v>
                </c:pt>
                <c:pt idx="51">
                  <c:v>125.31452899600001</c:v>
                </c:pt>
                <c:pt idx="52">
                  <c:v>122.55182571100001</c:v>
                </c:pt>
                <c:pt idx="53">
                  <c:v>123.025220979</c:v>
                </c:pt>
                <c:pt idx="54">
                  <c:v>119.86374266200001</c:v>
                </c:pt>
                <c:pt idx="55">
                  <c:v>114.263916314</c:v>
                </c:pt>
                <c:pt idx="56">
                  <c:v>111.391652193</c:v>
                </c:pt>
                <c:pt idx="57">
                  <c:v>114.811922448</c:v>
                </c:pt>
                <c:pt idx="58">
                  <c:v>114.659010186</c:v>
                </c:pt>
                <c:pt idx="59">
                  <c:v>113.992061902</c:v>
                </c:pt>
                <c:pt idx="60">
                  <c:v>113.652922605</c:v>
                </c:pt>
                <c:pt idx="61">
                  <c:v>114.01381869399999</c:v>
                </c:pt>
                <c:pt idx="62">
                  <c:v>118.697702994</c:v>
                </c:pt>
                <c:pt idx="63">
                  <c:v>115.69199802200001</c:v>
                </c:pt>
                <c:pt idx="64">
                  <c:v>112.913217606</c:v>
                </c:pt>
                <c:pt idx="65">
                  <c:v>116.22126126000001</c:v>
                </c:pt>
                <c:pt idx="66">
                  <c:v>115.60250102099999</c:v>
                </c:pt>
                <c:pt idx="67">
                  <c:v>114.890464427</c:v>
                </c:pt>
                <c:pt idx="68">
                  <c:v>113.816096852</c:v>
                </c:pt>
                <c:pt idx="69">
                  <c:v>111.26213815600001</c:v>
                </c:pt>
                <c:pt idx="70">
                  <c:v>113.441685358</c:v>
                </c:pt>
                <c:pt idx="71">
                  <c:v>112.474263694</c:v>
                </c:pt>
                <c:pt idx="72">
                  <c:v>113.078652729</c:v>
                </c:pt>
                <c:pt idx="73">
                  <c:v>114.080760641</c:v>
                </c:pt>
                <c:pt idx="74">
                  <c:v>113.23193013300001</c:v>
                </c:pt>
                <c:pt idx="75">
                  <c:v>117.059763643</c:v>
                </c:pt>
                <c:pt idx="76">
                  <c:v>114.94642858</c:v>
                </c:pt>
                <c:pt idx="77">
                  <c:v>116.933077873</c:v>
                </c:pt>
                <c:pt idx="78">
                  <c:v>114.566373314</c:v>
                </c:pt>
                <c:pt idx="79">
                  <c:v>115.829662326</c:v>
                </c:pt>
                <c:pt idx="80">
                  <c:v>111.539944787</c:v>
                </c:pt>
                <c:pt idx="81">
                  <c:v>111.219131398</c:v>
                </c:pt>
                <c:pt idx="82">
                  <c:v>111.457458875</c:v>
                </c:pt>
                <c:pt idx="83">
                  <c:v>112.773627523</c:v>
                </c:pt>
                <c:pt idx="84">
                  <c:v>113.475217555</c:v>
                </c:pt>
                <c:pt idx="85">
                  <c:v>108.75790197000001</c:v>
                </c:pt>
                <c:pt idx="86">
                  <c:v>113.10527695099999</c:v>
                </c:pt>
                <c:pt idx="87">
                  <c:v>112.521145557</c:v>
                </c:pt>
                <c:pt idx="88">
                  <c:v>110.35114786600001</c:v>
                </c:pt>
                <c:pt idx="89">
                  <c:v>112.82315181</c:v>
                </c:pt>
                <c:pt idx="90">
                  <c:v>115.424876611</c:v>
                </c:pt>
                <c:pt idx="91">
                  <c:v>113.251467734</c:v>
                </c:pt>
                <c:pt idx="92">
                  <c:v>116.604967847</c:v>
                </c:pt>
                <c:pt idx="93">
                  <c:v>112.869234597</c:v>
                </c:pt>
                <c:pt idx="94">
                  <c:v>109.45535388899999</c:v>
                </c:pt>
                <c:pt idx="95">
                  <c:v>110.773973564</c:v>
                </c:pt>
                <c:pt idx="96">
                  <c:v>112.564335043</c:v>
                </c:pt>
                <c:pt idx="97">
                  <c:v>113.158800446</c:v>
                </c:pt>
                <c:pt idx="98">
                  <c:v>116.22168802100001</c:v>
                </c:pt>
                <c:pt idx="99">
                  <c:v>115.559650885</c:v>
                </c:pt>
                <c:pt idx="100">
                  <c:v>116.499369853</c:v>
                </c:pt>
              </c:numCache>
            </c:numRef>
          </c:yVal>
          <c:smooth val="1"/>
        </c:ser>
        <c:ser>
          <c:idx val="43"/>
          <c:order val="43"/>
          <c:tx>
            <c:strRef>
              <c:f>S_plus!$BD$1</c:f>
              <c:strCache>
                <c:ptCount val="1"/>
                <c:pt idx="0">
                  <c:v>Sim44</c:v>
                </c:pt>
              </c:strCache>
            </c:strRef>
          </c:tx>
          <c:marker>
            <c:symbol val="none"/>
          </c:marker>
          <c:xVal>
            <c:numRef>
              <c:f>S_plus!$L$2:$L$102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S_plus!$BD$2:$BD$102</c:f>
              <c:numCache>
                <c:formatCode>General</c:formatCode>
                <c:ptCount val="101"/>
                <c:pt idx="0">
                  <c:v>100</c:v>
                </c:pt>
                <c:pt idx="1">
                  <c:v>97.585984768200007</c:v>
                </c:pt>
                <c:pt idx="2">
                  <c:v>93.906880821900003</c:v>
                </c:pt>
                <c:pt idx="3">
                  <c:v>92.642535653500005</c:v>
                </c:pt>
                <c:pt idx="4">
                  <c:v>94.304771481100005</c:v>
                </c:pt>
                <c:pt idx="5">
                  <c:v>93.805189372499996</c:v>
                </c:pt>
                <c:pt idx="6">
                  <c:v>95.7943843706</c:v>
                </c:pt>
                <c:pt idx="7">
                  <c:v>94.8541903757</c:v>
                </c:pt>
                <c:pt idx="8">
                  <c:v>95.255236900300005</c:v>
                </c:pt>
                <c:pt idx="9">
                  <c:v>96.600689730900001</c:v>
                </c:pt>
                <c:pt idx="10">
                  <c:v>98.844887513900005</c:v>
                </c:pt>
                <c:pt idx="11">
                  <c:v>97.190604044699995</c:v>
                </c:pt>
                <c:pt idx="12">
                  <c:v>100.814908518</c:v>
                </c:pt>
                <c:pt idx="13">
                  <c:v>98.949109394399997</c:v>
                </c:pt>
                <c:pt idx="14">
                  <c:v>100.887130782</c:v>
                </c:pt>
                <c:pt idx="15">
                  <c:v>102.727893435</c:v>
                </c:pt>
                <c:pt idx="16">
                  <c:v>103.966023444</c:v>
                </c:pt>
                <c:pt idx="17">
                  <c:v>102.733858275</c:v>
                </c:pt>
                <c:pt idx="18">
                  <c:v>100.45259738</c:v>
                </c:pt>
                <c:pt idx="19">
                  <c:v>99.6416576357</c:v>
                </c:pt>
                <c:pt idx="20">
                  <c:v>98.192544595399994</c:v>
                </c:pt>
                <c:pt idx="21">
                  <c:v>100.283361235</c:v>
                </c:pt>
                <c:pt idx="22">
                  <c:v>103.790636595</c:v>
                </c:pt>
                <c:pt idx="23">
                  <c:v>105.638486188</c:v>
                </c:pt>
                <c:pt idx="24">
                  <c:v>103.965972904</c:v>
                </c:pt>
                <c:pt idx="25">
                  <c:v>102.99320842500001</c:v>
                </c:pt>
                <c:pt idx="26">
                  <c:v>103.267600883</c:v>
                </c:pt>
                <c:pt idx="27">
                  <c:v>104.79138325</c:v>
                </c:pt>
                <c:pt idx="28">
                  <c:v>104.82182563000001</c:v>
                </c:pt>
                <c:pt idx="29">
                  <c:v>106.842373033</c:v>
                </c:pt>
                <c:pt idx="30">
                  <c:v>104.97652585900001</c:v>
                </c:pt>
                <c:pt idx="31">
                  <c:v>105.42625173499999</c:v>
                </c:pt>
                <c:pt idx="32">
                  <c:v>104.35963170799999</c:v>
                </c:pt>
                <c:pt idx="33">
                  <c:v>105.175401878</c:v>
                </c:pt>
                <c:pt idx="34">
                  <c:v>103.74754266399999</c:v>
                </c:pt>
                <c:pt idx="35">
                  <c:v>105.792684732</c:v>
                </c:pt>
                <c:pt idx="36">
                  <c:v>100.275621749</c:v>
                </c:pt>
                <c:pt idx="37">
                  <c:v>98.918301951299995</c:v>
                </c:pt>
                <c:pt idx="38">
                  <c:v>99.754070066500006</c:v>
                </c:pt>
                <c:pt idx="39">
                  <c:v>98.542378996500005</c:v>
                </c:pt>
                <c:pt idx="40">
                  <c:v>100.37506634899999</c:v>
                </c:pt>
                <c:pt idx="41">
                  <c:v>98.018372382199999</c:v>
                </c:pt>
                <c:pt idx="42">
                  <c:v>100.25019079800001</c:v>
                </c:pt>
                <c:pt idx="43">
                  <c:v>102.046691864</c:v>
                </c:pt>
                <c:pt idx="44">
                  <c:v>101.492594974</c:v>
                </c:pt>
                <c:pt idx="45">
                  <c:v>105.007867426</c:v>
                </c:pt>
                <c:pt idx="46">
                  <c:v>106.6695967</c:v>
                </c:pt>
                <c:pt idx="47">
                  <c:v>105.293972031</c:v>
                </c:pt>
                <c:pt idx="48">
                  <c:v>104.78550469</c:v>
                </c:pt>
                <c:pt idx="49">
                  <c:v>104.946048672</c:v>
                </c:pt>
                <c:pt idx="50">
                  <c:v>103.669060031</c:v>
                </c:pt>
                <c:pt idx="51">
                  <c:v>102.711583394</c:v>
                </c:pt>
                <c:pt idx="52">
                  <c:v>102.745378002</c:v>
                </c:pt>
                <c:pt idx="53">
                  <c:v>104.63916417</c:v>
                </c:pt>
                <c:pt idx="54">
                  <c:v>106.671610274</c:v>
                </c:pt>
                <c:pt idx="55">
                  <c:v>101.78037527799999</c:v>
                </c:pt>
                <c:pt idx="56">
                  <c:v>105.789602281</c:v>
                </c:pt>
                <c:pt idx="57">
                  <c:v>104.278889935</c:v>
                </c:pt>
                <c:pt idx="58">
                  <c:v>104.384597654</c:v>
                </c:pt>
                <c:pt idx="59">
                  <c:v>105.991097002</c:v>
                </c:pt>
                <c:pt idx="60">
                  <c:v>109.651969364</c:v>
                </c:pt>
                <c:pt idx="61">
                  <c:v>111.528267515</c:v>
                </c:pt>
                <c:pt idx="62">
                  <c:v>112.16901415</c:v>
                </c:pt>
                <c:pt idx="63">
                  <c:v>113.387980877</c:v>
                </c:pt>
                <c:pt idx="64">
                  <c:v>114.203724749</c:v>
                </c:pt>
                <c:pt idx="65">
                  <c:v>114.58425972800001</c:v>
                </c:pt>
                <c:pt idx="66">
                  <c:v>114.911181384</c:v>
                </c:pt>
                <c:pt idx="67">
                  <c:v>113.41976547100001</c:v>
                </c:pt>
                <c:pt idx="68">
                  <c:v>113.429093615</c:v>
                </c:pt>
                <c:pt idx="69">
                  <c:v>120.719964835</c:v>
                </c:pt>
                <c:pt idx="70">
                  <c:v>122.596775904</c:v>
                </c:pt>
                <c:pt idx="71">
                  <c:v>119.34448257</c:v>
                </c:pt>
                <c:pt idx="72">
                  <c:v>119.650759693</c:v>
                </c:pt>
                <c:pt idx="73">
                  <c:v>119.22210778900001</c:v>
                </c:pt>
                <c:pt idx="74">
                  <c:v>118.73657492</c:v>
                </c:pt>
                <c:pt idx="75">
                  <c:v>117.024880659</c:v>
                </c:pt>
                <c:pt idx="76">
                  <c:v>115.734222061</c:v>
                </c:pt>
                <c:pt idx="77">
                  <c:v>120.202852537</c:v>
                </c:pt>
                <c:pt idx="78">
                  <c:v>119.53234797</c:v>
                </c:pt>
                <c:pt idx="79">
                  <c:v>125.125737191</c:v>
                </c:pt>
                <c:pt idx="80">
                  <c:v>121.400146374</c:v>
                </c:pt>
                <c:pt idx="81">
                  <c:v>122.698666035</c:v>
                </c:pt>
                <c:pt idx="82">
                  <c:v>125.06348815</c:v>
                </c:pt>
                <c:pt idx="83">
                  <c:v>127.99237130900001</c:v>
                </c:pt>
                <c:pt idx="84">
                  <c:v>126.54876022800001</c:v>
                </c:pt>
                <c:pt idx="85">
                  <c:v>127.048202753</c:v>
                </c:pt>
                <c:pt idx="86">
                  <c:v>129.270097096</c:v>
                </c:pt>
                <c:pt idx="87">
                  <c:v>130.64643788399999</c:v>
                </c:pt>
                <c:pt idx="88">
                  <c:v>128.50911112399999</c:v>
                </c:pt>
                <c:pt idx="89">
                  <c:v>128.36527039399999</c:v>
                </c:pt>
                <c:pt idx="90">
                  <c:v>126.553787802</c:v>
                </c:pt>
                <c:pt idx="91">
                  <c:v>125.375598838</c:v>
                </c:pt>
                <c:pt idx="92">
                  <c:v>123.832381355</c:v>
                </c:pt>
                <c:pt idx="93">
                  <c:v>122.60077259099999</c:v>
                </c:pt>
                <c:pt idx="94">
                  <c:v>125.277813974</c:v>
                </c:pt>
                <c:pt idx="95">
                  <c:v>124.45269728300001</c:v>
                </c:pt>
                <c:pt idx="96">
                  <c:v>121.358453345</c:v>
                </c:pt>
                <c:pt idx="97">
                  <c:v>121.78055320999999</c:v>
                </c:pt>
                <c:pt idx="98">
                  <c:v>123.166274126</c:v>
                </c:pt>
                <c:pt idx="99">
                  <c:v>121.816644844</c:v>
                </c:pt>
                <c:pt idx="100">
                  <c:v>125.022070568</c:v>
                </c:pt>
              </c:numCache>
            </c:numRef>
          </c:yVal>
          <c:smooth val="1"/>
        </c:ser>
        <c:ser>
          <c:idx val="44"/>
          <c:order val="44"/>
          <c:tx>
            <c:strRef>
              <c:f>S_plus!$BE$1</c:f>
              <c:strCache>
                <c:ptCount val="1"/>
                <c:pt idx="0">
                  <c:v>Sim45</c:v>
                </c:pt>
              </c:strCache>
            </c:strRef>
          </c:tx>
          <c:marker>
            <c:symbol val="none"/>
          </c:marker>
          <c:xVal>
            <c:numRef>
              <c:f>S_plus!$L$2:$L$102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S_plus!$BE$2:$BE$102</c:f>
              <c:numCache>
                <c:formatCode>General</c:formatCode>
                <c:ptCount val="101"/>
                <c:pt idx="0">
                  <c:v>100</c:v>
                </c:pt>
                <c:pt idx="1">
                  <c:v>98.713798789999998</c:v>
                </c:pt>
                <c:pt idx="2">
                  <c:v>96.971159351599994</c:v>
                </c:pt>
                <c:pt idx="3">
                  <c:v>95.696089913899996</c:v>
                </c:pt>
                <c:pt idx="4">
                  <c:v>95.291376078900001</c:v>
                </c:pt>
                <c:pt idx="5">
                  <c:v>92.848784740699998</c:v>
                </c:pt>
                <c:pt idx="6">
                  <c:v>91.819940650000007</c:v>
                </c:pt>
                <c:pt idx="7">
                  <c:v>88.468602425399993</c:v>
                </c:pt>
                <c:pt idx="8">
                  <c:v>88.501530930499996</c:v>
                </c:pt>
                <c:pt idx="9">
                  <c:v>88.043437898400001</c:v>
                </c:pt>
                <c:pt idx="10">
                  <c:v>88.324591983100007</c:v>
                </c:pt>
                <c:pt idx="11">
                  <c:v>85.409395238599998</c:v>
                </c:pt>
                <c:pt idx="12">
                  <c:v>84.861676269599997</c:v>
                </c:pt>
                <c:pt idx="13">
                  <c:v>81.767309839600003</c:v>
                </c:pt>
                <c:pt idx="14">
                  <c:v>82.326609470500003</c:v>
                </c:pt>
                <c:pt idx="15">
                  <c:v>83.145657475799993</c:v>
                </c:pt>
                <c:pt idx="16">
                  <c:v>84.555207004500005</c:v>
                </c:pt>
                <c:pt idx="17">
                  <c:v>84.040269791399993</c:v>
                </c:pt>
                <c:pt idx="18">
                  <c:v>86.451876784800007</c:v>
                </c:pt>
                <c:pt idx="19">
                  <c:v>85.577661219399999</c:v>
                </c:pt>
                <c:pt idx="20">
                  <c:v>84.473313494600006</c:v>
                </c:pt>
                <c:pt idx="21">
                  <c:v>85.118380548800005</c:v>
                </c:pt>
                <c:pt idx="22">
                  <c:v>85.857976530200006</c:v>
                </c:pt>
                <c:pt idx="23">
                  <c:v>85.897010184500004</c:v>
                </c:pt>
                <c:pt idx="24">
                  <c:v>84.153203585200004</c:v>
                </c:pt>
                <c:pt idx="25">
                  <c:v>83.186361983099999</c:v>
                </c:pt>
                <c:pt idx="26">
                  <c:v>84.270836499500007</c:v>
                </c:pt>
                <c:pt idx="27">
                  <c:v>86.451759856799995</c:v>
                </c:pt>
                <c:pt idx="28">
                  <c:v>88.585827979399994</c:v>
                </c:pt>
                <c:pt idx="29">
                  <c:v>86.747216952900004</c:v>
                </c:pt>
                <c:pt idx="30">
                  <c:v>88.127246769400003</c:v>
                </c:pt>
                <c:pt idx="31">
                  <c:v>90.7576594521</c:v>
                </c:pt>
                <c:pt idx="32">
                  <c:v>94.195972715099998</c:v>
                </c:pt>
                <c:pt idx="33">
                  <c:v>94.470123085599994</c:v>
                </c:pt>
                <c:pt idx="34">
                  <c:v>94.644963574399995</c:v>
                </c:pt>
                <c:pt idx="35">
                  <c:v>95.627168891300002</c:v>
                </c:pt>
                <c:pt idx="36">
                  <c:v>100.236461937</c:v>
                </c:pt>
                <c:pt idx="37">
                  <c:v>100.282190847</c:v>
                </c:pt>
                <c:pt idx="38">
                  <c:v>96.167724778199997</c:v>
                </c:pt>
                <c:pt idx="39">
                  <c:v>96.033177829300001</c:v>
                </c:pt>
                <c:pt idx="40">
                  <c:v>93.855523658199999</c:v>
                </c:pt>
                <c:pt idx="41">
                  <c:v>95.888102115500004</c:v>
                </c:pt>
                <c:pt idx="42">
                  <c:v>95.292218141700005</c:v>
                </c:pt>
                <c:pt idx="43">
                  <c:v>95.4464510504</c:v>
                </c:pt>
                <c:pt idx="44">
                  <c:v>97.829536957100004</c:v>
                </c:pt>
                <c:pt idx="45">
                  <c:v>99.555673259700001</c:v>
                </c:pt>
                <c:pt idx="46">
                  <c:v>103.89965524500001</c:v>
                </c:pt>
                <c:pt idx="47">
                  <c:v>106.338622489</c:v>
                </c:pt>
                <c:pt idx="48">
                  <c:v>110.070985362</c:v>
                </c:pt>
                <c:pt idx="49">
                  <c:v>106.522873436</c:v>
                </c:pt>
                <c:pt idx="50">
                  <c:v>107.119486141</c:v>
                </c:pt>
                <c:pt idx="51">
                  <c:v>106.28815292100001</c:v>
                </c:pt>
                <c:pt idx="52">
                  <c:v>106.696466497</c:v>
                </c:pt>
                <c:pt idx="53">
                  <c:v>107.712428805</c:v>
                </c:pt>
                <c:pt idx="54">
                  <c:v>104.159590124</c:v>
                </c:pt>
                <c:pt idx="55">
                  <c:v>107.11931035800001</c:v>
                </c:pt>
                <c:pt idx="56">
                  <c:v>104.118668141</c:v>
                </c:pt>
                <c:pt idx="57">
                  <c:v>105.404862967</c:v>
                </c:pt>
                <c:pt idx="58">
                  <c:v>105.655430264</c:v>
                </c:pt>
                <c:pt idx="59">
                  <c:v>105.70124946200001</c:v>
                </c:pt>
                <c:pt idx="60">
                  <c:v>103.985632013</c:v>
                </c:pt>
                <c:pt idx="61">
                  <c:v>104.884274033</c:v>
                </c:pt>
                <c:pt idx="62">
                  <c:v>103.322164406</c:v>
                </c:pt>
                <c:pt idx="63">
                  <c:v>104.73254233500001</c:v>
                </c:pt>
                <c:pt idx="64">
                  <c:v>105.386171746</c:v>
                </c:pt>
                <c:pt idx="65">
                  <c:v>103.323879467</c:v>
                </c:pt>
                <c:pt idx="66">
                  <c:v>101.511273405</c:v>
                </c:pt>
                <c:pt idx="67">
                  <c:v>101.980146264</c:v>
                </c:pt>
                <c:pt idx="68">
                  <c:v>99.689926165900005</c:v>
                </c:pt>
                <c:pt idx="69">
                  <c:v>97.610463706800005</c:v>
                </c:pt>
                <c:pt idx="70">
                  <c:v>97.241641680499995</c:v>
                </c:pt>
                <c:pt idx="71">
                  <c:v>96.4025113852</c:v>
                </c:pt>
                <c:pt idx="72">
                  <c:v>93.7336685187</c:v>
                </c:pt>
                <c:pt idx="73">
                  <c:v>96.678967972600006</c:v>
                </c:pt>
                <c:pt idx="74">
                  <c:v>97.419427517000003</c:v>
                </c:pt>
                <c:pt idx="75">
                  <c:v>97.239909067499994</c:v>
                </c:pt>
                <c:pt idx="76">
                  <c:v>95.752961385600003</c:v>
                </c:pt>
                <c:pt idx="77">
                  <c:v>97.424418542400005</c:v>
                </c:pt>
                <c:pt idx="78">
                  <c:v>97.215250520699996</c:v>
                </c:pt>
                <c:pt idx="79">
                  <c:v>99.465497328300003</c:v>
                </c:pt>
                <c:pt idx="80">
                  <c:v>97.962982788800005</c:v>
                </c:pt>
                <c:pt idx="81">
                  <c:v>96.964345273399999</c:v>
                </c:pt>
                <c:pt idx="82">
                  <c:v>95.477455715100007</c:v>
                </c:pt>
                <c:pt idx="83">
                  <c:v>91.195423151599996</c:v>
                </c:pt>
                <c:pt idx="84">
                  <c:v>89.640492526900005</c:v>
                </c:pt>
                <c:pt idx="85">
                  <c:v>90.476675780299999</c:v>
                </c:pt>
                <c:pt idx="86">
                  <c:v>91.733072915899996</c:v>
                </c:pt>
                <c:pt idx="87">
                  <c:v>89.977132349200005</c:v>
                </c:pt>
                <c:pt idx="88">
                  <c:v>91.669172075600002</c:v>
                </c:pt>
                <c:pt idx="89">
                  <c:v>92.621007250199995</c:v>
                </c:pt>
                <c:pt idx="90">
                  <c:v>93.665381761600003</c:v>
                </c:pt>
                <c:pt idx="91">
                  <c:v>93.772301489100002</c:v>
                </c:pt>
                <c:pt idx="92">
                  <c:v>94.781918040999997</c:v>
                </c:pt>
                <c:pt idx="93">
                  <c:v>91.719439050199995</c:v>
                </c:pt>
                <c:pt idx="94">
                  <c:v>91.613761283499997</c:v>
                </c:pt>
                <c:pt idx="95">
                  <c:v>94.789112994000007</c:v>
                </c:pt>
                <c:pt idx="96">
                  <c:v>93.842704873200006</c:v>
                </c:pt>
                <c:pt idx="97">
                  <c:v>95.538002145999997</c:v>
                </c:pt>
                <c:pt idx="98">
                  <c:v>93.938309930200006</c:v>
                </c:pt>
                <c:pt idx="99">
                  <c:v>95.697615591300007</c:v>
                </c:pt>
                <c:pt idx="100">
                  <c:v>94.943398966299995</c:v>
                </c:pt>
              </c:numCache>
            </c:numRef>
          </c:yVal>
          <c:smooth val="1"/>
        </c:ser>
        <c:ser>
          <c:idx val="45"/>
          <c:order val="45"/>
          <c:tx>
            <c:strRef>
              <c:f>S_plus!$BF$1</c:f>
              <c:strCache>
                <c:ptCount val="1"/>
                <c:pt idx="0">
                  <c:v>Sim46</c:v>
                </c:pt>
              </c:strCache>
            </c:strRef>
          </c:tx>
          <c:marker>
            <c:symbol val="none"/>
          </c:marker>
          <c:xVal>
            <c:numRef>
              <c:f>S_plus!$L$2:$L$102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S_plus!$BF$2:$BF$102</c:f>
              <c:numCache>
                <c:formatCode>General</c:formatCode>
                <c:ptCount val="101"/>
                <c:pt idx="0">
                  <c:v>100</c:v>
                </c:pt>
                <c:pt idx="1">
                  <c:v>101.555669252</c:v>
                </c:pt>
                <c:pt idx="2">
                  <c:v>104.700494705</c:v>
                </c:pt>
                <c:pt idx="3">
                  <c:v>104.73880305900001</c:v>
                </c:pt>
                <c:pt idx="4">
                  <c:v>103.5573953</c:v>
                </c:pt>
                <c:pt idx="5">
                  <c:v>102.896728399</c:v>
                </c:pt>
                <c:pt idx="6">
                  <c:v>100.121195888</c:v>
                </c:pt>
                <c:pt idx="7">
                  <c:v>96.766271759000006</c:v>
                </c:pt>
                <c:pt idx="8">
                  <c:v>94.775116633899998</c:v>
                </c:pt>
                <c:pt idx="9">
                  <c:v>95.454025923299994</c:v>
                </c:pt>
                <c:pt idx="10">
                  <c:v>91.886511138000003</c:v>
                </c:pt>
                <c:pt idx="11">
                  <c:v>92.375021590200006</c:v>
                </c:pt>
                <c:pt idx="12">
                  <c:v>91.765186147600005</c:v>
                </c:pt>
                <c:pt idx="13">
                  <c:v>92.296862299099999</c:v>
                </c:pt>
                <c:pt idx="14">
                  <c:v>90.522808468799994</c:v>
                </c:pt>
                <c:pt idx="15">
                  <c:v>92.042625816099999</c:v>
                </c:pt>
                <c:pt idx="16">
                  <c:v>94.690949459799995</c:v>
                </c:pt>
                <c:pt idx="17">
                  <c:v>94.920480923900001</c:v>
                </c:pt>
                <c:pt idx="18">
                  <c:v>97.678246562300004</c:v>
                </c:pt>
                <c:pt idx="19">
                  <c:v>97.681416014199996</c:v>
                </c:pt>
                <c:pt idx="20">
                  <c:v>95.564975259700006</c:v>
                </c:pt>
                <c:pt idx="21">
                  <c:v>94.3078128816</c:v>
                </c:pt>
                <c:pt idx="22">
                  <c:v>93.449522387800002</c:v>
                </c:pt>
                <c:pt idx="23">
                  <c:v>95.7143617455</c:v>
                </c:pt>
                <c:pt idx="24">
                  <c:v>93.793215095999997</c:v>
                </c:pt>
                <c:pt idx="25">
                  <c:v>92.497770690999999</c:v>
                </c:pt>
                <c:pt idx="26">
                  <c:v>88.931237656999997</c:v>
                </c:pt>
                <c:pt idx="27">
                  <c:v>90.987348476099996</c:v>
                </c:pt>
                <c:pt idx="28">
                  <c:v>89.329024506699994</c:v>
                </c:pt>
                <c:pt idx="29">
                  <c:v>86.441668482400004</c:v>
                </c:pt>
                <c:pt idx="30">
                  <c:v>85.680067171600001</c:v>
                </c:pt>
                <c:pt idx="31">
                  <c:v>88.370942784700006</c:v>
                </c:pt>
                <c:pt idx="32">
                  <c:v>87.660169274099999</c:v>
                </c:pt>
                <c:pt idx="33">
                  <c:v>87.244218486299999</c:v>
                </c:pt>
                <c:pt idx="34">
                  <c:v>86.963536685299999</c:v>
                </c:pt>
                <c:pt idx="35">
                  <c:v>86.504650310000002</c:v>
                </c:pt>
                <c:pt idx="36">
                  <c:v>86.153825368200003</c:v>
                </c:pt>
                <c:pt idx="37">
                  <c:v>88.707779793</c:v>
                </c:pt>
                <c:pt idx="38">
                  <c:v>87.466605207599997</c:v>
                </c:pt>
                <c:pt idx="39">
                  <c:v>85.804768986200003</c:v>
                </c:pt>
                <c:pt idx="40">
                  <c:v>84.278830846100007</c:v>
                </c:pt>
                <c:pt idx="41">
                  <c:v>82.616851205499998</c:v>
                </c:pt>
                <c:pt idx="42">
                  <c:v>82.381409948200002</c:v>
                </c:pt>
                <c:pt idx="43">
                  <c:v>84.025438880199999</c:v>
                </c:pt>
                <c:pt idx="44">
                  <c:v>81.994444376600001</c:v>
                </c:pt>
                <c:pt idx="45">
                  <c:v>81.779362804100003</c:v>
                </c:pt>
                <c:pt idx="46">
                  <c:v>84.104388132099999</c:v>
                </c:pt>
                <c:pt idx="47">
                  <c:v>84.681086358499996</c:v>
                </c:pt>
                <c:pt idx="48">
                  <c:v>83.596885760299998</c:v>
                </c:pt>
                <c:pt idx="49">
                  <c:v>84.952206502899998</c:v>
                </c:pt>
                <c:pt idx="50">
                  <c:v>88.483705725099995</c:v>
                </c:pt>
                <c:pt idx="51">
                  <c:v>90.055685142399994</c:v>
                </c:pt>
                <c:pt idx="52">
                  <c:v>89.930583279499999</c:v>
                </c:pt>
                <c:pt idx="53">
                  <c:v>91.270410699600006</c:v>
                </c:pt>
                <c:pt idx="54">
                  <c:v>90.487962315999994</c:v>
                </c:pt>
                <c:pt idx="55">
                  <c:v>85.346969681100006</c:v>
                </c:pt>
                <c:pt idx="56">
                  <c:v>88.739303871900006</c:v>
                </c:pt>
                <c:pt idx="57">
                  <c:v>91.245324726700005</c:v>
                </c:pt>
                <c:pt idx="58">
                  <c:v>90.171870093300001</c:v>
                </c:pt>
                <c:pt idx="59">
                  <c:v>86.877302048700003</c:v>
                </c:pt>
                <c:pt idx="60">
                  <c:v>83.1022427475</c:v>
                </c:pt>
                <c:pt idx="61">
                  <c:v>83.067697164099997</c:v>
                </c:pt>
                <c:pt idx="62">
                  <c:v>84.634887603699994</c:v>
                </c:pt>
                <c:pt idx="63">
                  <c:v>84.385748152199994</c:v>
                </c:pt>
                <c:pt idx="64">
                  <c:v>83.476198635299994</c:v>
                </c:pt>
                <c:pt idx="65">
                  <c:v>84.573605764999996</c:v>
                </c:pt>
                <c:pt idx="66">
                  <c:v>86.186366944100001</c:v>
                </c:pt>
                <c:pt idx="67">
                  <c:v>87.187734333099996</c:v>
                </c:pt>
                <c:pt idx="68">
                  <c:v>86.611975735599998</c:v>
                </c:pt>
                <c:pt idx="69">
                  <c:v>88.757854244599997</c:v>
                </c:pt>
                <c:pt idx="70">
                  <c:v>87.946862451399994</c:v>
                </c:pt>
                <c:pt idx="71">
                  <c:v>88.061790128300004</c:v>
                </c:pt>
                <c:pt idx="72">
                  <c:v>91.281866132999994</c:v>
                </c:pt>
                <c:pt idx="73">
                  <c:v>87.248381484199996</c:v>
                </c:pt>
                <c:pt idx="74">
                  <c:v>85.475351196099993</c:v>
                </c:pt>
                <c:pt idx="75">
                  <c:v>86.798250675000006</c:v>
                </c:pt>
                <c:pt idx="76">
                  <c:v>86.834078332999994</c:v>
                </c:pt>
                <c:pt idx="77">
                  <c:v>86.390749997599997</c:v>
                </c:pt>
                <c:pt idx="78">
                  <c:v>85.665059410400005</c:v>
                </c:pt>
                <c:pt idx="79">
                  <c:v>82.4182896242</c:v>
                </c:pt>
                <c:pt idx="80">
                  <c:v>82.163068808000006</c:v>
                </c:pt>
                <c:pt idx="81">
                  <c:v>82.742425715300001</c:v>
                </c:pt>
                <c:pt idx="82">
                  <c:v>82.300209455900003</c:v>
                </c:pt>
                <c:pt idx="83">
                  <c:v>81.572536391499995</c:v>
                </c:pt>
                <c:pt idx="84">
                  <c:v>81.959063452199999</c:v>
                </c:pt>
                <c:pt idx="85">
                  <c:v>82.533484249200001</c:v>
                </c:pt>
                <c:pt idx="86">
                  <c:v>81.002731291200007</c:v>
                </c:pt>
                <c:pt idx="87">
                  <c:v>81.107465594600001</c:v>
                </c:pt>
                <c:pt idx="88">
                  <c:v>82.380447287600006</c:v>
                </c:pt>
                <c:pt idx="89">
                  <c:v>83.0996456524</c:v>
                </c:pt>
                <c:pt idx="90">
                  <c:v>81.051070850000002</c:v>
                </c:pt>
                <c:pt idx="91">
                  <c:v>81.819478766000003</c:v>
                </c:pt>
                <c:pt idx="92">
                  <c:v>82.849527952700001</c:v>
                </c:pt>
                <c:pt idx="93">
                  <c:v>82.207899835099994</c:v>
                </c:pt>
                <c:pt idx="94">
                  <c:v>83.182950990799995</c:v>
                </c:pt>
                <c:pt idx="95">
                  <c:v>83.831729508400002</c:v>
                </c:pt>
                <c:pt idx="96">
                  <c:v>85.260279627399996</c:v>
                </c:pt>
                <c:pt idx="97">
                  <c:v>84.673208184999993</c:v>
                </c:pt>
                <c:pt idx="98">
                  <c:v>83.311094805500005</c:v>
                </c:pt>
                <c:pt idx="99">
                  <c:v>83.702153962899999</c:v>
                </c:pt>
                <c:pt idx="100">
                  <c:v>84.757109372100004</c:v>
                </c:pt>
              </c:numCache>
            </c:numRef>
          </c:yVal>
          <c:smooth val="1"/>
        </c:ser>
        <c:ser>
          <c:idx val="46"/>
          <c:order val="46"/>
          <c:tx>
            <c:strRef>
              <c:f>S_plus!$BG$1</c:f>
              <c:strCache>
                <c:ptCount val="1"/>
                <c:pt idx="0">
                  <c:v>Sim47</c:v>
                </c:pt>
              </c:strCache>
            </c:strRef>
          </c:tx>
          <c:marker>
            <c:symbol val="none"/>
          </c:marker>
          <c:xVal>
            <c:numRef>
              <c:f>S_plus!$L$2:$L$102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S_plus!$BG$2:$BG$102</c:f>
              <c:numCache>
                <c:formatCode>General</c:formatCode>
                <c:ptCount val="101"/>
                <c:pt idx="0">
                  <c:v>100</c:v>
                </c:pt>
                <c:pt idx="1">
                  <c:v>97.542106588899998</c:v>
                </c:pt>
                <c:pt idx="2">
                  <c:v>94.978381210600006</c:v>
                </c:pt>
                <c:pt idx="3">
                  <c:v>95.259665951100004</c:v>
                </c:pt>
                <c:pt idx="4">
                  <c:v>93.728742241700004</c:v>
                </c:pt>
                <c:pt idx="5">
                  <c:v>89.1310575328</c:v>
                </c:pt>
                <c:pt idx="6">
                  <c:v>89.849724352799996</c:v>
                </c:pt>
                <c:pt idx="7">
                  <c:v>86.649601808599996</c:v>
                </c:pt>
                <c:pt idx="8">
                  <c:v>88.015625544000002</c:v>
                </c:pt>
                <c:pt idx="9">
                  <c:v>91.491906022500004</c:v>
                </c:pt>
                <c:pt idx="10">
                  <c:v>93.652872849199994</c:v>
                </c:pt>
                <c:pt idx="11">
                  <c:v>94.917085152400006</c:v>
                </c:pt>
                <c:pt idx="12">
                  <c:v>96.103428590799993</c:v>
                </c:pt>
                <c:pt idx="13">
                  <c:v>93.606463133299997</c:v>
                </c:pt>
                <c:pt idx="14">
                  <c:v>95.251541052299999</c:v>
                </c:pt>
                <c:pt idx="15">
                  <c:v>95.905791774700006</c:v>
                </c:pt>
                <c:pt idx="16">
                  <c:v>95.441336125600003</c:v>
                </c:pt>
                <c:pt idx="17">
                  <c:v>94.793699406800002</c:v>
                </c:pt>
                <c:pt idx="18">
                  <c:v>94.0898052828</c:v>
                </c:pt>
                <c:pt idx="19">
                  <c:v>91.705466736199995</c:v>
                </c:pt>
                <c:pt idx="20">
                  <c:v>90.965038948599997</c:v>
                </c:pt>
                <c:pt idx="21">
                  <c:v>90.864641175800003</c:v>
                </c:pt>
                <c:pt idx="22">
                  <c:v>91.718564379599997</c:v>
                </c:pt>
                <c:pt idx="23">
                  <c:v>93.000747971300001</c:v>
                </c:pt>
                <c:pt idx="24">
                  <c:v>93.406272891200004</c:v>
                </c:pt>
                <c:pt idx="25">
                  <c:v>95.542851282499996</c:v>
                </c:pt>
                <c:pt idx="26">
                  <c:v>93.591268597500004</c:v>
                </c:pt>
                <c:pt idx="27">
                  <c:v>93.725935482200001</c:v>
                </c:pt>
                <c:pt idx="28">
                  <c:v>92.548608863799998</c:v>
                </c:pt>
                <c:pt idx="29">
                  <c:v>92.278445205200001</c:v>
                </c:pt>
                <c:pt idx="30">
                  <c:v>92.020243259799997</c:v>
                </c:pt>
                <c:pt idx="31">
                  <c:v>96.926650423400005</c:v>
                </c:pt>
                <c:pt idx="32">
                  <c:v>93.829460483399998</c:v>
                </c:pt>
                <c:pt idx="33">
                  <c:v>94.427621920899995</c:v>
                </c:pt>
                <c:pt idx="34">
                  <c:v>91.477839481499998</c:v>
                </c:pt>
                <c:pt idx="35">
                  <c:v>92.414453120999994</c:v>
                </c:pt>
                <c:pt idx="36">
                  <c:v>93.262173783199998</c:v>
                </c:pt>
                <c:pt idx="37">
                  <c:v>91.359469650799994</c:v>
                </c:pt>
                <c:pt idx="38">
                  <c:v>91.578910469700006</c:v>
                </c:pt>
                <c:pt idx="39">
                  <c:v>91.579530613399996</c:v>
                </c:pt>
                <c:pt idx="40">
                  <c:v>91.9428454114</c:v>
                </c:pt>
                <c:pt idx="41">
                  <c:v>89.752134307999995</c:v>
                </c:pt>
                <c:pt idx="42">
                  <c:v>90.676772835099996</c:v>
                </c:pt>
                <c:pt idx="43">
                  <c:v>92.727925975900007</c:v>
                </c:pt>
                <c:pt idx="44">
                  <c:v>92.995207144199995</c:v>
                </c:pt>
                <c:pt idx="45">
                  <c:v>90.810074006899995</c:v>
                </c:pt>
                <c:pt idx="46">
                  <c:v>91.395001071099998</c:v>
                </c:pt>
                <c:pt idx="47">
                  <c:v>94.415165491099998</c:v>
                </c:pt>
                <c:pt idx="48">
                  <c:v>93.983101804699999</c:v>
                </c:pt>
                <c:pt idx="49">
                  <c:v>94.366129115999996</c:v>
                </c:pt>
                <c:pt idx="50">
                  <c:v>92.952903523900005</c:v>
                </c:pt>
                <c:pt idx="51">
                  <c:v>94.793428135900001</c:v>
                </c:pt>
                <c:pt idx="52">
                  <c:v>96.725178003899998</c:v>
                </c:pt>
                <c:pt idx="53">
                  <c:v>99.066054562900007</c:v>
                </c:pt>
                <c:pt idx="54">
                  <c:v>101.93198139899999</c:v>
                </c:pt>
                <c:pt idx="55">
                  <c:v>99.555739820400007</c:v>
                </c:pt>
                <c:pt idx="56">
                  <c:v>97.163257732199995</c:v>
                </c:pt>
                <c:pt idx="57">
                  <c:v>98.194656911899997</c:v>
                </c:pt>
                <c:pt idx="58">
                  <c:v>95.6501785735</c:v>
                </c:pt>
                <c:pt idx="59">
                  <c:v>94.837502077099998</c:v>
                </c:pt>
                <c:pt idx="60">
                  <c:v>90.402295238299999</c:v>
                </c:pt>
                <c:pt idx="61">
                  <c:v>90.2779463002</c:v>
                </c:pt>
                <c:pt idx="62">
                  <c:v>95.280738322600001</c:v>
                </c:pt>
                <c:pt idx="63">
                  <c:v>94.101383247900003</c:v>
                </c:pt>
                <c:pt idx="64">
                  <c:v>98.300390090500002</c:v>
                </c:pt>
                <c:pt idx="65">
                  <c:v>99.001128444100004</c:v>
                </c:pt>
                <c:pt idx="66">
                  <c:v>96.022030762399993</c:v>
                </c:pt>
                <c:pt idx="67">
                  <c:v>93.076498335699995</c:v>
                </c:pt>
                <c:pt idx="68">
                  <c:v>93.340166289500004</c:v>
                </c:pt>
                <c:pt idx="69">
                  <c:v>95.433107700099995</c:v>
                </c:pt>
                <c:pt idx="70">
                  <c:v>98.037490374499995</c:v>
                </c:pt>
                <c:pt idx="71">
                  <c:v>100.07687633499999</c:v>
                </c:pt>
                <c:pt idx="72">
                  <c:v>97.732090935900004</c:v>
                </c:pt>
                <c:pt idx="73">
                  <c:v>96.728921309599997</c:v>
                </c:pt>
                <c:pt idx="74">
                  <c:v>95.630541471800001</c:v>
                </c:pt>
                <c:pt idx="75">
                  <c:v>93.943103509300002</c:v>
                </c:pt>
                <c:pt idx="76">
                  <c:v>91.194048050099994</c:v>
                </c:pt>
                <c:pt idx="77">
                  <c:v>88.657201360200006</c:v>
                </c:pt>
                <c:pt idx="78">
                  <c:v>84.315323496999994</c:v>
                </c:pt>
                <c:pt idx="79">
                  <c:v>85.309740833500001</c:v>
                </c:pt>
                <c:pt idx="80">
                  <c:v>85.671710101299993</c:v>
                </c:pt>
                <c:pt idx="81">
                  <c:v>87.300098210100003</c:v>
                </c:pt>
                <c:pt idx="82">
                  <c:v>89.623855431500004</c:v>
                </c:pt>
                <c:pt idx="83">
                  <c:v>89.667661853699997</c:v>
                </c:pt>
                <c:pt idx="84">
                  <c:v>91.702542961299997</c:v>
                </c:pt>
                <c:pt idx="85">
                  <c:v>88.264970977600001</c:v>
                </c:pt>
                <c:pt idx="86">
                  <c:v>85.721182750799997</c:v>
                </c:pt>
                <c:pt idx="87">
                  <c:v>83.043004306499995</c:v>
                </c:pt>
                <c:pt idx="88">
                  <c:v>80.615449114399993</c:v>
                </c:pt>
                <c:pt idx="89">
                  <c:v>80.166969684700007</c:v>
                </c:pt>
                <c:pt idx="90">
                  <c:v>79.269981619500001</c:v>
                </c:pt>
                <c:pt idx="91">
                  <c:v>78.621313884399996</c:v>
                </c:pt>
                <c:pt idx="92">
                  <c:v>80.229580857800002</c:v>
                </c:pt>
                <c:pt idx="93">
                  <c:v>78.720283162399994</c:v>
                </c:pt>
                <c:pt idx="94">
                  <c:v>80.747546106100003</c:v>
                </c:pt>
                <c:pt idx="95">
                  <c:v>78.309642397000005</c:v>
                </c:pt>
                <c:pt idx="96">
                  <c:v>78.280275471899998</c:v>
                </c:pt>
                <c:pt idx="97">
                  <c:v>79.625942672700006</c:v>
                </c:pt>
                <c:pt idx="98">
                  <c:v>78.510219692999996</c:v>
                </c:pt>
                <c:pt idx="99">
                  <c:v>74.902206396699995</c:v>
                </c:pt>
                <c:pt idx="100">
                  <c:v>73.369551772600005</c:v>
                </c:pt>
              </c:numCache>
            </c:numRef>
          </c:yVal>
          <c:smooth val="1"/>
        </c:ser>
        <c:ser>
          <c:idx val="47"/>
          <c:order val="47"/>
          <c:tx>
            <c:strRef>
              <c:f>S_plus!$BH$1</c:f>
              <c:strCache>
                <c:ptCount val="1"/>
                <c:pt idx="0">
                  <c:v>Sim48</c:v>
                </c:pt>
              </c:strCache>
            </c:strRef>
          </c:tx>
          <c:marker>
            <c:symbol val="none"/>
          </c:marker>
          <c:xVal>
            <c:numRef>
              <c:f>S_plus!$L$2:$L$102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S_plus!$BH$2:$BH$102</c:f>
              <c:numCache>
                <c:formatCode>General</c:formatCode>
                <c:ptCount val="101"/>
                <c:pt idx="0">
                  <c:v>100</c:v>
                </c:pt>
                <c:pt idx="1">
                  <c:v>98.706898860600006</c:v>
                </c:pt>
                <c:pt idx="2">
                  <c:v>98.137926715500001</c:v>
                </c:pt>
                <c:pt idx="3">
                  <c:v>100.076489999</c:v>
                </c:pt>
                <c:pt idx="4">
                  <c:v>99.888406627899997</c:v>
                </c:pt>
                <c:pt idx="5">
                  <c:v>99.532419343399994</c:v>
                </c:pt>
                <c:pt idx="6">
                  <c:v>103.57183358</c:v>
                </c:pt>
                <c:pt idx="7">
                  <c:v>102.438178163</c:v>
                </c:pt>
                <c:pt idx="8">
                  <c:v>101.643629878</c:v>
                </c:pt>
                <c:pt idx="9">
                  <c:v>100.790819709</c:v>
                </c:pt>
                <c:pt idx="10">
                  <c:v>100.342023133</c:v>
                </c:pt>
                <c:pt idx="11">
                  <c:v>97.482109183399999</c:v>
                </c:pt>
                <c:pt idx="12">
                  <c:v>98.6476648549</c:v>
                </c:pt>
                <c:pt idx="13">
                  <c:v>97.997875382999993</c:v>
                </c:pt>
                <c:pt idx="14">
                  <c:v>97.831259808200002</c:v>
                </c:pt>
                <c:pt idx="15">
                  <c:v>96.185910723000006</c:v>
                </c:pt>
                <c:pt idx="16">
                  <c:v>96.967067300400004</c:v>
                </c:pt>
                <c:pt idx="17">
                  <c:v>99.538302983099996</c:v>
                </c:pt>
                <c:pt idx="18">
                  <c:v>100.765335009</c:v>
                </c:pt>
                <c:pt idx="19">
                  <c:v>100.66284018</c:v>
                </c:pt>
                <c:pt idx="20">
                  <c:v>100.983162943</c:v>
                </c:pt>
                <c:pt idx="21">
                  <c:v>103.63718593</c:v>
                </c:pt>
                <c:pt idx="22">
                  <c:v>101.56859346</c:v>
                </c:pt>
                <c:pt idx="23">
                  <c:v>103.800361278</c:v>
                </c:pt>
                <c:pt idx="24">
                  <c:v>104.025622841</c:v>
                </c:pt>
                <c:pt idx="25">
                  <c:v>102.630913058</c:v>
                </c:pt>
                <c:pt idx="26">
                  <c:v>104.21025589</c:v>
                </c:pt>
                <c:pt idx="27">
                  <c:v>103.443545996</c:v>
                </c:pt>
                <c:pt idx="28">
                  <c:v>105.482001881</c:v>
                </c:pt>
                <c:pt idx="29">
                  <c:v>101.56803546099999</c:v>
                </c:pt>
                <c:pt idx="30">
                  <c:v>102.330534359</c:v>
                </c:pt>
                <c:pt idx="31">
                  <c:v>101.302652028</c:v>
                </c:pt>
                <c:pt idx="32">
                  <c:v>97.119454162699995</c:v>
                </c:pt>
                <c:pt idx="33">
                  <c:v>96.868424985399997</c:v>
                </c:pt>
                <c:pt idx="34">
                  <c:v>95.767921371100002</c:v>
                </c:pt>
                <c:pt idx="35">
                  <c:v>95.755996470400007</c:v>
                </c:pt>
                <c:pt idx="36">
                  <c:v>94.680508043499998</c:v>
                </c:pt>
                <c:pt idx="37">
                  <c:v>95.937011498999993</c:v>
                </c:pt>
                <c:pt idx="38">
                  <c:v>97.275086884399997</c:v>
                </c:pt>
                <c:pt idx="39">
                  <c:v>92.277525597799993</c:v>
                </c:pt>
                <c:pt idx="40">
                  <c:v>91.010791932800004</c:v>
                </c:pt>
                <c:pt idx="41">
                  <c:v>92.587096328499996</c:v>
                </c:pt>
                <c:pt idx="42">
                  <c:v>94.581026209599997</c:v>
                </c:pt>
                <c:pt idx="43">
                  <c:v>101.05061317000001</c:v>
                </c:pt>
                <c:pt idx="44">
                  <c:v>101.03524107600001</c:v>
                </c:pt>
                <c:pt idx="45">
                  <c:v>100.568289937</c:v>
                </c:pt>
                <c:pt idx="46">
                  <c:v>101.797345092</c:v>
                </c:pt>
                <c:pt idx="47">
                  <c:v>102.27325444100001</c:v>
                </c:pt>
                <c:pt idx="48">
                  <c:v>102.844565024</c:v>
                </c:pt>
                <c:pt idx="49">
                  <c:v>104.312829142</c:v>
                </c:pt>
                <c:pt idx="50">
                  <c:v>105.250108856</c:v>
                </c:pt>
                <c:pt idx="51">
                  <c:v>105.05318899</c:v>
                </c:pt>
                <c:pt idx="52">
                  <c:v>107.00366380600001</c:v>
                </c:pt>
                <c:pt idx="53">
                  <c:v>106.00291706199999</c:v>
                </c:pt>
                <c:pt idx="54">
                  <c:v>110.398478295</c:v>
                </c:pt>
                <c:pt idx="55">
                  <c:v>106.373638989</c:v>
                </c:pt>
                <c:pt idx="56">
                  <c:v>103.41533324700001</c:v>
                </c:pt>
                <c:pt idx="57">
                  <c:v>101.167866281</c:v>
                </c:pt>
                <c:pt idx="58">
                  <c:v>100.852991854</c:v>
                </c:pt>
                <c:pt idx="59">
                  <c:v>99.635420146900003</c:v>
                </c:pt>
                <c:pt idx="60">
                  <c:v>102.65114347700001</c:v>
                </c:pt>
                <c:pt idx="61">
                  <c:v>104.016485915</c:v>
                </c:pt>
                <c:pt idx="62">
                  <c:v>103.146111049</c:v>
                </c:pt>
                <c:pt idx="63">
                  <c:v>103.710027341</c:v>
                </c:pt>
                <c:pt idx="64">
                  <c:v>105.17876687899999</c:v>
                </c:pt>
                <c:pt idx="65">
                  <c:v>105.568430746</c:v>
                </c:pt>
                <c:pt idx="66">
                  <c:v>105.064399462</c:v>
                </c:pt>
                <c:pt idx="67">
                  <c:v>104.639864987</c:v>
                </c:pt>
                <c:pt idx="68">
                  <c:v>103.760955904</c:v>
                </c:pt>
                <c:pt idx="69">
                  <c:v>107.111467496</c:v>
                </c:pt>
                <c:pt idx="70">
                  <c:v>108.071101121</c:v>
                </c:pt>
                <c:pt idx="71">
                  <c:v>109.78461146399999</c:v>
                </c:pt>
                <c:pt idx="72">
                  <c:v>108.74032465000001</c:v>
                </c:pt>
                <c:pt idx="73">
                  <c:v>110.711522824</c:v>
                </c:pt>
                <c:pt idx="74">
                  <c:v>111.40421803300001</c:v>
                </c:pt>
                <c:pt idx="75">
                  <c:v>107.543809568</c:v>
                </c:pt>
                <c:pt idx="76">
                  <c:v>105.596892744</c:v>
                </c:pt>
                <c:pt idx="77">
                  <c:v>112.834025207</c:v>
                </c:pt>
                <c:pt idx="78">
                  <c:v>112.93775792300001</c:v>
                </c:pt>
                <c:pt idx="79">
                  <c:v>110.00746095700001</c:v>
                </c:pt>
                <c:pt idx="80">
                  <c:v>110.336168191</c:v>
                </c:pt>
                <c:pt idx="81">
                  <c:v>114.45419317299999</c:v>
                </c:pt>
                <c:pt idx="82">
                  <c:v>118.82568044</c:v>
                </c:pt>
                <c:pt idx="83">
                  <c:v>117.487567446</c:v>
                </c:pt>
                <c:pt idx="84">
                  <c:v>116.076831583</c:v>
                </c:pt>
                <c:pt idx="85">
                  <c:v>115.639931448</c:v>
                </c:pt>
                <c:pt idx="86">
                  <c:v>112.8480823</c:v>
                </c:pt>
                <c:pt idx="87">
                  <c:v>114.02430307500001</c:v>
                </c:pt>
                <c:pt idx="88">
                  <c:v>114.225141153</c:v>
                </c:pt>
                <c:pt idx="89">
                  <c:v>117.98781387299999</c:v>
                </c:pt>
                <c:pt idx="90">
                  <c:v>119.215867325</c:v>
                </c:pt>
                <c:pt idx="91">
                  <c:v>120.121798482</c:v>
                </c:pt>
                <c:pt idx="92">
                  <c:v>116.37941562899999</c:v>
                </c:pt>
                <c:pt idx="93">
                  <c:v>113.863938629</c:v>
                </c:pt>
                <c:pt idx="94">
                  <c:v>115.64514553399999</c:v>
                </c:pt>
                <c:pt idx="95">
                  <c:v>115.591379176</c:v>
                </c:pt>
                <c:pt idx="96">
                  <c:v>113.673826156</c:v>
                </c:pt>
                <c:pt idx="97">
                  <c:v>113.891245646</c:v>
                </c:pt>
                <c:pt idx="98">
                  <c:v>114.90398782600001</c:v>
                </c:pt>
                <c:pt idx="99">
                  <c:v>118.35663051900001</c:v>
                </c:pt>
                <c:pt idx="100">
                  <c:v>123.034703974</c:v>
                </c:pt>
              </c:numCache>
            </c:numRef>
          </c:yVal>
          <c:smooth val="1"/>
        </c:ser>
        <c:ser>
          <c:idx val="48"/>
          <c:order val="48"/>
          <c:tx>
            <c:strRef>
              <c:f>S_plus!$BI$1</c:f>
              <c:strCache>
                <c:ptCount val="1"/>
                <c:pt idx="0">
                  <c:v>Sim49</c:v>
                </c:pt>
              </c:strCache>
            </c:strRef>
          </c:tx>
          <c:marker>
            <c:symbol val="none"/>
          </c:marker>
          <c:xVal>
            <c:numRef>
              <c:f>S_plus!$L$2:$L$102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S_plus!$BI$2:$BI$102</c:f>
              <c:numCache>
                <c:formatCode>General</c:formatCode>
                <c:ptCount val="101"/>
                <c:pt idx="0">
                  <c:v>100</c:v>
                </c:pt>
                <c:pt idx="1">
                  <c:v>100.808408071</c:v>
                </c:pt>
                <c:pt idx="2">
                  <c:v>100.828636864</c:v>
                </c:pt>
                <c:pt idx="3">
                  <c:v>101.637124634</c:v>
                </c:pt>
                <c:pt idx="4">
                  <c:v>101.134206021</c:v>
                </c:pt>
                <c:pt idx="5">
                  <c:v>103.237622362</c:v>
                </c:pt>
                <c:pt idx="6">
                  <c:v>102.822405203</c:v>
                </c:pt>
                <c:pt idx="7">
                  <c:v>106.204069901</c:v>
                </c:pt>
                <c:pt idx="8">
                  <c:v>105.47141857</c:v>
                </c:pt>
                <c:pt idx="9">
                  <c:v>106.746139537</c:v>
                </c:pt>
                <c:pt idx="10">
                  <c:v>106.670968884</c:v>
                </c:pt>
                <c:pt idx="11">
                  <c:v>106.176606052</c:v>
                </c:pt>
                <c:pt idx="12">
                  <c:v>101.919859351</c:v>
                </c:pt>
                <c:pt idx="13">
                  <c:v>103.985208226</c:v>
                </c:pt>
                <c:pt idx="14">
                  <c:v>104.47253523400001</c:v>
                </c:pt>
                <c:pt idx="15">
                  <c:v>106.12710076499999</c:v>
                </c:pt>
                <c:pt idx="16">
                  <c:v>108.00581669</c:v>
                </c:pt>
                <c:pt idx="17">
                  <c:v>110.652350356</c:v>
                </c:pt>
                <c:pt idx="18">
                  <c:v>113.976352134</c:v>
                </c:pt>
                <c:pt idx="19">
                  <c:v>112.268733187</c:v>
                </c:pt>
                <c:pt idx="20">
                  <c:v>114.050502482</c:v>
                </c:pt>
                <c:pt idx="21">
                  <c:v>111.133955544</c:v>
                </c:pt>
                <c:pt idx="22">
                  <c:v>106.090779611</c:v>
                </c:pt>
                <c:pt idx="23">
                  <c:v>106.557351369</c:v>
                </c:pt>
                <c:pt idx="24">
                  <c:v>110.429650966</c:v>
                </c:pt>
                <c:pt idx="25">
                  <c:v>111.921474831</c:v>
                </c:pt>
                <c:pt idx="26">
                  <c:v>112.30389885699999</c:v>
                </c:pt>
                <c:pt idx="27">
                  <c:v>111.46581627400001</c:v>
                </c:pt>
                <c:pt idx="28">
                  <c:v>114.58167396100001</c:v>
                </c:pt>
                <c:pt idx="29">
                  <c:v>114.334403835</c:v>
                </c:pt>
                <c:pt idx="30">
                  <c:v>111.16769330699999</c:v>
                </c:pt>
                <c:pt idx="31">
                  <c:v>111.264950777</c:v>
                </c:pt>
                <c:pt idx="32">
                  <c:v>108.373194986</c:v>
                </c:pt>
                <c:pt idx="33">
                  <c:v>107.71135406000001</c:v>
                </c:pt>
                <c:pt idx="34">
                  <c:v>110.424166042</c:v>
                </c:pt>
                <c:pt idx="35">
                  <c:v>108.296657592</c:v>
                </c:pt>
                <c:pt idx="36">
                  <c:v>109.09825797800001</c:v>
                </c:pt>
                <c:pt idx="37">
                  <c:v>110.61495517900001</c:v>
                </c:pt>
                <c:pt idx="38">
                  <c:v>109.78748021600001</c:v>
                </c:pt>
                <c:pt idx="39">
                  <c:v>108.682473973</c:v>
                </c:pt>
                <c:pt idx="40">
                  <c:v>106.751290991</c:v>
                </c:pt>
                <c:pt idx="41">
                  <c:v>106.058974277</c:v>
                </c:pt>
                <c:pt idx="42">
                  <c:v>102.95698305099999</c:v>
                </c:pt>
                <c:pt idx="43">
                  <c:v>102.70791792999999</c:v>
                </c:pt>
                <c:pt idx="44">
                  <c:v>101.997055852</c:v>
                </c:pt>
                <c:pt idx="45">
                  <c:v>104.260250114</c:v>
                </c:pt>
                <c:pt idx="46">
                  <c:v>104.343292416</c:v>
                </c:pt>
                <c:pt idx="47">
                  <c:v>104.430855835</c:v>
                </c:pt>
                <c:pt idx="48">
                  <c:v>104.946613923</c:v>
                </c:pt>
                <c:pt idx="49">
                  <c:v>102.839434522</c:v>
                </c:pt>
                <c:pt idx="50">
                  <c:v>104.057415427</c:v>
                </c:pt>
                <c:pt idx="51">
                  <c:v>104.219085366</c:v>
                </c:pt>
                <c:pt idx="52">
                  <c:v>103.40445494799999</c:v>
                </c:pt>
                <c:pt idx="53">
                  <c:v>101.35771203</c:v>
                </c:pt>
                <c:pt idx="54">
                  <c:v>104.306785201</c:v>
                </c:pt>
                <c:pt idx="55">
                  <c:v>104.135559757</c:v>
                </c:pt>
                <c:pt idx="56">
                  <c:v>102.348067469</c:v>
                </c:pt>
                <c:pt idx="57">
                  <c:v>103.072417366</c:v>
                </c:pt>
                <c:pt idx="58">
                  <c:v>103.57023231700001</c:v>
                </c:pt>
                <c:pt idx="59">
                  <c:v>103.29463992700001</c:v>
                </c:pt>
                <c:pt idx="60">
                  <c:v>107.171831849</c:v>
                </c:pt>
                <c:pt idx="61">
                  <c:v>105.679969957</c:v>
                </c:pt>
                <c:pt idx="62">
                  <c:v>106.970595933</c:v>
                </c:pt>
                <c:pt idx="63">
                  <c:v>108.70863316499999</c:v>
                </c:pt>
                <c:pt idx="64">
                  <c:v>108.84617057</c:v>
                </c:pt>
                <c:pt idx="65">
                  <c:v>110.45462929599999</c:v>
                </c:pt>
                <c:pt idx="66">
                  <c:v>111.466397395</c:v>
                </c:pt>
                <c:pt idx="67">
                  <c:v>107.35918545600001</c:v>
                </c:pt>
                <c:pt idx="68">
                  <c:v>107.724972417</c:v>
                </c:pt>
                <c:pt idx="69">
                  <c:v>105.44895357599999</c:v>
                </c:pt>
                <c:pt idx="70">
                  <c:v>108.826394006</c:v>
                </c:pt>
                <c:pt idx="71">
                  <c:v>107.83443793000001</c:v>
                </c:pt>
                <c:pt idx="72">
                  <c:v>107.451636659</c:v>
                </c:pt>
                <c:pt idx="73">
                  <c:v>107.207167407</c:v>
                </c:pt>
                <c:pt idx="74">
                  <c:v>110.188758517</c:v>
                </c:pt>
                <c:pt idx="75">
                  <c:v>107.269586545</c:v>
                </c:pt>
                <c:pt idx="76">
                  <c:v>103.066070157</c:v>
                </c:pt>
                <c:pt idx="77">
                  <c:v>100.121154957</c:v>
                </c:pt>
                <c:pt idx="78">
                  <c:v>98.182358080100002</c:v>
                </c:pt>
                <c:pt idx="79">
                  <c:v>99.070215227600002</c:v>
                </c:pt>
                <c:pt idx="80">
                  <c:v>101.68188645799999</c:v>
                </c:pt>
                <c:pt idx="81">
                  <c:v>101.83557804900001</c:v>
                </c:pt>
                <c:pt idx="82">
                  <c:v>102.07605504</c:v>
                </c:pt>
                <c:pt idx="83">
                  <c:v>103.263491046</c:v>
                </c:pt>
                <c:pt idx="84">
                  <c:v>106.631458968</c:v>
                </c:pt>
                <c:pt idx="85">
                  <c:v>104.944336251</c:v>
                </c:pt>
                <c:pt idx="86">
                  <c:v>108.337749909</c:v>
                </c:pt>
                <c:pt idx="87">
                  <c:v>111.341420114</c:v>
                </c:pt>
                <c:pt idx="88">
                  <c:v>111.885453536</c:v>
                </c:pt>
                <c:pt idx="89">
                  <c:v>113.539471588</c:v>
                </c:pt>
                <c:pt idx="90">
                  <c:v>113.220681642</c:v>
                </c:pt>
                <c:pt idx="91">
                  <c:v>109.725680111</c:v>
                </c:pt>
                <c:pt idx="92">
                  <c:v>107.265941934</c:v>
                </c:pt>
                <c:pt idx="93">
                  <c:v>105.228527951</c:v>
                </c:pt>
                <c:pt idx="94">
                  <c:v>109.146205368</c:v>
                </c:pt>
                <c:pt idx="95">
                  <c:v>110.584292706</c:v>
                </c:pt>
                <c:pt idx="96">
                  <c:v>112.516077974</c:v>
                </c:pt>
                <c:pt idx="97">
                  <c:v>114.82815169</c:v>
                </c:pt>
                <c:pt idx="98">
                  <c:v>114.768559678</c:v>
                </c:pt>
                <c:pt idx="99">
                  <c:v>109.86223391599999</c:v>
                </c:pt>
                <c:pt idx="100">
                  <c:v>110.562281222</c:v>
                </c:pt>
              </c:numCache>
            </c:numRef>
          </c:yVal>
          <c:smooth val="1"/>
        </c:ser>
        <c:ser>
          <c:idx val="49"/>
          <c:order val="49"/>
          <c:tx>
            <c:strRef>
              <c:f>S_plus!$BJ$1</c:f>
              <c:strCache>
                <c:ptCount val="1"/>
                <c:pt idx="0">
                  <c:v>Sim50</c:v>
                </c:pt>
              </c:strCache>
            </c:strRef>
          </c:tx>
          <c:marker>
            <c:symbol val="none"/>
          </c:marker>
          <c:xVal>
            <c:numRef>
              <c:f>S_plus!$L$2:$L$102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S_plus!$BJ$2:$BJ$102</c:f>
              <c:numCache>
                <c:formatCode>General</c:formatCode>
                <c:ptCount val="101"/>
                <c:pt idx="0">
                  <c:v>100</c:v>
                </c:pt>
                <c:pt idx="1">
                  <c:v>102.352952149</c:v>
                </c:pt>
                <c:pt idx="2">
                  <c:v>100.85139504</c:v>
                </c:pt>
                <c:pt idx="3">
                  <c:v>103.600804364</c:v>
                </c:pt>
                <c:pt idx="4">
                  <c:v>106.450775964</c:v>
                </c:pt>
                <c:pt idx="5">
                  <c:v>109.08887391899999</c:v>
                </c:pt>
                <c:pt idx="6">
                  <c:v>107.104750499</c:v>
                </c:pt>
                <c:pt idx="7">
                  <c:v>103.92619053999999</c:v>
                </c:pt>
                <c:pt idx="8">
                  <c:v>103.75893209</c:v>
                </c:pt>
                <c:pt idx="9">
                  <c:v>103.631389865</c:v>
                </c:pt>
                <c:pt idx="10">
                  <c:v>106.285583844</c:v>
                </c:pt>
                <c:pt idx="11">
                  <c:v>107.17249015900001</c:v>
                </c:pt>
                <c:pt idx="12">
                  <c:v>109.778632667</c:v>
                </c:pt>
                <c:pt idx="13">
                  <c:v>108.499317128</c:v>
                </c:pt>
                <c:pt idx="14">
                  <c:v>108.00893359299999</c:v>
                </c:pt>
                <c:pt idx="15">
                  <c:v>109.369261329</c:v>
                </c:pt>
                <c:pt idx="16">
                  <c:v>109.45480668499999</c:v>
                </c:pt>
                <c:pt idx="17">
                  <c:v>107.68906395499999</c:v>
                </c:pt>
                <c:pt idx="18">
                  <c:v>109.73123125799999</c:v>
                </c:pt>
                <c:pt idx="19">
                  <c:v>108.581631731</c:v>
                </c:pt>
                <c:pt idx="20">
                  <c:v>107.292944081</c:v>
                </c:pt>
                <c:pt idx="21">
                  <c:v>107.538323378</c:v>
                </c:pt>
                <c:pt idx="22">
                  <c:v>112.068164005</c:v>
                </c:pt>
                <c:pt idx="23">
                  <c:v>113.29680380800001</c:v>
                </c:pt>
                <c:pt idx="24">
                  <c:v>111.549881896</c:v>
                </c:pt>
                <c:pt idx="25">
                  <c:v>110.28544607400001</c:v>
                </c:pt>
                <c:pt idx="26">
                  <c:v>107.65233274000001</c:v>
                </c:pt>
                <c:pt idx="27">
                  <c:v>107.087776103</c:v>
                </c:pt>
                <c:pt idx="28">
                  <c:v>105.596896343</c:v>
                </c:pt>
                <c:pt idx="29">
                  <c:v>102.381328091</c:v>
                </c:pt>
                <c:pt idx="30">
                  <c:v>105.00863470199999</c:v>
                </c:pt>
                <c:pt idx="31">
                  <c:v>101.572850989</c:v>
                </c:pt>
                <c:pt idx="32">
                  <c:v>101.205677597</c:v>
                </c:pt>
                <c:pt idx="33">
                  <c:v>101.05714042699999</c:v>
                </c:pt>
                <c:pt idx="34">
                  <c:v>100.613574599</c:v>
                </c:pt>
                <c:pt idx="35">
                  <c:v>102.274095581</c:v>
                </c:pt>
                <c:pt idx="36">
                  <c:v>105.164217702</c:v>
                </c:pt>
                <c:pt idx="37">
                  <c:v>103.636780488</c:v>
                </c:pt>
                <c:pt idx="38">
                  <c:v>104.102751477</c:v>
                </c:pt>
                <c:pt idx="39">
                  <c:v>104.995274061</c:v>
                </c:pt>
                <c:pt idx="40">
                  <c:v>106.268652186</c:v>
                </c:pt>
                <c:pt idx="41">
                  <c:v>105.329799564</c:v>
                </c:pt>
                <c:pt idx="42">
                  <c:v>105.93290100599999</c:v>
                </c:pt>
                <c:pt idx="43">
                  <c:v>102.61355453</c:v>
                </c:pt>
                <c:pt idx="44">
                  <c:v>102.130769609</c:v>
                </c:pt>
                <c:pt idx="45">
                  <c:v>98.813066775799996</c:v>
                </c:pt>
                <c:pt idx="46">
                  <c:v>102.019111219</c:v>
                </c:pt>
                <c:pt idx="47">
                  <c:v>105.219237542</c:v>
                </c:pt>
                <c:pt idx="48">
                  <c:v>105.561324564</c:v>
                </c:pt>
                <c:pt idx="49">
                  <c:v>104.52143690600001</c:v>
                </c:pt>
                <c:pt idx="50">
                  <c:v>105.08455294300001</c:v>
                </c:pt>
                <c:pt idx="51">
                  <c:v>106.10542549900001</c:v>
                </c:pt>
                <c:pt idx="52">
                  <c:v>103.957071498</c:v>
                </c:pt>
                <c:pt idx="53">
                  <c:v>101.956800551</c:v>
                </c:pt>
                <c:pt idx="54">
                  <c:v>102.95686073</c:v>
                </c:pt>
                <c:pt idx="55">
                  <c:v>103.034289992</c:v>
                </c:pt>
                <c:pt idx="56">
                  <c:v>103.95947752399999</c:v>
                </c:pt>
                <c:pt idx="57">
                  <c:v>105.934416412</c:v>
                </c:pt>
                <c:pt idx="58">
                  <c:v>107.121735683</c:v>
                </c:pt>
                <c:pt idx="59">
                  <c:v>107.642955129</c:v>
                </c:pt>
                <c:pt idx="60">
                  <c:v>106.23322588800001</c:v>
                </c:pt>
                <c:pt idx="61">
                  <c:v>104.94408303199999</c:v>
                </c:pt>
                <c:pt idx="62">
                  <c:v>105.061483542</c:v>
                </c:pt>
                <c:pt idx="63">
                  <c:v>107.49873066400001</c:v>
                </c:pt>
                <c:pt idx="64">
                  <c:v>109.288173122</c:v>
                </c:pt>
                <c:pt idx="65">
                  <c:v>110.951184412</c:v>
                </c:pt>
                <c:pt idx="66">
                  <c:v>110.242894377</c:v>
                </c:pt>
                <c:pt idx="67">
                  <c:v>107.80795419099999</c:v>
                </c:pt>
                <c:pt idx="68">
                  <c:v>108.74699087</c:v>
                </c:pt>
                <c:pt idx="69">
                  <c:v>112.420614098</c:v>
                </c:pt>
                <c:pt idx="70">
                  <c:v>112.65752379</c:v>
                </c:pt>
                <c:pt idx="71">
                  <c:v>115.622729144</c:v>
                </c:pt>
                <c:pt idx="72">
                  <c:v>117.242695723</c:v>
                </c:pt>
                <c:pt idx="73">
                  <c:v>117.300082403</c:v>
                </c:pt>
                <c:pt idx="74">
                  <c:v>116.60461324800001</c:v>
                </c:pt>
                <c:pt idx="75">
                  <c:v>116.342021299</c:v>
                </c:pt>
                <c:pt idx="76">
                  <c:v>116.938924597</c:v>
                </c:pt>
                <c:pt idx="77">
                  <c:v>119.380745405</c:v>
                </c:pt>
                <c:pt idx="78">
                  <c:v>117.67370392700001</c:v>
                </c:pt>
                <c:pt idx="79">
                  <c:v>115.578586722</c:v>
                </c:pt>
                <c:pt idx="80">
                  <c:v>116.182374889</c:v>
                </c:pt>
                <c:pt idx="81">
                  <c:v>115.82614802400001</c:v>
                </c:pt>
                <c:pt idx="82">
                  <c:v>113.18241934</c:v>
                </c:pt>
                <c:pt idx="83">
                  <c:v>112.44946854</c:v>
                </c:pt>
                <c:pt idx="84">
                  <c:v>112.99530401200001</c:v>
                </c:pt>
                <c:pt idx="85">
                  <c:v>111.49689775</c:v>
                </c:pt>
                <c:pt idx="86">
                  <c:v>109.49163265</c:v>
                </c:pt>
                <c:pt idx="87">
                  <c:v>108.464112833</c:v>
                </c:pt>
                <c:pt idx="88">
                  <c:v>108.23585527100001</c:v>
                </c:pt>
                <c:pt idx="89">
                  <c:v>107.573698769</c:v>
                </c:pt>
                <c:pt idx="90">
                  <c:v>104.048279712</c:v>
                </c:pt>
                <c:pt idx="91">
                  <c:v>106.000305493</c:v>
                </c:pt>
                <c:pt idx="92">
                  <c:v>106.577940037</c:v>
                </c:pt>
                <c:pt idx="93">
                  <c:v>104.31445668000001</c:v>
                </c:pt>
                <c:pt idx="94">
                  <c:v>106.986643001</c:v>
                </c:pt>
                <c:pt idx="95">
                  <c:v>104.441869638</c:v>
                </c:pt>
                <c:pt idx="96">
                  <c:v>107.311358356</c:v>
                </c:pt>
                <c:pt idx="97">
                  <c:v>106.876276945</c:v>
                </c:pt>
                <c:pt idx="98">
                  <c:v>106.69131023</c:v>
                </c:pt>
                <c:pt idx="99">
                  <c:v>107.861056386</c:v>
                </c:pt>
                <c:pt idx="100">
                  <c:v>106.596745989</c:v>
                </c:pt>
              </c:numCache>
            </c:numRef>
          </c:yVal>
          <c:smooth val="1"/>
        </c:ser>
        <c:ser>
          <c:idx val="50"/>
          <c:order val="50"/>
          <c:tx>
            <c:strRef>
              <c:f>S_plus!$BK$1</c:f>
              <c:strCache>
                <c:ptCount val="1"/>
                <c:pt idx="0">
                  <c:v>Sim51</c:v>
                </c:pt>
              </c:strCache>
            </c:strRef>
          </c:tx>
          <c:marker>
            <c:symbol val="none"/>
          </c:marker>
          <c:xVal>
            <c:numRef>
              <c:f>S_plus!$L$2:$L$102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S_plus!$BK$2:$BK$102</c:f>
              <c:numCache>
                <c:formatCode>General</c:formatCode>
                <c:ptCount val="101"/>
                <c:pt idx="0">
                  <c:v>100</c:v>
                </c:pt>
                <c:pt idx="1">
                  <c:v>101.867551347</c:v>
                </c:pt>
                <c:pt idx="2">
                  <c:v>100.32531523</c:v>
                </c:pt>
                <c:pt idx="3">
                  <c:v>98.520246631999996</c:v>
                </c:pt>
                <c:pt idx="4">
                  <c:v>98.616891369200005</c:v>
                </c:pt>
                <c:pt idx="5">
                  <c:v>103.860234112</c:v>
                </c:pt>
                <c:pt idx="6">
                  <c:v>103.34715342699999</c:v>
                </c:pt>
                <c:pt idx="7">
                  <c:v>100.518524699</c:v>
                </c:pt>
                <c:pt idx="8">
                  <c:v>98.585461355700005</c:v>
                </c:pt>
                <c:pt idx="9">
                  <c:v>98.642139378899998</c:v>
                </c:pt>
                <c:pt idx="10">
                  <c:v>100.18128292999999</c:v>
                </c:pt>
                <c:pt idx="11">
                  <c:v>98.053747116599993</c:v>
                </c:pt>
                <c:pt idx="12">
                  <c:v>96.871585275800001</c:v>
                </c:pt>
                <c:pt idx="13">
                  <c:v>97.114190355700003</c:v>
                </c:pt>
                <c:pt idx="14">
                  <c:v>94.010070476600006</c:v>
                </c:pt>
                <c:pt idx="15">
                  <c:v>95.381799196499998</c:v>
                </c:pt>
                <c:pt idx="16">
                  <c:v>97.576036882899999</c:v>
                </c:pt>
                <c:pt idx="17">
                  <c:v>95.191065011700005</c:v>
                </c:pt>
                <c:pt idx="18">
                  <c:v>93.589230162000007</c:v>
                </c:pt>
                <c:pt idx="19">
                  <c:v>93.873358736900002</c:v>
                </c:pt>
                <c:pt idx="20">
                  <c:v>93.519247448800002</c:v>
                </c:pt>
                <c:pt idx="21">
                  <c:v>93.049264851299995</c:v>
                </c:pt>
                <c:pt idx="22">
                  <c:v>93.701502756099998</c:v>
                </c:pt>
                <c:pt idx="23">
                  <c:v>90.737555977100001</c:v>
                </c:pt>
                <c:pt idx="24">
                  <c:v>91.764057090799994</c:v>
                </c:pt>
                <c:pt idx="25">
                  <c:v>92.318842879000002</c:v>
                </c:pt>
                <c:pt idx="26">
                  <c:v>92.299829094700002</c:v>
                </c:pt>
                <c:pt idx="27">
                  <c:v>94.045971696899997</c:v>
                </c:pt>
                <c:pt idx="28">
                  <c:v>93.018724027000005</c:v>
                </c:pt>
                <c:pt idx="29">
                  <c:v>95.816446076199995</c:v>
                </c:pt>
                <c:pt idx="30">
                  <c:v>95.989237467300001</c:v>
                </c:pt>
                <c:pt idx="31">
                  <c:v>95.619060737300003</c:v>
                </c:pt>
                <c:pt idx="32">
                  <c:v>94.396100269100003</c:v>
                </c:pt>
                <c:pt idx="33">
                  <c:v>94.952940570999999</c:v>
                </c:pt>
                <c:pt idx="34">
                  <c:v>93.9796032518</c:v>
                </c:pt>
                <c:pt idx="35">
                  <c:v>96.210026676599995</c:v>
                </c:pt>
                <c:pt idx="36">
                  <c:v>93.506649907300002</c:v>
                </c:pt>
                <c:pt idx="37">
                  <c:v>94.379160902500004</c:v>
                </c:pt>
                <c:pt idx="38">
                  <c:v>95.6224479575</c:v>
                </c:pt>
                <c:pt idx="39">
                  <c:v>95.502123999299997</c:v>
                </c:pt>
                <c:pt idx="40">
                  <c:v>95.351521422600001</c:v>
                </c:pt>
                <c:pt idx="41">
                  <c:v>91.620475851500004</c:v>
                </c:pt>
                <c:pt idx="42">
                  <c:v>92.743377044699997</c:v>
                </c:pt>
                <c:pt idx="43">
                  <c:v>93.049593970000004</c:v>
                </c:pt>
                <c:pt idx="44">
                  <c:v>95.204916413500001</c:v>
                </c:pt>
                <c:pt idx="45">
                  <c:v>91.837615308300002</c:v>
                </c:pt>
                <c:pt idx="46">
                  <c:v>94.806308016700001</c:v>
                </c:pt>
                <c:pt idx="47">
                  <c:v>90.776832509800002</c:v>
                </c:pt>
                <c:pt idx="48">
                  <c:v>93.711473900100003</c:v>
                </c:pt>
                <c:pt idx="49">
                  <c:v>95.0892557154</c:v>
                </c:pt>
                <c:pt idx="50">
                  <c:v>93.828630251199996</c:v>
                </c:pt>
                <c:pt idx="51">
                  <c:v>97.163420320900002</c:v>
                </c:pt>
                <c:pt idx="52">
                  <c:v>99.293952924799996</c:v>
                </c:pt>
                <c:pt idx="53">
                  <c:v>102.96106503999999</c:v>
                </c:pt>
                <c:pt idx="54">
                  <c:v>103.80340513500001</c:v>
                </c:pt>
                <c:pt idx="55">
                  <c:v>105.05501264500001</c:v>
                </c:pt>
                <c:pt idx="56">
                  <c:v>102.49423252</c:v>
                </c:pt>
                <c:pt idx="57">
                  <c:v>101.29195846499999</c:v>
                </c:pt>
                <c:pt idx="58">
                  <c:v>104.147072726</c:v>
                </c:pt>
                <c:pt idx="59">
                  <c:v>104.812259438</c:v>
                </c:pt>
                <c:pt idx="60">
                  <c:v>102.64564848000001</c:v>
                </c:pt>
                <c:pt idx="61">
                  <c:v>103.038674169</c:v>
                </c:pt>
                <c:pt idx="62">
                  <c:v>103.245763641</c:v>
                </c:pt>
                <c:pt idx="63">
                  <c:v>104.589502078</c:v>
                </c:pt>
                <c:pt idx="64">
                  <c:v>104.62655928</c:v>
                </c:pt>
                <c:pt idx="65">
                  <c:v>101.623345249</c:v>
                </c:pt>
                <c:pt idx="66">
                  <c:v>100.81806275300001</c:v>
                </c:pt>
                <c:pt idx="67">
                  <c:v>99.226339099699999</c:v>
                </c:pt>
                <c:pt idx="68">
                  <c:v>100.177864988</c:v>
                </c:pt>
                <c:pt idx="69">
                  <c:v>101.278818019</c:v>
                </c:pt>
                <c:pt idx="70">
                  <c:v>100.587717678</c:v>
                </c:pt>
                <c:pt idx="71">
                  <c:v>97.295269525999998</c:v>
                </c:pt>
                <c:pt idx="72">
                  <c:v>97.972062193699998</c:v>
                </c:pt>
                <c:pt idx="73">
                  <c:v>97.134247750399993</c:v>
                </c:pt>
                <c:pt idx="74">
                  <c:v>99.851360706799994</c:v>
                </c:pt>
                <c:pt idx="75">
                  <c:v>99.3116915361</c:v>
                </c:pt>
                <c:pt idx="76">
                  <c:v>102.975736039</c:v>
                </c:pt>
                <c:pt idx="77">
                  <c:v>105.05559762</c:v>
                </c:pt>
                <c:pt idx="78">
                  <c:v>104.78520016100001</c:v>
                </c:pt>
                <c:pt idx="79">
                  <c:v>108.641448423</c:v>
                </c:pt>
                <c:pt idx="80">
                  <c:v>110.724130661</c:v>
                </c:pt>
                <c:pt idx="81">
                  <c:v>110.428903504</c:v>
                </c:pt>
                <c:pt idx="82">
                  <c:v>108.508192454</c:v>
                </c:pt>
                <c:pt idx="83">
                  <c:v>109.694925127</c:v>
                </c:pt>
                <c:pt idx="84">
                  <c:v>107.137685189</c:v>
                </c:pt>
                <c:pt idx="85">
                  <c:v>108.557551082</c:v>
                </c:pt>
                <c:pt idx="86">
                  <c:v>107.114432687</c:v>
                </c:pt>
                <c:pt idx="87">
                  <c:v>110.006287606</c:v>
                </c:pt>
                <c:pt idx="88">
                  <c:v>108.345339452</c:v>
                </c:pt>
                <c:pt idx="89">
                  <c:v>103.922996544</c:v>
                </c:pt>
                <c:pt idx="90">
                  <c:v>102.13228890400001</c:v>
                </c:pt>
                <c:pt idx="91">
                  <c:v>104.549271643</c:v>
                </c:pt>
                <c:pt idx="92">
                  <c:v>107.19925053599999</c:v>
                </c:pt>
                <c:pt idx="93">
                  <c:v>110.278030887</c:v>
                </c:pt>
                <c:pt idx="94">
                  <c:v>111.000891631</c:v>
                </c:pt>
                <c:pt idx="95">
                  <c:v>108.68727473200001</c:v>
                </c:pt>
                <c:pt idx="96">
                  <c:v>110.196719659</c:v>
                </c:pt>
                <c:pt idx="97">
                  <c:v>107.227007773</c:v>
                </c:pt>
                <c:pt idx="98">
                  <c:v>103.044055594</c:v>
                </c:pt>
                <c:pt idx="99">
                  <c:v>103.573960309</c:v>
                </c:pt>
                <c:pt idx="100">
                  <c:v>103.027047302</c:v>
                </c:pt>
              </c:numCache>
            </c:numRef>
          </c:yVal>
          <c:smooth val="1"/>
        </c:ser>
        <c:ser>
          <c:idx val="51"/>
          <c:order val="51"/>
          <c:tx>
            <c:strRef>
              <c:f>S_plus!$BL$1</c:f>
              <c:strCache>
                <c:ptCount val="1"/>
                <c:pt idx="0">
                  <c:v>Sim52</c:v>
                </c:pt>
              </c:strCache>
            </c:strRef>
          </c:tx>
          <c:marker>
            <c:symbol val="none"/>
          </c:marker>
          <c:xVal>
            <c:numRef>
              <c:f>S_plus!$L$2:$L$102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S_plus!$BL$2:$BL$102</c:f>
              <c:numCache>
                <c:formatCode>General</c:formatCode>
                <c:ptCount val="101"/>
                <c:pt idx="0">
                  <c:v>100</c:v>
                </c:pt>
                <c:pt idx="1">
                  <c:v>99.658132273999996</c:v>
                </c:pt>
                <c:pt idx="2">
                  <c:v>99.716704175800004</c:v>
                </c:pt>
                <c:pt idx="3">
                  <c:v>97.517014086700001</c:v>
                </c:pt>
                <c:pt idx="4">
                  <c:v>99.199920386100004</c:v>
                </c:pt>
                <c:pt idx="5">
                  <c:v>98.869291905300003</c:v>
                </c:pt>
                <c:pt idx="6">
                  <c:v>100.916403472</c:v>
                </c:pt>
                <c:pt idx="7">
                  <c:v>101.946427484</c:v>
                </c:pt>
                <c:pt idx="8">
                  <c:v>95.711279512000004</c:v>
                </c:pt>
                <c:pt idx="9">
                  <c:v>93.784609836399994</c:v>
                </c:pt>
                <c:pt idx="10">
                  <c:v>94.598681527300002</c:v>
                </c:pt>
                <c:pt idx="11">
                  <c:v>95.455461620400001</c:v>
                </c:pt>
                <c:pt idx="12">
                  <c:v>94.947757623000001</c:v>
                </c:pt>
                <c:pt idx="13">
                  <c:v>94.005902824700001</c:v>
                </c:pt>
                <c:pt idx="14">
                  <c:v>95.303591314499997</c:v>
                </c:pt>
                <c:pt idx="15">
                  <c:v>94.142189422100003</c:v>
                </c:pt>
                <c:pt idx="16">
                  <c:v>91.466599067700002</c:v>
                </c:pt>
                <c:pt idx="17">
                  <c:v>90.561296017399997</c:v>
                </c:pt>
                <c:pt idx="18">
                  <c:v>88.937099149600002</c:v>
                </c:pt>
                <c:pt idx="19">
                  <c:v>88.901862414199996</c:v>
                </c:pt>
                <c:pt idx="20">
                  <c:v>89.654466648400003</c:v>
                </c:pt>
                <c:pt idx="21">
                  <c:v>92.706387637000006</c:v>
                </c:pt>
                <c:pt idx="22">
                  <c:v>91.245455649299998</c:v>
                </c:pt>
                <c:pt idx="23">
                  <c:v>90.929278021900004</c:v>
                </c:pt>
                <c:pt idx="24">
                  <c:v>90.3165529324</c:v>
                </c:pt>
                <c:pt idx="25">
                  <c:v>92.956995294899997</c:v>
                </c:pt>
                <c:pt idx="26">
                  <c:v>90.689319500899998</c:v>
                </c:pt>
                <c:pt idx="27">
                  <c:v>90.0312774856</c:v>
                </c:pt>
                <c:pt idx="28">
                  <c:v>88.189701556200006</c:v>
                </c:pt>
                <c:pt idx="29">
                  <c:v>86.948844369200003</c:v>
                </c:pt>
                <c:pt idx="30">
                  <c:v>88.355540449800003</c:v>
                </c:pt>
                <c:pt idx="31">
                  <c:v>86.651720922699994</c:v>
                </c:pt>
                <c:pt idx="32">
                  <c:v>86.169749361300006</c:v>
                </c:pt>
                <c:pt idx="33">
                  <c:v>87.633605078299993</c:v>
                </c:pt>
                <c:pt idx="34">
                  <c:v>87.9558515951</c:v>
                </c:pt>
                <c:pt idx="35">
                  <c:v>92.540588684799999</c:v>
                </c:pt>
                <c:pt idx="36">
                  <c:v>92.376596251099997</c:v>
                </c:pt>
                <c:pt idx="37">
                  <c:v>93.127085464100006</c:v>
                </c:pt>
                <c:pt idx="38">
                  <c:v>93.408198337100004</c:v>
                </c:pt>
                <c:pt idx="39">
                  <c:v>91.580921992300006</c:v>
                </c:pt>
                <c:pt idx="40">
                  <c:v>90.370019556399996</c:v>
                </c:pt>
                <c:pt idx="41">
                  <c:v>92.139229025299997</c:v>
                </c:pt>
                <c:pt idx="42">
                  <c:v>91.760025573099995</c:v>
                </c:pt>
                <c:pt idx="43">
                  <c:v>93.683278049999998</c:v>
                </c:pt>
                <c:pt idx="44">
                  <c:v>91.375939365099995</c:v>
                </c:pt>
                <c:pt idx="45">
                  <c:v>90.538383431599996</c:v>
                </c:pt>
                <c:pt idx="46">
                  <c:v>92.921175937900003</c:v>
                </c:pt>
                <c:pt idx="47">
                  <c:v>89.284181394699999</c:v>
                </c:pt>
                <c:pt idx="48">
                  <c:v>86.733867886400006</c:v>
                </c:pt>
                <c:pt idx="49">
                  <c:v>85.578586978499999</c:v>
                </c:pt>
                <c:pt idx="50">
                  <c:v>89.176886033800002</c:v>
                </c:pt>
                <c:pt idx="51">
                  <c:v>88.019873079099995</c:v>
                </c:pt>
                <c:pt idx="52">
                  <c:v>85.6611882057</c:v>
                </c:pt>
                <c:pt idx="53">
                  <c:v>86.458484443499998</c:v>
                </c:pt>
                <c:pt idx="54">
                  <c:v>86.9484171414</c:v>
                </c:pt>
                <c:pt idx="55">
                  <c:v>86.192709039600004</c:v>
                </c:pt>
                <c:pt idx="56">
                  <c:v>88.600719778300004</c:v>
                </c:pt>
                <c:pt idx="57">
                  <c:v>89.581125895</c:v>
                </c:pt>
                <c:pt idx="58">
                  <c:v>83.332695074599997</c:v>
                </c:pt>
                <c:pt idx="59">
                  <c:v>85.490249369699995</c:v>
                </c:pt>
                <c:pt idx="60">
                  <c:v>85.311303131399995</c:v>
                </c:pt>
                <c:pt idx="61">
                  <c:v>84.116110231099995</c:v>
                </c:pt>
                <c:pt idx="62">
                  <c:v>83.412157581200006</c:v>
                </c:pt>
                <c:pt idx="63">
                  <c:v>81.474054595300004</c:v>
                </c:pt>
                <c:pt idx="64">
                  <c:v>80.478679081300001</c:v>
                </c:pt>
                <c:pt idx="65">
                  <c:v>80.948843706999995</c:v>
                </c:pt>
                <c:pt idx="66">
                  <c:v>82.600882751200004</c:v>
                </c:pt>
                <c:pt idx="67">
                  <c:v>81.030021586800004</c:v>
                </c:pt>
                <c:pt idx="68">
                  <c:v>80.235351170900003</c:v>
                </c:pt>
                <c:pt idx="69">
                  <c:v>79.798744184399993</c:v>
                </c:pt>
                <c:pt idx="70">
                  <c:v>78.392812018300006</c:v>
                </c:pt>
                <c:pt idx="71">
                  <c:v>77.591716172299996</c:v>
                </c:pt>
                <c:pt idx="72">
                  <c:v>76.278890060500004</c:v>
                </c:pt>
                <c:pt idx="73">
                  <c:v>76.9541182273</c:v>
                </c:pt>
                <c:pt idx="74">
                  <c:v>75.752480173799995</c:v>
                </c:pt>
                <c:pt idx="75">
                  <c:v>73.676050786900007</c:v>
                </c:pt>
                <c:pt idx="76">
                  <c:v>74.919357875900005</c:v>
                </c:pt>
                <c:pt idx="77">
                  <c:v>73.655067601200003</c:v>
                </c:pt>
                <c:pt idx="78">
                  <c:v>75.703577622799997</c:v>
                </c:pt>
                <c:pt idx="79">
                  <c:v>75.176393378</c:v>
                </c:pt>
                <c:pt idx="80">
                  <c:v>74.243706660800001</c:v>
                </c:pt>
                <c:pt idx="81">
                  <c:v>73.271175251399995</c:v>
                </c:pt>
                <c:pt idx="82">
                  <c:v>74.810946186899997</c:v>
                </c:pt>
                <c:pt idx="83">
                  <c:v>75.027462671099997</c:v>
                </c:pt>
                <c:pt idx="84">
                  <c:v>74.434225173599998</c:v>
                </c:pt>
                <c:pt idx="85">
                  <c:v>76.691457088799993</c:v>
                </c:pt>
                <c:pt idx="86">
                  <c:v>74.819345327600004</c:v>
                </c:pt>
                <c:pt idx="87">
                  <c:v>77.182125375200002</c:v>
                </c:pt>
                <c:pt idx="88">
                  <c:v>75.459719189899999</c:v>
                </c:pt>
                <c:pt idx="89">
                  <c:v>78.021860158600006</c:v>
                </c:pt>
                <c:pt idx="90">
                  <c:v>80.098245224699994</c:v>
                </c:pt>
                <c:pt idx="91">
                  <c:v>80.346370053699999</c:v>
                </c:pt>
                <c:pt idx="92">
                  <c:v>77.407314614699999</c:v>
                </c:pt>
                <c:pt idx="93">
                  <c:v>77.398672855000001</c:v>
                </c:pt>
                <c:pt idx="94">
                  <c:v>78.733585794899994</c:v>
                </c:pt>
                <c:pt idx="95">
                  <c:v>79.841796538200001</c:v>
                </c:pt>
                <c:pt idx="96">
                  <c:v>78.321457481300001</c:v>
                </c:pt>
                <c:pt idx="97">
                  <c:v>79.303681623800003</c:v>
                </c:pt>
                <c:pt idx="98">
                  <c:v>79.603031365000007</c:v>
                </c:pt>
                <c:pt idx="99">
                  <c:v>77.156657048699998</c:v>
                </c:pt>
                <c:pt idx="100">
                  <c:v>76.158084828599996</c:v>
                </c:pt>
              </c:numCache>
            </c:numRef>
          </c:yVal>
          <c:smooth val="1"/>
        </c:ser>
        <c:ser>
          <c:idx val="52"/>
          <c:order val="52"/>
          <c:tx>
            <c:strRef>
              <c:f>S_plus!$BM$1</c:f>
              <c:strCache>
                <c:ptCount val="1"/>
                <c:pt idx="0">
                  <c:v>Sim53</c:v>
                </c:pt>
              </c:strCache>
            </c:strRef>
          </c:tx>
          <c:marker>
            <c:symbol val="none"/>
          </c:marker>
          <c:xVal>
            <c:numRef>
              <c:f>S_plus!$L$2:$L$102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S_plus!$BM$2:$BM$102</c:f>
              <c:numCache>
                <c:formatCode>General</c:formatCode>
                <c:ptCount val="101"/>
                <c:pt idx="0">
                  <c:v>100</c:v>
                </c:pt>
                <c:pt idx="1">
                  <c:v>98.050242701800002</c:v>
                </c:pt>
                <c:pt idx="2">
                  <c:v>95.529772517500007</c:v>
                </c:pt>
                <c:pt idx="3">
                  <c:v>92.796288010699996</c:v>
                </c:pt>
                <c:pt idx="4">
                  <c:v>93.237533780899994</c:v>
                </c:pt>
                <c:pt idx="5">
                  <c:v>93.6224037705</c:v>
                </c:pt>
                <c:pt idx="6">
                  <c:v>91.318824005699994</c:v>
                </c:pt>
                <c:pt idx="7">
                  <c:v>91.412205362400002</c:v>
                </c:pt>
                <c:pt idx="8">
                  <c:v>94.706083335399995</c:v>
                </c:pt>
                <c:pt idx="9">
                  <c:v>95.382989831200007</c:v>
                </c:pt>
                <c:pt idx="10">
                  <c:v>98.732211158400006</c:v>
                </c:pt>
                <c:pt idx="11">
                  <c:v>97.451332777999994</c:v>
                </c:pt>
                <c:pt idx="12">
                  <c:v>97.238695632900004</c:v>
                </c:pt>
                <c:pt idx="13">
                  <c:v>94.044648098600007</c:v>
                </c:pt>
                <c:pt idx="14">
                  <c:v>91.584702164999996</c:v>
                </c:pt>
                <c:pt idx="15">
                  <c:v>91.949607186500003</c:v>
                </c:pt>
                <c:pt idx="16">
                  <c:v>90.719952955099998</c:v>
                </c:pt>
                <c:pt idx="17">
                  <c:v>89.280414316900007</c:v>
                </c:pt>
                <c:pt idx="18">
                  <c:v>90.9821248035</c:v>
                </c:pt>
                <c:pt idx="19">
                  <c:v>91.624540650200004</c:v>
                </c:pt>
                <c:pt idx="20">
                  <c:v>94.152646303699996</c:v>
                </c:pt>
                <c:pt idx="21">
                  <c:v>93.519614357899997</c:v>
                </c:pt>
                <c:pt idx="22">
                  <c:v>98.994559009200003</c:v>
                </c:pt>
                <c:pt idx="23">
                  <c:v>97.233796735200002</c:v>
                </c:pt>
                <c:pt idx="24">
                  <c:v>97.503185511300003</c:v>
                </c:pt>
                <c:pt idx="25">
                  <c:v>97.726179577099998</c:v>
                </c:pt>
                <c:pt idx="26">
                  <c:v>98.905624932600006</c:v>
                </c:pt>
                <c:pt idx="27">
                  <c:v>98.677137209999998</c:v>
                </c:pt>
                <c:pt idx="28">
                  <c:v>97.079353515500003</c:v>
                </c:pt>
                <c:pt idx="29">
                  <c:v>95.163509824299993</c:v>
                </c:pt>
                <c:pt idx="30">
                  <c:v>95.117862803799994</c:v>
                </c:pt>
                <c:pt idx="31">
                  <c:v>94.928519129199998</c:v>
                </c:pt>
                <c:pt idx="32">
                  <c:v>96.553126952699998</c:v>
                </c:pt>
                <c:pt idx="33">
                  <c:v>97.682363802300003</c:v>
                </c:pt>
                <c:pt idx="34">
                  <c:v>94.409081181199994</c:v>
                </c:pt>
                <c:pt idx="35">
                  <c:v>94.949223880000005</c:v>
                </c:pt>
                <c:pt idx="36">
                  <c:v>95.046842297200001</c:v>
                </c:pt>
                <c:pt idx="37">
                  <c:v>98.989387862399994</c:v>
                </c:pt>
                <c:pt idx="38">
                  <c:v>96.024387188099993</c:v>
                </c:pt>
                <c:pt idx="39">
                  <c:v>94.950727732100006</c:v>
                </c:pt>
                <c:pt idx="40">
                  <c:v>96.068448119799996</c:v>
                </c:pt>
                <c:pt idx="41">
                  <c:v>96.656850506799998</c:v>
                </c:pt>
                <c:pt idx="42">
                  <c:v>98.279109044699993</c:v>
                </c:pt>
                <c:pt idx="43">
                  <c:v>98.096392936800001</c:v>
                </c:pt>
                <c:pt idx="44">
                  <c:v>96.199327595300005</c:v>
                </c:pt>
                <c:pt idx="45">
                  <c:v>94.459689361700001</c:v>
                </c:pt>
                <c:pt idx="46">
                  <c:v>92.701535495399995</c:v>
                </c:pt>
                <c:pt idx="47">
                  <c:v>95.9116783395</c:v>
                </c:pt>
                <c:pt idx="48">
                  <c:v>93.560902085999999</c:v>
                </c:pt>
                <c:pt idx="49">
                  <c:v>95.240177081499994</c:v>
                </c:pt>
                <c:pt idx="50">
                  <c:v>97.268207099400001</c:v>
                </c:pt>
                <c:pt idx="51">
                  <c:v>96.093018882799996</c:v>
                </c:pt>
                <c:pt idx="52">
                  <c:v>95.473530364200002</c:v>
                </c:pt>
                <c:pt idx="53">
                  <c:v>96.794764144599995</c:v>
                </c:pt>
                <c:pt idx="54">
                  <c:v>99.1545524191</c:v>
                </c:pt>
                <c:pt idx="55">
                  <c:v>100.52899445</c:v>
                </c:pt>
                <c:pt idx="56">
                  <c:v>102.21842766499999</c:v>
                </c:pt>
                <c:pt idx="57">
                  <c:v>105.708261463</c:v>
                </c:pt>
                <c:pt idx="58">
                  <c:v>105.075826826</c:v>
                </c:pt>
                <c:pt idx="59">
                  <c:v>105.64190394000001</c:v>
                </c:pt>
                <c:pt idx="60">
                  <c:v>112.776266447</c:v>
                </c:pt>
                <c:pt idx="61">
                  <c:v>112.94678487100001</c:v>
                </c:pt>
                <c:pt idx="62">
                  <c:v>114.10294645800001</c:v>
                </c:pt>
                <c:pt idx="63">
                  <c:v>111.182287004</c:v>
                </c:pt>
                <c:pt idx="64">
                  <c:v>113.035097988</c:v>
                </c:pt>
                <c:pt idx="65">
                  <c:v>113.77099191400001</c:v>
                </c:pt>
                <c:pt idx="66">
                  <c:v>114.91528998699999</c:v>
                </c:pt>
                <c:pt idx="67">
                  <c:v>116.926086739</c:v>
                </c:pt>
                <c:pt idx="68">
                  <c:v>118.10761483</c:v>
                </c:pt>
                <c:pt idx="69">
                  <c:v>120.923140863</c:v>
                </c:pt>
                <c:pt idx="70">
                  <c:v>121.661549112</c:v>
                </c:pt>
                <c:pt idx="71">
                  <c:v>120.209982821</c:v>
                </c:pt>
                <c:pt idx="72">
                  <c:v>120.37292524599999</c:v>
                </c:pt>
                <c:pt idx="73">
                  <c:v>122.189329104</c:v>
                </c:pt>
                <c:pt idx="74">
                  <c:v>120.332139927</c:v>
                </c:pt>
                <c:pt idx="75">
                  <c:v>122.063286784</c:v>
                </c:pt>
                <c:pt idx="76">
                  <c:v>125.35081606999999</c:v>
                </c:pt>
                <c:pt idx="77">
                  <c:v>122.088038916</c:v>
                </c:pt>
                <c:pt idx="78">
                  <c:v>125.721067991</c:v>
                </c:pt>
                <c:pt idx="79">
                  <c:v>123.74218089199999</c:v>
                </c:pt>
                <c:pt idx="80">
                  <c:v>122.63691187400001</c:v>
                </c:pt>
                <c:pt idx="81">
                  <c:v>123.599200216</c:v>
                </c:pt>
                <c:pt idx="82">
                  <c:v>123.130293841</c:v>
                </c:pt>
                <c:pt idx="83">
                  <c:v>123.896872073</c:v>
                </c:pt>
                <c:pt idx="84">
                  <c:v>126.608834319</c:v>
                </c:pt>
                <c:pt idx="85">
                  <c:v>123.067747064</c:v>
                </c:pt>
                <c:pt idx="86">
                  <c:v>122.89144631800001</c:v>
                </c:pt>
                <c:pt idx="87">
                  <c:v>119.96205615300001</c:v>
                </c:pt>
                <c:pt idx="88">
                  <c:v>119.779279403</c:v>
                </c:pt>
                <c:pt idx="89">
                  <c:v>118.215013126</c:v>
                </c:pt>
                <c:pt idx="90">
                  <c:v>115.38833478399999</c:v>
                </c:pt>
                <c:pt idx="91">
                  <c:v>116.676635404</c:v>
                </c:pt>
                <c:pt idx="92">
                  <c:v>119.83381558400001</c:v>
                </c:pt>
                <c:pt idx="93">
                  <c:v>116.622124246</c:v>
                </c:pt>
                <c:pt idx="94">
                  <c:v>113.643995731</c:v>
                </c:pt>
                <c:pt idx="95">
                  <c:v>111.275010266</c:v>
                </c:pt>
                <c:pt idx="96">
                  <c:v>114.54314797000001</c:v>
                </c:pt>
                <c:pt idx="97">
                  <c:v>114.791961628</c:v>
                </c:pt>
                <c:pt idx="98">
                  <c:v>109.87653392599999</c:v>
                </c:pt>
                <c:pt idx="99">
                  <c:v>110.203337672</c:v>
                </c:pt>
                <c:pt idx="100">
                  <c:v>108.363156719</c:v>
                </c:pt>
              </c:numCache>
            </c:numRef>
          </c:yVal>
          <c:smooth val="1"/>
        </c:ser>
        <c:ser>
          <c:idx val="53"/>
          <c:order val="53"/>
          <c:tx>
            <c:strRef>
              <c:f>S_plus!$BN$1</c:f>
              <c:strCache>
                <c:ptCount val="1"/>
                <c:pt idx="0">
                  <c:v>Sim54</c:v>
                </c:pt>
              </c:strCache>
            </c:strRef>
          </c:tx>
          <c:marker>
            <c:symbol val="none"/>
          </c:marker>
          <c:xVal>
            <c:numRef>
              <c:f>S_plus!$L$2:$L$102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S_plus!$BN$2:$BN$102</c:f>
              <c:numCache>
                <c:formatCode>General</c:formatCode>
                <c:ptCount val="101"/>
                <c:pt idx="0">
                  <c:v>100</c:v>
                </c:pt>
                <c:pt idx="1">
                  <c:v>97.785894404199993</c:v>
                </c:pt>
                <c:pt idx="2">
                  <c:v>99.145709474499995</c:v>
                </c:pt>
                <c:pt idx="3">
                  <c:v>99.623965581099995</c:v>
                </c:pt>
                <c:pt idx="4">
                  <c:v>102.04311390700001</c:v>
                </c:pt>
                <c:pt idx="5">
                  <c:v>101.42280348200001</c:v>
                </c:pt>
                <c:pt idx="6">
                  <c:v>105.97058252799999</c:v>
                </c:pt>
                <c:pt idx="7">
                  <c:v>105.46531463700001</c:v>
                </c:pt>
                <c:pt idx="8">
                  <c:v>102.707233563</c:v>
                </c:pt>
                <c:pt idx="9">
                  <c:v>99.314631281000004</c:v>
                </c:pt>
                <c:pt idx="10">
                  <c:v>101.20774921100001</c:v>
                </c:pt>
                <c:pt idx="11">
                  <c:v>102.48885421</c:v>
                </c:pt>
                <c:pt idx="12">
                  <c:v>100.081667389</c:v>
                </c:pt>
                <c:pt idx="13">
                  <c:v>100.135616625</c:v>
                </c:pt>
                <c:pt idx="14">
                  <c:v>100.551889264</c:v>
                </c:pt>
                <c:pt idx="15">
                  <c:v>101.727143664</c:v>
                </c:pt>
                <c:pt idx="16">
                  <c:v>104.580340991</c:v>
                </c:pt>
                <c:pt idx="17">
                  <c:v>102.739432619</c:v>
                </c:pt>
                <c:pt idx="18">
                  <c:v>101.08707175000001</c:v>
                </c:pt>
                <c:pt idx="19">
                  <c:v>100.000115315</c:v>
                </c:pt>
                <c:pt idx="20">
                  <c:v>102.275512296</c:v>
                </c:pt>
                <c:pt idx="21">
                  <c:v>102.205707389</c:v>
                </c:pt>
                <c:pt idx="22">
                  <c:v>102.19765969300001</c:v>
                </c:pt>
                <c:pt idx="23">
                  <c:v>102.31337114599999</c:v>
                </c:pt>
                <c:pt idx="24">
                  <c:v>104.769324717</c:v>
                </c:pt>
                <c:pt idx="25">
                  <c:v>102.208333126</c:v>
                </c:pt>
                <c:pt idx="26">
                  <c:v>98.209048578700006</c:v>
                </c:pt>
                <c:pt idx="27">
                  <c:v>100.935849066</c:v>
                </c:pt>
                <c:pt idx="28">
                  <c:v>101.26936414799999</c:v>
                </c:pt>
                <c:pt idx="29">
                  <c:v>102.241323272</c:v>
                </c:pt>
                <c:pt idx="30">
                  <c:v>99.711059537200001</c:v>
                </c:pt>
                <c:pt idx="31">
                  <c:v>100.216699643</c:v>
                </c:pt>
                <c:pt idx="32">
                  <c:v>101.63838522899999</c:v>
                </c:pt>
                <c:pt idx="33">
                  <c:v>99.822453819399996</c:v>
                </c:pt>
                <c:pt idx="34">
                  <c:v>99.924973366000003</c:v>
                </c:pt>
                <c:pt idx="35">
                  <c:v>101.133805395</c:v>
                </c:pt>
                <c:pt idx="36">
                  <c:v>101.848986039</c:v>
                </c:pt>
                <c:pt idx="37">
                  <c:v>101.712925785</c:v>
                </c:pt>
                <c:pt idx="38">
                  <c:v>100.47317785600001</c:v>
                </c:pt>
                <c:pt idx="39">
                  <c:v>99.052141843399994</c:v>
                </c:pt>
                <c:pt idx="40">
                  <c:v>100.74788979</c:v>
                </c:pt>
                <c:pt idx="41">
                  <c:v>99.846463207200003</c:v>
                </c:pt>
                <c:pt idx="42">
                  <c:v>101.143298593</c:v>
                </c:pt>
                <c:pt idx="43">
                  <c:v>100.396715949</c:v>
                </c:pt>
                <c:pt idx="44">
                  <c:v>103.50217195099999</c:v>
                </c:pt>
                <c:pt idx="45">
                  <c:v>101.713112162</c:v>
                </c:pt>
                <c:pt idx="46">
                  <c:v>100.947547821</c:v>
                </c:pt>
                <c:pt idx="47">
                  <c:v>100.841634512</c:v>
                </c:pt>
                <c:pt idx="48">
                  <c:v>100.236614012</c:v>
                </c:pt>
                <c:pt idx="49">
                  <c:v>100.459759558</c:v>
                </c:pt>
                <c:pt idx="50">
                  <c:v>101.99094601100001</c:v>
                </c:pt>
                <c:pt idx="51">
                  <c:v>105.027520749</c:v>
                </c:pt>
                <c:pt idx="52">
                  <c:v>103.54671965599999</c:v>
                </c:pt>
                <c:pt idx="53">
                  <c:v>104.633901276</c:v>
                </c:pt>
                <c:pt idx="54">
                  <c:v>103.802878875</c:v>
                </c:pt>
                <c:pt idx="55">
                  <c:v>100.20903515400001</c:v>
                </c:pt>
                <c:pt idx="56">
                  <c:v>102.467094328</c:v>
                </c:pt>
                <c:pt idx="57">
                  <c:v>102.093937614</c:v>
                </c:pt>
                <c:pt idx="58">
                  <c:v>102.649581111</c:v>
                </c:pt>
                <c:pt idx="59">
                  <c:v>103.876642246</c:v>
                </c:pt>
                <c:pt idx="60">
                  <c:v>104.250816294</c:v>
                </c:pt>
                <c:pt idx="61">
                  <c:v>109.245850293</c:v>
                </c:pt>
                <c:pt idx="62">
                  <c:v>107.30097352200001</c:v>
                </c:pt>
                <c:pt idx="63">
                  <c:v>108.851578934</c:v>
                </c:pt>
                <c:pt idx="64">
                  <c:v>109.471943775</c:v>
                </c:pt>
                <c:pt idx="65">
                  <c:v>109.901195168</c:v>
                </c:pt>
                <c:pt idx="66">
                  <c:v>110.77078934799999</c:v>
                </c:pt>
                <c:pt idx="67">
                  <c:v>109.53015474</c:v>
                </c:pt>
                <c:pt idx="68">
                  <c:v>112.332687804</c:v>
                </c:pt>
                <c:pt idx="69">
                  <c:v>115.16248475499999</c:v>
                </c:pt>
                <c:pt idx="70">
                  <c:v>113.667201162</c:v>
                </c:pt>
                <c:pt idx="71">
                  <c:v>112.960865735</c:v>
                </c:pt>
                <c:pt idx="72">
                  <c:v>114.16153488099999</c:v>
                </c:pt>
                <c:pt idx="73">
                  <c:v>110.80570001700001</c:v>
                </c:pt>
                <c:pt idx="74">
                  <c:v>110.81950364799999</c:v>
                </c:pt>
                <c:pt idx="75">
                  <c:v>112.233491035</c:v>
                </c:pt>
                <c:pt idx="76">
                  <c:v>115.055983912</c:v>
                </c:pt>
                <c:pt idx="77">
                  <c:v>117.138719005</c:v>
                </c:pt>
                <c:pt idx="78">
                  <c:v>119.785236668</c:v>
                </c:pt>
                <c:pt idx="79">
                  <c:v>118.83386743</c:v>
                </c:pt>
                <c:pt idx="80">
                  <c:v>117.758561806</c:v>
                </c:pt>
                <c:pt idx="81">
                  <c:v>115.19903804499999</c:v>
                </c:pt>
                <c:pt idx="82">
                  <c:v>115.72463202500001</c:v>
                </c:pt>
                <c:pt idx="83">
                  <c:v>118.44405464899999</c:v>
                </c:pt>
                <c:pt idx="84">
                  <c:v>119.4676771</c:v>
                </c:pt>
                <c:pt idx="85">
                  <c:v>117.36960905700001</c:v>
                </c:pt>
                <c:pt idx="86">
                  <c:v>116.467265305</c:v>
                </c:pt>
                <c:pt idx="87">
                  <c:v>116.759481431</c:v>
                </c:pt>
                <c:pt idx="88">
                  <c:v>119.485012856</c:v>
                </c:pt>
                <c:pt idx="89">
                  <c:v>119.59943419699999</c:v>
                </c:pt>
                <c:pt idx="90">
                  <c:v>117.72022844999999</c:v>
                </c:pt>
                <c:pt idx="91">
                  <c:v>117.259515001</c:v>
                </c:pt>
                <c:pt idx="92">
                  <c:v>117.20864113499999</c:v>
                </c:pt>
                <c:pt idx="93">
                  <c:v>117.07525772699999</c:v>
                </c:pt>
                <c:pt idx="94">
                  <c:v>119.953090637</c:v>
                </c:pt>
                <c:pt idx="95">
                  <c:v>118.897337612</c:v>
                </c:pt>
                <c:pt idx="96">
                  <c:v>115.59204877000001</c:v>
                </c:pt>
                <c:pt idx="97">
                  <c:v>117.311915345</c:v>
                </c:pt>
                <c:pt idx="98">
                  <c:v>116.542642802</c:v>
                </c:pt>
                <c:pt idx="99">
                  <c:v>115.924926048</c:v>
                </c:pt>
                <c:pt idx="100">
                  <c:v>117.624971641</c:v>
                </c:pt>
              </c:numCache>
            </c:numRef>
          </c:yVal>
          <c:smooth val="1"/>
        </c:ser>
        <c:ser>
          <c:idx val="54"/>
          <c:order val="54"/>
          <c:tx>
            <c:strRef>
              <c:f>S_plus!$BO$1</c:f>
              <c:strCache>
                <c:ptCount val="1"/>
                <c:pt idx="0">
                  <c:v>Sim55</c:v>
                </c:pt>
              </c:strCache>
            </c:strRef>
          </c:tx>
          <c:marker>
            <c:symbol val="none"/>
          </c:marker>
          <c:xVal>
            <c:numRef>
              <c:f>S_plus!$L$2:$L$102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S_plus!$BO$2:$BO$102</c:f>
              <c:numCache>
                <c:formatCode>General</c:formatCode>
                <c:ptCount val="101"/>
                <c:pt idx="0">
                  <c:v>100</c:v>
                </c:pt>
                <c:pt idx="1">
                  <c:v>101.313476342</c:v>
                </c:pt>
                <c:pt idx="2">
                  <c:v>100.546247197</c:v>
                </c:pt>
                <c:pt idx="3">
                  <c:v>100.90708343999999</c:v>
                </c:pt>
                <c:pt idx="4">
                  <c:v>98.385521226600005</c:v>
                </c:pt>
                <c:pt idx="5">
                  <c:v>96.4660883974</c:v>
                </c:pt>
                <c:pt idx="6">
                  <c:v>91.362349583599993</c:v>
                </c:pt>
                <c:pt idx="7">
                  <c:v>91.275111978599995</c:v>
                </c:pt>
                <c:pt idx="8">
                  <c:v>90.896018114</c:v>
                </c:pt>
                <c:pt idx="9">
                  <c:v>90.399123912899995</c:v>
                </c:pt>
                <c:pt idx="10">
                  <c:v>89.508955720399996</c:v>
                </c:pt>
                <c:pt idx="11">
                  <c:v>89.149799888199993</c:v>
                </c:pt>
                <c:pt idx="12">
                  <c:v>87.634417701900006</c:v>
                </c:pt>
                <c:pt idx="13">
                  <c:v>85.013438298300002</c:v>
                </c:pt>
                <c:pt idx="14">
                  <c:v>86.691273346800003</c:v>
                </c:pt>
                <c:pt idx="15">
                  <c:v>86.123813783599999</c:v>
                </c:pt>
                <c:pt idx="16">
                  <c:v>86.966187764599994</c:v>
                </c:pt>
                <c:pt idx="17">
                  <c:v>84.596458023899999</c:v>
                </c:pt>
                <c:pt idx="18">
                  <c:v>81.251056180800006</c:v>
                </c:pt>
                <c:pt idx="19">
                  <c:v>82.490426594599995</c:v>
                </c:pt>
                <c:pt idx="20">
                  <c:v>83.332636946400001</c:v>
                </c:pt>
                <c:pt idx="21">
                  <c:v>85.022139884599994</c:v>
                </c:pt>
                <c:pt idx="22">
                  <c:v>85.166108594999997</c:v>
                </c:pt>
                <c:pt idx="23">
                  <c:v>84.780183302500006</c:v>
                </c:pt>
                <c:pt idx="24">
                  <c:v>84.862418042100003</c:v>
                </c:pt>
                <c:pt idx="25">
                  <c:v>83.767363559299994</c:v>
                </c:pt>
                <c:pt idx="26">
                  <c:v>84.264806812299994</c:v>
                </c:pt>
                <c:pt idx="27">
                  <c:v>82.393639769800004</c:v>
                </c:pt>
                <c:pt idx="28">
                  <c:v>81.979791782700005</c:v>
                </c:pt>
                <c:pt idx="29">
                  <c:v>79.728511098200002</c:v>
                </c:pt>
                <c:pt idx="30">
                  <c:v>79.574352427199997</c:v>
                </c:pt>
                <c:pt idx="31">
                  <c:v>78.857653878500003</c:v>
                </c:pt>
                <c:pt idx="32">
                  <c:v>78.823882209999994</c:v>
                </c:pt>
                <c:pt idx="33">
                  <c:v>79.885152065699998</c:v>
                </c:pt>
                <c:pt idx="34">
                  <c:v>80.083084394099998</c:v>
                </c:pt>
                <c:pt idx="35">
                  <c:v>83.066874884900002</c:v>
                </c:pt>
                <c:pt idx="36">
                  <c:v>83.153577620199997</c:v>
                </c:pt>
                <c:pt idx="37">
                  <c:v>81.827515558499996</c:v>
                </c:pt>
                <c:pt idx="38">
                  <c:v>82.627853508800001</c:v>
                </c:pt>
                <c:pt idx="39">
                  <c:v>83.590282115799994</c:v>
                </c:pt>
                <c:pt idx="40">
                  <c:v>83.593288646800005</c:v>
                </c:pt>
                <c:pt idx="41">
                  <c:v>85.913734270800006</c:v>
                </c:pt>
                <c:pt idx="42">
                  <c:v>86.128121280499997</c:v>
                </c:pt>
                <c:pt idx="43">
                  <c:v>84.054446399100001</c:v>
                </c:pt>
                <c:pt idx="44">
                  <c:v>84.744350977300002</c:v>
                </c:pt>
                <c:pt idx="45">
                  <c:v>82.537471453400002</c:v>
                </c:pt>
                <c:pt idx="46">
                  <c:v>84.115359409999996</c:v>
                </c:pt>
                <c:pt idx="47">
                  <c:v>84.796184410400002</c:v>
                </c:pt>
                <c:pt idx="48">
                  <c:v>87.337425702900006</c:v>
                </c:pt>
                <c:pt idx="49">
                  <c:v>87.839912007199999</c:v>
                </c:pt>
                <c:pt idx="50">
                  <c:v>86.432712476399999</c:v>
                </c:pt>
                <c:pt idx="51">
                  <c:v>87.386243673799996</c:v>
                </c:pt>
                <c:pt idx="52">
                  <c:v>88.333091796299996</c:v>
                </c:pt>
                <c:pt idx="53">
                  <c:v>85.654311207199996</c:v>
                </c:pt>
                <c:pt idx="54">
                  <c:v>84.668757599700001</c:v>
                </c:pt>
                <c:pt idx="55">
                  <c:v>85.534045014399993</c:v>
                </c:pt>
                <c:pt idx="56">
                  <c:v>87.095589609200005</c:v>
                </c:pt>
                <c:pt idx="57">
                  <c:v>87.776739925599998</c:v>
                </c:pt>
                <c:pt idx="58">
                  <c:v>90.415910782699996</c:v>
                </c:pt>
                <c:pt idx="59">
                  <c:v>90.862887026600006</c:v>
                </c:pt>
                <c:pt idx="60">
                  <c:v>87.7481538527</c:v>
                </c:pt>
                <c:pt idx="61">
                  <c:v>89.956883628699998</c:v>
                </c:pt>
                <c:pt idx="62">
                  <c:v>92.092016357800006</c:v>
                </c:pt>
                <c:pt idx="63">
                  <c:v>92.861071137099998</c:v>
                </c:pt>
                <c:pt idx="64">
                  <c:v>91.367724926099996</c:v>
                </c:pt>
                <c:pt idx="65">
                  <c:v>88.466798553000004</c:v>
                </c:pt>
                <c:pt idx="66">
                  <c:v>86.821825334799996</c:v>
                </c:pt>
                <c:pt idx="67">
                  <c:v>86.767752148599996</c:v>
                </c:pt>
                <c:pt idx="68">
                  <c:v>85.584854981800007</c:v>
                </c:pt>
                <c:pt idx="69">
                  <c:v>86.418405565599997</c:v>
                </c:pt>
                <c:pt idx="70">
                  <c:v>86.153568485400001</c:v>
                </c:pt>
                <c:pt idx="71">
                  <c:v>85.740459098499997</c:v>
                </c:pt>
                <c:pt idx="72">
                  <c:v>84.507605611599999</c:v>
                </c:pt>
                <c:pt idx="73">
                  <c:v>85.237248103200002</c:v>
                </c:pt>
                <c:pt idx="74">
                  <c:v>85.014900086300003</c:v>
                </c:pt>
                <c:pt idx="75">
                  <c:v>84.228721421800003</c:v>
                </c:pt>
                <c:pt idx="76">
                  <c:v>85.190608681900002</c:v>
                </c:pt>
                <c:pt idx="77">
                  <c:v>87.5210147879</c:v>
                </c:pt>
                <c:pt idx="78">
                  <c:v>87.071026756400002</c:v>
                </c:pt>
                <c:pt idx="79">
                  <c:v>85.624092850099998</c:v>
                </c:pt>
                <c:pt idx="80">
                  <c:v>88.292642861299996</c:v>
                </c:pt>
                <c:pt idx="81">
                  <c:v>89.2767559686</c:v>
                </c:pt>
                <c:pt idx="82">
                  <c:v>89.246868541200001</c:v>
                </c:pt>
                <c:pt idx="83">
                  <c:v>86.985649354100005</c:v>
                </c:pt>
                <c:pt idx="84">
                  <c:v>90.246210390800002</c:v>
                </c:pt>
                <c:pt idx="85">
                  <c:v>88.1102681534</c:v>
                </c:pt>
                <c:pt idx="86">
                  <c:v>87.844426680300003</c:v>
                </c:pt>
                <c:pt idx="87">
                  <c:v>88.803180248700002</c:v>
                </c:pt>
                <c:pt idx="88">
                  <c:v>88.773791270100006</c:v>
                </c:pt>
                <c:pt idx="89">
                  <c:v>87.758185160500005</c:v>
                </c:pt>
                <c:pt idx="90">
                  <c:v>88.926712595599994</c:v>
                </c:pt>
                <c:pt idx="91">
                  <c:v>90.692346615899993</c:v>
                </c:pt>
                <c:pt idx="92">
                  <c:v>89.5404172792</c:v>
                </c:pt>
                <c:pt idx="93">
                  <c:v>91.073498780600005</c:v>
                </c:pt>
                <c:pt idx="94">
                  <c:v>89.809563390099996</c:v>
                </c:pt>
                <c:pt idx="95">
                  <c:v>90.503251876199997</c:v>
                </c:pt>
                <c:pt idx="96">
                  <c:v>88.571212850600006</c:v>
                </c:pt>
                <c:pt idx="97">
                  <c:v>85.435688519999999</c:v>
                </c:pt>
                <c:pt idx="98">
                  <c:v>85.992387776300006</c:v>
                </c:pt>
                <c:pt idx="99">
                  <c:v>85.249604286199997</c:v>
                </c:pt>
                <c:pt idx="100">
                  <c:v>82.995844508700003</c:v>
                </c:pt>
              </c:numCache>
            </c:numRef>
          </c:yVal>
          <c:smooth val="1"/>
        </c:ser>
        <c:ser>
          <c:idx val="55"/>
          <c:order val="55"/>
          <c:tx>
            <c:strRef>
              <c:f>S_plus!$BP$1</c:f>
              <c:strCache>
                <c:ptCount val="1"/>
                <c:pt idx="0">
                  <c:v>Sim56</c:v>
                </c:pt>
              </c:strCache>
            </c:strRef>
          </c:tx>
          <c:marker>
            <c:symbol val="none"/>
          </c:marker>
          <c:xVal>
            <c:numRef>
              <c:f>S_plus!$L$2:$L$102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S_plus!$BP$2:$BP$102</c:f>
              <c:numCache>
                <c:formatCode>General</c:formatCode>
                <c:ptCount val="101"/>
                <c:pt idx="0">
                  <c:v>100</c:v>
                </c:pt>
                <c:pt idx="1">
                  <c:v>99.542636217099997</c:v>
                </c:pt>
                <c:pt idx="2">
                  <c:v>98.481125835</c:v>
                </c:pt>
                <c:pt idx="3">
                  <c:v>97.223212810099994</c:v>
                </c:pt>
                <c:pt idx="4">
                  <c:v>97.461618990299996</c:v>
                </c:pt>
                <c:pt idx="5">
                  <c:v>98.955565199000006</c:v>
                </c:pt>
                <c:pt idx="6">
                  <c:v>97.556515321500001</c:v>
                </c:pt>
                <c:pt idx="7">
                  <c:v>97.657439644299998</c:v>
                </c:pt>
                <c:pt idx="8">
                  <c:v>100.098645494</c:v>
                </c:pt>
                <c:pt idx="9">
                  <c:v>99.904682473099996</c:v>
                </c:pt>
                <c:pt idx="10">
                  <c:v>102.11609324200001</c:v>
                </c:pt>
                <c:pt idx="11">
                  <c:v>103.15517378</c:v>
                </c:pt>
                <c:pt idx="12">
                  <c:v>98.230604386600007</c:v>
                </c:pt>
                <c:pt idx="13">
                  <c:v>98.670591126999994</c:v>
                </c:pt>
                <c:pt idx="14">
                  <c:v>100.24942764399999</c:v>
                </c:pt>
                <c:pt idx="15">
                  <c:v>101.62820300600001</c:v>
                </c:pt>
                <c:pt idx="16">
                  <c:v>100.09392083900001</c:v>
                </c:pt>
                <c:pt idx="17">
                  <c:v>97.468266359400005</c:v>
                </c:pt>
                <c:pt idx="18">
                  <c:v>95.467569614799999</c:v>
                </c:pt>
                <c:pt idx="19">
                  <c:v>94.644110405899994</c:v>
                </c:pt>
                <c:pt idx="20">
                  <c:v>94.443617802700004</c:v>
                </c:pt>
                <c:pt idx="21">
                  <c:v>94.0551638755</c:v>
                </c:pt>
                <c:pt idx="22">
                  <c:v>91.360705912300006</c:v>
                </c:pt>
                <c:pt idx="23">
                  <c:v>90.864861640900003</c:v>
                </c:pt>
                <c:pt idx="24">
                  <c:v>90.186465655899994</c:v>
                </c:pt>
                <c:pt idx="25">
                  <c:v>91.4230764056</c:v>
                </c:pt>
                <c:pt idx="26">
                  <c:v>91.5293164996</c:v>
                </c:pt>
                <c:pt idx="27">
                  <c:v>92.465541161900006</c:v>
                </c:pt>
                <c:pt idx="28">
                  <c:v>91.964039455700004</c:v>
                </c:pt>
                <c:pt idx="29">
                  <c:v>89.134601326799995</c:v>
                </c:pt>
                <c:pt idx="30">
                  <c:v>87.041855033800005</c:v>
                </c:pt>
                <c:pt idx="31">
                  <c:v>85.106656960799995</c:v>
                </c:pt>
                <c:pt idx="32">
                  <c:v>86.446339743500005</c:v>
                </c:pt>
                <c:pt idx="33">
                  <c:v>83.8170594268</c:v>
                </c:pt>
                <c:pt idx="34">
                  <c:v>87.308094234199999</c:v>
                </c:pt>
                <c:pt idx="35">
                  <c:v>85.113942837300002</c:v>
                </c:pt>
                <c:pt idx="36">
                  <c:v>86.453556906800003</c:v>
                </c:pt>
                <c:pt idx="37">
                  <c:v>82.473965494200002</c:v>
                </c:pt>
                <c:pt idx="38">
                  <c:v>80.631908506499997</c:v>
                </c:pt>
                <c:pt idx="39">
                  <c:v>83.340617575300001</c:v>
                </c:pt>
                <c:pt idx="40">
                  <c:v>81.969406666300003</c:v>
                </c:pt>
                <c:pt idx="41">
                  <c:v>83.799791701399997</c:v>
                </c:pt>
                <c:pt idx="42">
                  <c:v>82.777900514799995</c:v>
                </c:pt>
                <c:pt idx="43">
                  <c:v>83.798558782800001</c:v>
                </c:pt>
                <c:pt idx="44">
                  <c:v>81.217608268299998</c:v>
                </c:pt>
                <c:pt idx="45">
                  <c:v>82.322505501600006</c:v>
                </c:pt>
                <c:pt idx="46">
                  <c:v>84.573000329300001</c:v>
                </c:pt>
                <c:pt idx="47">
                  <c:v>88.777061467500005</c:v>
                </c:pt>
                <c:pt idx="48">
                  <c:v>87.541323785800003</c:v>
                </c:pt>
                <c:pt idx="49">
                  <c:v>87.573044419200002</c:v>
                </c:pt>
                <c:pt idx="50">
                  <c:v>87.550946828299999</c:v>
                </c:pt>
                <c:pt idx="51">
                  <c:v>85.544565114400001</c:v>
                </c:pt>
                <c:pt idx="52">
                  <c:v>84.356887401500003</c:v>
                </c:pt>
                <c:pt idx="53">
                  <c:v>79.465636378100001</c:v>
                </c:pt>
                <c:pt idx="54">
                  <c:v>79.859894135800005</c:v>
                </c:pt>
                <c:pt idx="55">
                  <c:v>81.456814809400001</c:v>
                </c:pt>
                <c:pt idx="56">
                  <c:v>80.1699418245</c:v>
                </c:pt>
                <c:pt idx="57">
                  <c:v>81.161347867399996</c:v>
                </c:pt>
                <c:pt idx="58">
                  <c:v>82.721460885900001</c:v>
                </c:pt>
                <c:pt idx="59">
                  <c:v>82.640452667199995</c:v>
                </c:pt>
                <c:pt idx="60">
                  <c:v>80.591250172100004</c:v>
                </c:pt>
                <c:pt idx="61">
                  <c:v>78.701827997899997</c:v>
                </c:pt>
                <c:pt idx="62">
                  <c:v>80.107449444799997</c:v>
                </c:pt>
                <c:pt idx="63">
                  <c:v>80.919921785499994</c:v>
                </c:pt>
                <c:pt idx="64">
                  <c:v>80.5743472658</c:v>
                </c:pt>
                <c:pt idx="65">
                  <c:v>81.035865319500004</c:v>
                </c:pt>
                <c:pt idx="66">
                  <c:v>76.929940608999999</c:v>
                </c:pt>
                <c:pt idx="67">
                  <c:v>76.923339845399994</c:v>
                </c:pt>
                <c:pt idx="68">
                  <c:v>75.689480008299995</c:v>
                </c:pt>
                <c:pt idx="69">
                  <c:v>75.121261833299997</c:v>
                </c:pt>
                <c:pt idx="70">
                  <c:v>75.952087352099994</c:v>
                </c:pt>
                <c:pt idx="71">
                  <c:v>77.9841450049</c:v>
                </c:pt>
                <c:pt idx="72">
                  <c:v>78.443877777599994</c:v>
                </c:pt>
                <c:pt idx="73">
                  <c:v>76.433223549700003</c:v>
                </c:pt>
                <c:pt idx="74">
                  <c:v>77.958755344300002</c:v>
                </c:pt>
                <c:pt idx="75">
                  <c:v>78.2312138578</c:v>
                </c:pt>
                <c:pt idx="76">
                  <c:v>78.448773061200001</c:v>
                </c:pt>
                <c:pt idx="77">
                  <c:v>78.132777374599996</c:v>
                </c:pt>
                <c:pt idx="78">
                  <c:v>78.292684011199995</c:v>
                </c:pt>
                <c:pt idx="79">
                  <c:v>77.196375701500003</c:v>
                </c:pt>
                <c:pt idx="80">
                  <c:v>75.539933103400003</c:v>
                </c:pt>
                <c:pt idx="81">
                  <c:v>77.116228386100005</c:v>
                </c:pt>
                <c:pt idx="82">
                  <c:v>77.243964991400006</c:v>
                </c:pt>
                <c:pt idx="83">
                  <c:v>76.479803929200003</c:v>
                </c:pt>
                <c:pt idx="84">
                  <c:v>79.648202650000002</c:v>
                </c:pt>
                <c:pt idx="85">
                  <c:v>81.326795980300005</c:v>
                </c:pt>
                <c:pt idx="86">
                  <c:v>80.59112949</c:v>
                </c:pt>
                <c:pt idx="87">
                  <c:v>79.638626213899997</c:v>
                </c:pt>
                <c:pt idx="88">
                  <c:v>76.333703049500002</c:v>
                </c:pt>
                <c:pt idx="89">
                  <c:v>75.968765527299993</c:v>
                </c:pt>
                <c:pt idx="90">
                  <c:v>76.1126529987</c:v>
                </c:pt>
                <c:pt idx="91">
                  <c:v>75.172715388599997</c:v>
                </c:pt>
                <c:pt idx="92">
                  <c:v>76.6798662283</c:v>
                </c:pt>
                <c:pt idx="93">
                  <c:v>77.699755312899995</c:v>
                </c:pt>
                <c:pt idx="94">
                  <c:v>79.604858317500003</c:v>
                </c:pt>
                <c:pt idx="95">
                  <c:v>76.785821896200005</c:v>
                </c:pt>
                <c:pt idx="96">
                  <c:v>75.7683371153</c:v>
                </c:pt>
                <c:pt idx="97">
                  <c:v>76.645898350600007</c:v>
                </c:pt>
                <c:pt idx="98">
                  <c:v>74.675024949100006</c:v>
                </c:pt>
                <c:pt idx="99">
                  <c:v>72.244474113999999</c:v>
                </c:pt>
                <c:pt idx="100">
                  <c:v>73.197353734000004</c:v>
                </c:pt>
              </c:numCache>
            </c:numRef>
          </c:yVal>
          <c:smooth val="1"/>
        </c:ser>
        <c:ser>
          <c:idx val="56"/>
          <c:order val="56"/>
          <c:tx>
            <c:strRef>
              <c:f>S_plus!$BQ$1</c:f>
              <c:strCache>
                <c:ptCount val="1"/>
                <c:pt idx="0">
                  <c:v>Sim57</c:v>
                </c:pt>
              </c:strCache>
            </c:strRef>
          </c:tx>
          <c:marker>
            <c:symbol val="none"/>
          </c:marker>
          <c:xVal>
            <c:numRef>
              <c:f>S_plus!$L$2:$L$102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S_plus!$BQ$2:$BQ$102</c:f>
              <c:numCache>
                <c:formatCode>General</c:formatCode>
                <c:ptCount val="101"/>
                <c:pt idx="0">
                  <c:v>100</c:v>
                </c:pt>
                <c:pt idx="1">
                  <c:v>100.50254466600001</c:v>
                </c:pt>
                <c:pt idx="2">
                  <c:v>103.08621233</c:v>
                </c:pt>
                <c:pt idx="3">
                  <c:v>100.544858304</c:v>
                </c:pt>
                <c:pt idx="4">
                  <c:v>99.731420722300001</c:v>
                </c:pt>
                <c:pt idx="5">
                  <c:v>95.003995760600006</c:v>
                </c:pt>
                <c:pt idx="6">
                  <c:v>95.315370543399993</c:v>
                </c:pt>
                <c:pt idx="7">
                  <c:v>97.7294273057</c:v>
                </c:pt>
                <c:pt idx="8">
                  <c:v>95.979354629499994</c:v>
                </c:pt>
                <c:pt idx="9">
                  <c:v>95.362336908399996</c:v>
                </c:pt>
                <c:pt idx="10">
                  <c:v>93.240461303000004</c:v>
                </c:pt>
                <c:pt idx="11">
                  <c:v>94.917650352500004</c:v>
                </c:pt>
                <c:pt idx="12">
                  <c:v>97.406270330500007</c:v>
                </c:pt>
                <c:pt idx="13">
                  <c:v>98.211211020500002</c:v>
                </c:pt>
                <c:pt idx="14">
                  <c:v>99.188063686199996</c:v>
                </c:pt>
                <c:pt idx="15">
                  <c:v>94.546283875599997</c:v>
                </c:pt>
                <c:pt idx="16">
                  <c:v>94.131996891399993</c:v>
                </c:pt>
                <c:pt idx="17">
                  <c:v>90.943015987300001</c:v>
                </c:pt>
                <c:pt idx="18">
                  <c:v>91.683976823699993</c:v>
                </c:pt>
                <c:pt idx="19">
                  <c:v>87.710900159800005</c:v>
                </c:pt>
                <c:pt idx="20">
                  <c:v>87.132525978700002</c:v>
                </c:pt>
                <c:pt idx="21">
                  <c:v>86.305210921300002</c:v>
                </c:pt>
                <c:pt idx="22">
                  <c:v>83.847772267400003</c:v>
                </c:pt>
                <c:pt idx="23">
                  <c:v>80.750094883100004</c:v>
                </c:pt>
                <c:pt idx="24">
                  <c:v>81.345523587499997</c:v>
                </c:pt>
                <c:pt idx="25">
                  <c:v>83.587537396000002</c:v>
                </c:pt>
                <c:pt idx="26">
                  <c:v>81.647196878800003</c:v>
                </c:pt>
                <c:pt idx="27">
                  <c:v>81.813629832499998</c:v>
                </c:pt>
                <c:pt idx="28">
                  <c:v>82.551366998000006</c:v>
                </c:pt>
                <c:pt idx="29">
                  <c:v>83.750258304499994</c:v>
                </c:pt>
                <c:pt idx="30">
                  <c:v>82.450690778600006</c:v>
                </c:pt>
                <c:pt idx="31">
                  <c:v>83.425974667600002</c:v>
                </c:pt>
                <c:pt idx="32">
                  <c:v>84.491302430800005</c:v>
                </c:pt>
                <c:pt idx="33">
                  <c:v>87.167180128599995</c:v>
                </c:pt>
                <c:pt idx="34">
                  <c:v>87.429145868199996</c:v>
                </c:pt>
                <c:pt idx="35">
                  <c:v>87.863831093200005</c:v>
                </c:pt>
                <c:pt idx="36">
                  <c:v>85.963939553800003</c:v>
                </c:pt>
                <c:pt idx="37">
                  <c:v>88.307318811800002</c:v>
                </c:pt>
                <c:pt idx="38">
                  <c:v>87.208279666099997</c:v>
                </c:pt>
                <c:pt idx="39">
                  <c:v>87.454706968300002</c:v>
                </c:pt>
                <c:pt idx="40">
                  <c:v>85.1437739972</c:v>
                </c:pt>
                <c:pt idx="41">
                  <c:v>82.902379276000005</c:v>
                </c:pt>
                <c:pt idx="42">
                  <c:v>85.567807469000002</c:v>
                </c:pt>
                <c:pt idx="43">
                  <c:v>85.642188622600003</c:v>
                </c:pt>
                <c:pt idx="44">
                  <c:v>86.016181375200006</c:v>
                </c:pt>
                <c:pt idx="45">
                  <c:v>84.926275380600003</c:v>
                </c:pt>
                <c:pt idx="46">
                  <c:v>83.782160076300002</c:v>
                </c:pt>
                <c:pt idx="47">
                  <c:v>84.025255207399994</c:v>
                </c:pt>
                <c:pt idx="48">
                  <c:v>86.578219388700006</c:v>
                </c:pt>
                <c:pt idx="49">
                  <c:v>87.347561362600004</c:v>
                </c:pt>
                <c:pt idx="50">
                  <c:v>86.421720987499995</c:v>
                </c:pt>
                <c:pt idx="51">
                  <c:v>88.283958081799994</c:v>
                </c:pt>
                <c:pt idx="52">
                  <c:v>91.501155586600007</c:v>
                </c:pt>
                <c:pt idx="53">
                  <c:v>89.9326113451</c:v>
                </c:pt>
                <c:pt idx="54">
                  <c:v>89.1608956675</c:v>
                </c:pt>
                <c:pt idx="55">
                  <c:v>90.249632115699995</c:v>
                </c:pt>
                <c:pt idx="56">
                  <c:v>92.794679323799997</c:v>
                </c:pt>
                <c:pt idx="57">
                  <c:v>93.998625038399993</c:v>
                </c:pt>
                <c:pt idx="58">
                  <c:v>94.081130356900005</c:v>
                </c:pt>
                <c:pt idx="59">
                  <c:v>97.354150610199994</c:v>
                </c:pt>
                <c:pt idx="60">
                  <c:v>94.073568825500004</c:v>
                </c:pt>
                <c:pt idx="61">
                  <c:v>96.570417393900001</c:v>
                </c:pt>
                <c:pt idx="62">
                  <c:v>99.825155163700003</c:v>
                </c:pt>
                <c:pt idx="63">
                  <c:v>97.831091570300003</c:v>
                </c:pt>
                <c:pt idx="64">
                  <c:v>97.455402561499994</c:v>
                </c:pt>
                <c:pt idx="65">
                  <c:v>96.213248332999996</c:v>
                </c:pt>
                <c:pt idx="66">
                  <c:v>96.187718583500001</c:v>
                </c:pt>
                <c:pt idx="67">
                  <c:v>92.945887651999996</c:v>
                </c:pt>
                <c:pt idx="68">
                  <c:v>94.473496070300001</c:v>
                </c:pt>
                <c:pt idx="69">
                  <c:v>96.746629619299995</c:v>
                </c:pt>
                <c:pt idx="70">
                  <c:v>96.649006739000001</c:v>
                </c:pt>
                <c:pt idx="71">
                  <c:v>92.784250472099998</c:v>
                </c:pt>
                <c:pt idx="72">
                  <c:v>93.416428728699998</c:v>
                </c:pt>
                <c:pt idx="73">
                  <c:v>94.973471483699996</c:v>
                </c:pt>
                <c:pt idx="74">
                  <c:v>98.927162770799995</c:v>
                </c:pt>
                <c:pt idx="75">
                  <c:v>99.641459047799998</c:v>
                </c:pt>
                <c:pt idx="76">
                  <c:v>99.063497440999996</c:v>
                </c:pt>
                <c:pt idx="77">
                  <c:v>100.58507994599999</c:v>
                </c:pt>
                <c:pt idx="78">
                  <c:v>99.056204629600003</c:v>
                </c:pt>
                <c:pt idx="79">
                  <c:v>96.957309723400002</c:v>
                </c:pt>
                <c:pt idx="80">
                  <c:v>100.218687558</c:v>
                </c:pt>
                <c:pt idx="81">
                  <c:v>99.087576388399995</c:v>
                </c:pt>
                <c:pt idx="82">
                  <c:v>98.9976156468</c:v>
                </c:pt>
                <c:pt idx="83">
                  <c:v>99.892125660999994</c:v>
                </c:pt>
                <c:pt idx="84">
                  <c:v>100.104307878</c:v>
                </c:pt>
                <c:pt idx="85">
                  <c:v>100.018633425</c:v>
                </c:pt>
                <c:pt idx="86">
                  <c:v>98.968262568699998</c:v>
                </c:pt>
                <c:pt idx="87">
                  <c:v>99.887811300699994</c:v>
                </c:pt>
                <c:pt idx="88">
                  <c:v>101.467074341</c:v>
                </c:pt>
                <c:pt idx="89">
                  <c:v>101.19347123</c:v>
                </c:pt>
                <c:pt idx="90">
                  <c:v>101.789909603</c:v>
                </c:pt>
                <c:pt idx="91">
                  <c:v>100.797818756</c:v>
                </c:pt>
                <c:pt idx="92">
                  <c:v>96.899490839500004</c:v>
                </c:pt>
                <c:pt idx="93">
                  <c:v>96.5742000101</c:v>
                </c:pt>
                <c:pt idx="94">
                  <c:v>96.537254987599994</c:v>
                </c:pt>
                <c:pt idx="95">
                  <c:v>97.767454841900005</c:v>
                </c:pt>
                <c:pt idx="96">
                  <c:v>98.148850759400005</c:v>
                </c:pt>
                <c:pt idx="97">
                  <c:v>95.068300715800007</c:v>
                </c:pt>
                <c:pt idx="98">
                  <c:v>94.491846318100002</c:v>
                </c:pt>
                <c:pt idx="99">
                  <c:v>96.341113920599994</c:v>
                </c:pt>
                <c:pt idx="100">
                  <c:v>97.242752522200007</c:v>
                </c:pt>
              </c:numCache>
            </c:numRef>
          </c:yVal>
          <c:smooth val="1"/>
        </c:ser>
        <c:ser>
          <c:idx val="57"/>
          <c:order val="57"/>
          <c:tx>
            <c:strRef>
              <c:f>S_plus!$BR$1</c:f>
              <c:strCache>
                <c:ptCount val="1"/>
                <c:pt idx="0">
                  <c:v>Sim58</c:v>
                </c:pt>
              </c:strCache>
            </c:strRef>
          </c:tx>
          <c:marker>
            <c:symbol val="none"/>
          </c:marker>
          <c:xVal>
            <c:numRef>
              <c:f>S_plus!$L$2:$L$102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S_plus!$BR$2:$BR$102</c:f>
              <c:numCache>
                <c:formatCode>General</c:formatCode>
                <c:ptCount val="101"/>
                <c:pt idx="0">
                  <c:v>100</c:v>
                </c:pt>
                <c:pt idx="1">
                  <c:v>98.152910380199998</c:v>
                </c:pt>
                <c:pt idx="2">
                  <c:v>97.047937709099998</c:v>
                </c:pt>
                <c:pt idx="3">
                  <c:v>98.671343785900007</c:v>
                </c:pt>
                <c:pt idx="4">
                  <c:v>96.568376528300007</c:v>
                </c:pt>
                <c:pt idx="5">
                  <c:v>95.913038538899997</c:v>
                </c:pt>
                <c:pt idx="6">
                  <c:v>97.436367498099997</c:v>
                </c:pt>
                <c:pt idx="7">
                  <c:v>96.723626183299999</c:v>
                </c:pt>
                <c:pt idx="8">
                  <c:v>99.093110897000003</c:v>
                </c:pt>
                <c:pt idx="9">
                  <c:v>96.976204494100003</c:v>
                </c:pt>
                <c:pt idx="10">
                  <c:v>96.948925410200005</c:v>
                </c:pt>
                <c:pt idx="11">
                  <c:v>97.429268681600007</c:v>
                </c:pt>
                <c:pt idx="12">
                  <c:v>99.422921055800003</c:v>
                </c:pt>
                <c:pt idx="13">
                  <c:v>101.122954248</c:v>
                </c:pt>
                <c:pt idx="14">
                  <c:v>100.810668069</c:v>
                </c:pt>
                <c:pt idx="15">
                  <c:v>103.058618584</c:v>
                </c:pt>
                <c:pt idx="16">
                  <c:v>100.58590422100001</c:v>
                </c:pt>
                <c:pt idx="17">
                  <c:v>102.23462859200001</c:v>
                </c:pt>
                <c:pt idx="18">
                  <c:v>100.645921859</c:v>
                </c:pt>
                <c:pt idx="19">
                  <c:v>102.643283251</c:v>
                </c:pt>
                <c:pt idx="20">
                  <c:v>101.566537475</c:v>
                </c:pt>
                <c:pt idx="21">
                  <c:v>101.957337815</c:v>
                </c:pt>
                <c:pt idx="22">
                  <c:v>99.8683036499</c:v>
                </c:pt>
                <c:pt idx="23">
                  <c:v>103.46209749499999</c:v>
                </c:pt>
                <c:pt idx="24">
                  <c:v>105.866280905</c:v>
                </c:pt>
                <c:pt idx="25">
                  <c:v>109.571649232</c:v>
                </c:pt>
                <c:pt idx="26">
                  <c:v>111.080672752</c:v>
                </c:pt>
                <c:pt idx="27">
                  <c:v>107.764903817</c:v>
                </c:pt>
                <c:pt idx="28">
                  <c:v>105.227527866</c:v>
                </c:pt>
                <c:pt idx="29">
                  <c:v>104.51984514599999</c:v>
                </c:pt>
                <c:pt idx="30">
                  <c:v>106.06011230599999</c:v>
                </c:pt>
                <c:pt idx="31">
                  <c:v>108.56743636</c:v>
                </c:pt>
                <c:pt idx="32">
                  <c:v>109.762838561</c:v>
                </c:pt>
                <c:pt idx="33">
                  <c:v>111.57471909</c:v>
                </c:pt>
                <c:pt idx="34">
                  <c:v>113.22227024</c:v>
                </c:pt>
                <c:pt idx="35">
                  <c:v>113.402133288</c:v>
                </c:pt>
                <c:pt idx="36">
                  <c:v>111.78196687400001</c:v>
                </c:pt>
                <c:pt idx="37">
                  <c:v>109.895780395</c:v>
                </c:pt>
                <c:pt idx="38">
                  <c:v>111.755903182</c:v>
                </c:pt>
                <c:pt idx="39">
                  <c:v>112.171419316</c:v>
                </c:pt>
                <c:pt idx="40">
                  <c:v>109.997117213</c:v>
                </c:pt>
                <c:pt idx="41">
                  <c:v>112.13475475200001</c:v>
                </c:pt>
                <c:pt idx="42">
                  <c:v>112.034859157</c:v>
                </c:pt>
                <c:pt idx="43">
                  <c:v>110.837644551</c:v>
                </c:pt>
                <c:pt idx="44">
                  <c:v>111.51400085500001</c:v>
                </c:pt>
                <c:pt idx="45">
                  <c:v>113.10750355899999</c:v>
                </c:pt>
                <c:pt idx="46">
                  <c:v>111.957279075</c:v>
                </c:pt>
                <c:pt idx="47">
                  <c:v>109.652011309</c:v>
                </c:pt>
                <c:pt idx="48">
                  <c:v>108.623536042</c:v>
                </c:pt>
                <c:pt idx="49">
                  <c:v>112.46140844999999</c:v>
                </c:pt>
                <c:pt idx="50">
                  <c:v>114.037865205</c:v>
                </c:pt>
                <c:pt idx="51">
                  <c:v>113.41305361000001</c:v>
                </c:pt>
                <c:pt idx="52">
                  <c:v>115.44264533499999</c:v>
                </c:pt>
                <c:pt idx="53">
                  <c:v>113.663444607</c:v>
                </c:pt>
                <c:pt idx="54">
                  <c:v>113.845894863</c:v>
                </c:pt>
                <c:pt idx="55">
                  <c:v>113.78594222</c:v>
                </c:pt>
                <c:pt idx="56">
                  <c:v>113.71390696</c:v>
                </c:pt>
                <c:pt idx="57">
                  <c:v>112.464195242</c:v>
                </c:pt>
                <c:pt idx="58">
                  <c:v>110.768134569</c:v>
                </c:pt>
                <c:pt idx="59">
                  <c:v>108.693072716</c:v>
                </c:pt>
                <c:pt idx="60">
                  <c:v>112.12079559599999</c:v>
                </c:pt>
                <c:pt idx="61">
                  <c:v>114.829507253</c:v>
                </c:pt>
                <c:pt idx="62">
                  <c:v>113.08951814300001</c:v>
                </c:pt>
                <c:pt idx="63">
                  <c:v>113.220170521</c:v>
                </c:pt>
                <c:pt idx="64">
                  <c:v>111.065163216</c:v>
                </c:pt>
                <c:pt idx="65">
                  <c:v>111.617509157</c:v>
                </c:pt>
                <c:pt idx="66">
                  <c:v>113.10351074899999</c:v>
                </c:pt>
                <c:pt idx="67">
                  <c:v>112.114112775</c:v>
                </c:pt>
                <c:pt idx="68">
                  <c:v>113.9754403</c:v>
                </c:pt>
                <c:pt idx="69">
                  <c:v>112.52222877200001</c:v>
                </c:pt>
                <c:pt idx="70">
                  <c:v>110.93269764</c:v>
                </c:pt>
                <c:pt idx="71">
                  <c:v>112.614582263</c:v>
                </c:pt>
                <c:pt idx="72">
                  <c:v>112.44449398099999</c:v>
                </c:pt>
                <c:pt idx="73">
                  <c:v>115.237369419</c:v>
                </c:pt>
                <c:pt idx="74">
                  <c:v>112.438296003</c:v>
                </c:pt>
                <c:pt idx="75">
                  <c:v>111.61601329299999</c:v>
                </c:pt>
                <c:pt idx="76">
                  <c:v>110.667342605</c:v>
                </c:pt>
                <c:pt idx="77">
                  <c:v>111.416411266</c:v>
                </c:pt>
                <c:pt idx="78">
                  <c:v>108.985578694</c:v>
                </c:pt>
                <c:pt idx="79">
                  <c:v>113.987086589</c:v>
                </c:pt>
                <c:pt idx="80">
                  <c:v>115.81171623500001</c:v>
                </c:pt>
                <c:pt idx="81">
                  <c:v>116.749116196</c:v>
                </c:pt>
                <c:pt idx="82">
                  <c:v>118.536232613</c:v>
                </c:pt>
                <c:pt idx="83">
                  <c:v>115.002798223</c:v>
                </c:pt>
                <c:pt idx="84">
                  <c:v>119.22411818800001</c:v>
                </c:pt>
                <c:pt idx="85">
                  <c:v>117.17125394</c:v>
                </c:pt>
                <c:pt idx="86">
                  <c:v>117.534486469</c:v>
                </c:pt>
                <c:pt idx="87">
                  <c:v>112.883449091</c:v>
                </c:pt>
                <c:pt idx="88">
                  <c:v>114.385833856</c:v>
                </c:pt>
                <c:pt idx="89">
                  <c:v>114.65974088</c:v>
                </c:pt>
                <c:pt idx="90">
                  <c:v>118.88261837500001</c:v>
                </c:pt>
                <c:pt idx="91">
                  <c:v>115.424153683</c:v>
                </c:pt>
                <c:pt idx="92">
                  <c:v>116.493375765</c:v>
                </c:pt>
                <c:pt idx="93">
                  <c:v>117.840759293</c:v>
                </c:pt>
                <c:pt idx="94">
                  <c:v>116.074099871</c:v>
                </c:pt>
                <c:pt idx="95">
                  <c:v>118.337614617</c:v>
                </c:pt>
                <c:pt idx="96">
                  <c:v>120.437273254</c:v>
                </c:pt>
                <c:pt idx="97">
                  <c:v>119.672220426</c:v>
                </c:pt>
                <c:pt idx="98">
                  <c:v>122.770346995</c:v>
                </c:pt>
                <c:pt idx="99">
                  <c:v>119.773969587</c:v>
                </c:pt>
                <c:pt idx="100">
                  <c:v>119.98093916800001</c:v>
                </c:pt>
              </c:numCache>
            </c:numRef>
          </c:yVal>
          <c:smooth val="1"/>
        </c:ser>
        <c:ser>
          <c:idx val="58"/>
          <c:order val="58"/>
          <c:tx>
            <c:strRef>
              <c:f>S_plus!$BS$1</c:f>
              <c:strCache>
                <c:ptCount val="1"/>
                <c:pt idx="0">
                  <c:v>Sim59</c:v>
                </c:pt>
              </c:strCache>
            </c:strRef>
          </c:tx>
          <c:marker>
            <c:symbol val="none"/>
          </c:marker>
          <c:xVal>
            <c:numRef>
              <c:f>S_plus!$L$2:$L$102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S_plus!$BS$2:$BS$102</c:f>
              <c:numCache>
                <c:formatCode>General</c:formatCode>
                <c:ptCount val="101"/>
                <c:pt idx="0">
                  <c:v>100</c:v>
                </c:pt>
                <c:pt idx="1">
                  <c:v>101.43446480599999</c:v>
                </c:pt>
                <c:pt idx="2">
                  <c:v>101.947075768</c:v>
                </c:pt>
                <c:pt idx="3">
                  <c:v>100.646459867</c:v>
                </c:pt>
                <c:pt idx="4">
                  <c:v>102.67980900000001</c:v>
                </c:pt>
                <c:pt idx="5">
                  <c:v>101.82491438</c:v>
                </c:pt>
                <c:pt idx="6">
                  <c:v>101.411926036</c:v>
                </c:pt>
                <c:pt idx="7">
                  <c:v>99.313265821900004</c:v>
                </c:pt>
                <c:pt idx="8">
                  <c:v>101.106887163</c:v>
                </c:pt>
                <c:pt idx="9">
                  <c:v>102.429297488</c:v>
                </c:pt>
                <c:pt idx="10">
                  <c:v>104.529185168</c:v>
                </c:pt>
                <c:pt idx="11">
                  <c:v>105.149625284</c:v>
                </c:pt>
                <c:pt idx="12">
                  <c:v>104.14173719599999</c:v>
                </c:pt>
                <c:pt idx="13">
                  <c:v>104.672415036</c:v>
                </c:pt>
                <c:pt idx="14">
                  <c:v>105.587126258</c:v>
                </c:pt>
                <c:pt idx="15">
                  <c:v>105.013537816</c:v>
                </c:pt>
                <c:pt idx="16">
                  <c:v>106.63769222099999</c:v>
                </c:pt>
                <c:pt idx="17">
                  <c:v>106.39323887800001</c:v>
                </c:pt>
                <c:pt idx="18">
                  <c:v>108.297079185</c:v>
                </c:pt>
                <c:pt idx="19">
                  <c:v>109.216078061</c:v>
                </c:pt>
                <c:pt idx="20">
                  <c:v>106.033911863</c:v>
                </c:pt>
                <c:pt idx="21">
                  <c:v>105.69747449099999</c:v>
                </c:pt>
                <c:pt idx="22">
                  <c:v>107.57387875800001</c:v>
                </c:pt>
                <c:pt idx="23">
                  <c:v>106.104343957</c:v>
                </c:pt>
                <c:pt idx="24">
                  <c:v>106.905891629</c:v>
                </c:pt>
                <c:pt idx="25">
                  <c:v>104.32454619799999</c:v>
                </c:pt>
                <c:pt idx="26">
                  <c:v>103.543567362</c:v>
                </c:pt>
                <c:pt idx="27">
                  <c:v>105.37602966</c:v>
                </c:pt>
                <c:pt idx="28">
                  <c:v>104.918753903</c:v>
                </c:pt>
                <c:pt idx="29">
                  <c:v>107.17571479</c:v>
                </c:pt>
                <c:pt idx="30">
                  <c:v>106.304072343</c:v>
                </c:pt>
                <c:pt idx="31">
                  <c:v>104.656137814</c:v>
                </c:pt>
                <c:pt idx="32">
                  <c:v>105.866644881</c:v>
                </c:pt>
                <c:pt idx="33">
                  <c:v>108.29358106799999</c:v>
                </c:pt>
                <c:pt idx="34">
                  <c:v>105.45724334499999</c:v>
                </c:pt>
                <c:pt idx="35">
                  <c:v>102.376675181</c:v>
                </c:pt>
                <c:pt idx="36">
                  <c:v>98.507724296500001</c:v>
                </c:pt>
                <c:pt idx="37">
                  <c:v>99.224020736900002</c:v>
                </c:pt>
                <c:pt idx="38">
                  <c:v>100.160361898</c:v>
                </c:pt>
                <c:pt idx="39">
                  <c:v>101.044197712</c:v>
                </c:pt>
                <c:pt idx="40">
                  <c:v>104.60341459199999</c:v>
                </c:pt>
                <c:pt idx="41">
                  <c:v>107.510329517</c:v>
                </c:pt>
                <c:pt idx="42">
                  <c:v>109.792622858</c:v>
                </c:pt>
                <c:pt idx="43">
                  <c:v>110.399822715</c:v>
                </c:pt>
                <c:pt idx="44">
                  <c:v>109.070188027</c:v>
                </c:pt>
                <c:pt idx="45">
                  <c:v>108.558127981</c:v>
                </c:pt>
                <c:pt idx="46">
                  <c:v>106.00773269600001</c:v>
                </c:pt>
                <c:pt idx="47">
                  <c:v>104.31709180999999</c:v>
                </c:pt>
                <c:pt idx="48">
                  <c:v>102.23836093200001</c:v>
                </c:pt>
                <c:pt idx="49">
                  <c:v>102.79150798400001</c:v>
                </c:pt>
                <c:pt idx="50">
                  <c:v>100.73565259199999</c:v>
                </c:pt>
                <c:pt idx="51">
                  <c:v>100.44214088299999</c:v>
                </c:pt>
                <c:pt idx="52">
                  <c:v>101.38973453600001</c:v>
                </c:pt>
                <c:pt idx="53">
                  <c:v>103.778332225</c:v>
                </c:pt>
                <c:pt idx="54">
                  <c:v>102.83000798800001</c:v>
                </c:pt>
                <c:pt idx="55">
                  <c:v>103.761952644</c:v>
                </c:pt>
                <c:pt idx="56">
                  <c:v>105.64729386899999</c:v>
                </c:pt>
                <c:pt idx="57">
                  <c:v>109.902472479</c:v>
                </c:pt>
                <c:pt idx="58">
                  <c:v>111.503882796</c:v>
                </c:pt>
                <c:pt idx="59">
                  <c:v>117.67163627399999</c:v>
                </c:pt>
                <c:pt idx="60">
                  <c:v>116.484972821</c:v>
                </c:pt>
                <c:pt idx="61">
                  <c:v>124.034638574</c:v>
                </c:pt>
                <c:pt idx="62">
                  <c:v>123.026079779</c:v>
                </c:pt>
                <c:pt idx="63">
                  <c:v>121.23367068</c:v>
                </c:pt>
                <c:pt idx="64">
                  <c:v>119.414728543</c:v>
                </c:pt>
                <c:pt idx="65">
                  <c:v>121.45414655800001</c:v>
                </c:pt>
                <c:pt idx="66">
                  <c:v>120.24786022000001</c:v>
                </c:pt>
                <c:pt idx="67">
                  <c:v>123.384093706</c:v>
                </c:pt>
                <c:pt idx="68">
                  <c:v>124.27737681399999</c:v>
                </c:pt>
                <c:pt idx="69">
                  <c:v>126.846279267</c:v>
                </c:pt>
                <c:pt idx="70">
                  <c:v>125.532585412</c:v>
                </c:pt>
                <c:pt idx="71">
                  <c:v>125.840752694</c:v>
                </c:pt>
                <c:pt idx="72">
                  <c:v>121.631753133</c:v>
                </c:pt>
                <c:pt idx="73">
                  <c:v>118.20366074499999</c:v>
                </c:pt>
                <c:pt idx="74">
                  <c:v>116.949193631</c:v>
                </c:pt>
                <c:pt idx="75">
                  <c:v>114.995092179</c:v>
                </c:pt>
                <c:pt idx="76">
                  <c:v>114.605132541</c:v>
                </c:pt>
                <c:pt idx="77">
                  <c:v>113.70085074399999</c:v>
                </c:pt>
                <c:pt idx="78">
                  <c:v>112.359445072</c:v>
                </c:pt>
                <c:pt idx="79">
                  <c:v>114.697462231</c:v>
                </c:pt>
                <c:pt idx="80">
                  <c:v>115.719139156</c:v>
                </c:pt>
                <c:pt idx="81">
                  <c:v>113.93186941800001</c:v>
                </c:pt>
                <c:pt idx="82">
                  <c:v>112.664377753</c:v>
                </c:pt>
                <c:pt idx="83">
                  <c:v>112.26238139500001</c:v>
                </c:pt>
                <c:pt idx="84">
                  <c:v>113.82743626600001</c:v>
                </c:pt>
                <c:pt idx="85">
                  <c:v>114.005864132</c:v>
                </c:pt>
                <c:pt idx="86">
                  <c:v>113.431443208</c:v>
                </c:pt>
                <c:pt idx="87">
                  <c:v>116.74009560499999</c:v>
                </c:pt>
                <c:pt idx="88">
                  <c:v>118.932566839</c:v>
                </c:pt>
                <c:pt idx="89">
                  <c:v>117.50216646299999</c:v>
                </c:pt>
                <c:pt idx="90">
                  <c:v>118.461769815</c:v>
                </c:pt>
                <c:pt idx="91">
                  <c:v>123.22797904399999</c:v>
                </c:pt>
                <c:pt idx="92">
                  <c:v>125.865501584</c:v>
                </c:pt>
                <c:pt idx="93">
                  <c:v>126.91605825800001</c:v>
                </c:pt>
                <c:pt idx="94">
                  <c:v>127.346054635</c:v>
                </c:pt>
                <c:pt idx="95">
                  <c:v>127.767289783</c:v>
                </c:pt>
                <c:pt idx="96">
                  <c:v>127.07203484999999</c:v>
                </c:pt>
                <c:pt idx="97">
                  <c:v>124.041805298</c:v>
                </c:pt>
                <c:pt idx="98">
                  <c:v>120.990907937</c:v>
                </c:pt>
                <c:pt idx="99">
                  <c:v>121.51342130800001</c:v>
                </c:pt>
                <c:pt idx="100">
                  <c:v>121.730536253</c:v>
                </c:pt>
              </c:numCache>
            </c:numRef>
          </c:yVal>
          <c:smooth val="1"/>
        </c:ser>
        <c:ser>
          <c:idx val="59"/>
          <c:order val="59"/>
          <c:tx>
            <c:strRef>
              <c:f>S_plus!$BT$1</c:f>
              <c:strCache>
                <c:ptCount val="1"/>
                <c:pt idx="0">
                  <c:v>Sim60</c:v>
                </c:pt>
              </c:strCache>
            </c:strRef>
          </c:tx>
          <c:marker>
            <c:symbol val="none"/>
          </c:marker>
          <c:xVal>
            <c:numRef>
              <c:f>S_plus!$L$2:$L$102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S_plus!$BT$2:$BT$102</c:f>
              <c:numCache>
                <c:formatCode>General</c:formatCode>
                <c:ptCount val="101"/>
                <c:pt idx="0">
                  <c:v>100</c:v>
                </c:pt>
                <c:pt idx="1">
                  <c:v>101.81223898099999</c:v>
                </c:pt>
                <c:pt idx="2">
                  <c:v>105.302906214</c:v>
                </c:pt>
                <c:pt idx="3">
                  <c:v>108.014158378</c:v>
                </c:pt>
                <c:pt idx="4">
                  <c:v>107.43800108400001</c:v>
                </c:pt>
                <c:pt idx="5">
                  <c:v>110.864122213</c:v>
                </c:pt>
                <c:pt idx="6">
                  <c:v>110.51715103799999</c:v>
                </c:pt>
                <c:pt idx="7">
                  <c:v>107.805585443</c:v>
                </c:pt>
                <c:pt idx="8">
                  <c:v>104.00665108</c:v>
                </c:pt>
                <c:pt idx="9">
                  <c:v>104.389724938</c:v>
                </c:pt>
                <c:pt idx="10">
                  <c:v>103.316765831</c:v>
                </c:pt>
                <c:pt idx="11">
                  <c:v>100.966924804</c:v>
                </c:pt>
                <c:pt idx="12">
                  <c:v>104.469923069</c:v>
                </c:pt>
                <c:pt idx="13">
                  <c:v>105.36173866599999</c:v>
                </c:pt>
                <c:pt idx="14">
                  <c:v>107.046994899</c:v>
                </c:pt>
                <c:pt idx="15">
                  <c:v>109.432384914</c:v>
                </c:pt>
                <c:pt idx="16">
                  <c:v>111.884122523</c:v>
                </c:pt>
                <c:pt idx="17">
                  <c:v>110.23812356099999</c:v>
                </c:pt>
                <c:pt idx="18">
                  <c:v>110.46414334399999</c:v>
                </c:pt>
                <c:pt idx="19">
                  <c:v>110.837105502</c:v>
                </c:pt>
                <c:pt idx="20">
                  <c:v>111.957531538</c:v>
                </c:pt>
                <c:pt idx="21">
                  <c:v>111.457735754</c:v>
                </c:pt>
                <c:pt idx="22">
                  <c:v>113.078653405</c:v>
                </c:pt>
                <c:pt idx="23">
                  <c:v>113.157893147</c:v>
                </c:pt>
                <c:pt idx="24">
                  <c:v>115.073220862</c:v>
                </c:pt>
                <c:pt idx="25">
                  <c:v>115.036935249</c:v>
                </c:pt>
                <c:pt idx="26">
                  <c:v>112.49167973599999</c:v>
                </c:pt>
                <c:pt idx="27">
                  <c:v>113.89515702999999</c:v>
                </c:pt>
                <c:pt idx="28">
                  <c:v>115.380895245</c:v>
                </c:pt>
                <c:pt idx="29">
                  <c:v>111.83177549600001</c:v>
                </c:pt>
                <c:pt idx="30">
                  <c:v>111.18620857499999</c:v>
                </c:pt>
                <c:pt idx="31">
                  <c:v>111.30308186400001</c:v>
                </c:pt>
                <c:pt idx="32">
                  <c:v>110.262296636</c:v>
                </c:pt>
                <c:pt idx="33">
                  <c:v>111.660213415</c:v>
                </c:pt>
                <c:pt idx="34">
                  <c:v>114.710102099</c:v>
                </c:pt>
                <c:pt idx="35">
                  <c:v>112.685657557</c:v>
                </c:pt>
                <c:pt idx="36">
                  <c:v>112.950360859</c:v>
                </c:pt>
                <c:pt idx="37">
                  <c:v>114.449135027</c:v>
                </c:pt>
                <c:pt idx="38">
                  <c:v>112.628708207</c:v>
                </c:pt>
                <c:pt idx="39">
                  <c:v>112.857215751</c:v>
                </c:pt>
                <c:pt idx="40">
                  <c:v>112.791195882</c:v>
                </c:pt>
                <c:pt idx="41">
                  <c:v>113.573083678</c:v>
                </c:pt>
                <c:pt idx="42">
                  <c:v>111.80533385</c:v>
                </c:pt>
                <c:pt idx="43">
                  <c:v>114.034923115</c:v>
                </c:pt>
                <c:pt idx="44">
                  <c:v>114.52165946700001</c:v>
                </c:pt>
                <c:pt idx="45">
                  <c:v>115.353266667</c:v>
                </c:pt>
                <c:pt idx="46">
                  <c:v>112.719946639</c:v>
                </c:pt>
                <c:pt idx="47">
                  <c:v>109.802626546</c:v>
                </c:pt>
                <c:pt idx="48">
                  <c:v>107.93821554</c:v>
                </c:pt>
                <c:pt idx="49">
                  <c:v>106.101591465</c:v>
                </c:pt>
                <c:pt idx="50">
                  <c:v>107.883842141</c:v>
                </c:pt>
                <c:pt idx="51">
                  <c:v>106.020326889</c:v>
                </c:pt>
                <c:pt idx="52">
                  <c:v>101.62260963999999</c:v>
                </c:pt>
                <c:pt idx="53">
                  <c:v>99.470011407599998</c:v>
                </c:pt>
                <c:pt idx="54">
                  <c:v>101.282757471</c:v>
                </c:pt>
                <c:pt idx="55">
                  <c:v>103.524003759</c:v>
                </c:pt>
                <c:pt idx="56">
                  <c:v>104.73752700599999</c:v>
                </c:pt>
                <c:pt idx="57">
                  <c:v>104.858967406</c:v>
                </c:pt>
                <c:pt idx="58">
                  <c:v>103.94416616399999</c:v>
                </c:pt>
                <c:pt idx="59">
                  <c:v>104.734194472</c:v>
                </c:pt>
                <c:pt idx="60">
                  <c:v>106.22066406499999</c:v>
                </c:pt>
                <c:pt idx="61">
                  <c:v>108.736478695</c:v>
                </c:pt>
                <c:pt idx="62">
                  <c:v>108.449115017</c:v>
                </c:pt>
                <c:pt idx="63">
                  <c:v>107.624594637</c:v>
                </c:pt>
                <c:pt idx="64">
                  <c:v>109.819966404</c:v>
                </c:pt>
                <c:pt idx="65">
                  <c:v>109.65084768200001</c:v>
                </c:pt>
                <c:pt idx="66">
                  <c:v>111.76012578700001</c:v>
                </c:pt>
                <c:pt idx="67">
                  <c:v>113.838656986</c:v>
                </c:pt>
                <c:pt idx="68">
                  <c:v>115.88494419600001</c:v>
                </c:pt>
                <c:pt idx="69">
                  <c:v>116.691257552</c:v>
                </c:pt>
                <c:pt idx="70">
                  <c:v>120.224559368</c:v>
                </c:pt>
                <c:pt idx="71">
                  <c:v>115.48199788700001</c:v>
                </c:pt>
                <c:pt idx="72">
                  <c:v>117.512945389</c:v>
                </c:pt>
                <c:pt idx="73">
                  <c:v>116.572079153</c:v>
                </c:pt>
                <c:pt idx="74">
                  <c:v>119.572105831</c:v>
                </c:pt>
                <c:pt idx="75">
                  <c:v>125.73022264399999</c:v>
                </c:pt>
                <c:pt idx="76">
                  <c:v>123.06188518099999</c:v>
                </c:pt>
                <c:pt idx="77">
                  <c:v>121.713746294</c:v>
                </c:pt>
                <c:pt idx="78">
                  <c:v>124.765540595</c:v>
                </c:pt>
                <c:pt idx="79">
                  <c:v>121.12823584</c:v>
                </c:pt>
                <c:pt idx="80">
                  <c:v>123.185102722</c:v>
                </c:pt>
                <c:pt idx="81">
                  <c:v>126.978729345</c:v>
                </c:pt>
                <c:pt idx="82">
                  <c:v>128.61587252999999</c:v>
                </c:pt>
                <c:pt idx="83">
                  <c:v>129.44412558400001</c:v>
                </c:pt>
                <c:pt idx="84">
                  <c:v>127.257055892</c:v>
                </c:pt>
                <c:pt idx="85">
                  <c:v>131.20885394800001</c:v>
                </c:pt>
                <c:pt idx="86">
                  <c:v>134.48222084599999</c:v>
                </c:pt>
                <c:pt idx="87">
                  <c:v>134.02069965300001</c:v>
                </c:pt>
                <c:pt idx="88">
                  <c:v>132.60707971599999</c:v>
                </c:pt>
                <c:pt idx="89">
                  <c:v>126.628368354</c:v>
                </c:pt>
                <c:pt idx="90">
                  <c:v>129.71017664300001</c:v>
                </c:pt>
                <c:pt idx="91">
                  <c:v>132.133173704</c:v>
                </c:pt>
                <c:pt idx="92">
                  <c:v>133.716522277</c:v>
                </c:pt>
                <c:pt idx="93">
                  <c:v>132.232798997</c:v>
                </c:pt>
                <c:pt idx="94">
                  <c:v>132.804644755</c:v>
                </c:pt>
                <c:pt idx="95">
                  <c:v>134.96952962200001</c:v>
                </c:pt>
                <c:pt idx="96">
                  <c:v>134.569344943</c:v>
                </c:pt>
                <c:pt idx="97">
                  <c:v>135.334557292</c:v>
                </c:pt>
                <c:pt idx="98">
                  <c:v>134.49915103999999</c:v>
                </c:pt>
                <c:pt idx="99">
                  <c:v>130.593309753</c:v>
                </c:pt>
                <c:pt idx="100">
                  <c:v>130.12271998899999</c:v>
                </c:pt>
              </c:numCache>
            </c:numRef>
          </c:yVal>
          <c:smooth val="1"/>
        </c:ser>
        <c:ser>
          <c:idx val="60"/>
          <c:order val="60"/>
          <c:tx>
            <c:strRef>
              <c:f>S_plus!$BU$1</c:f>
              <c:strCache>
                <c:ptCount val="1"/>
                <c:pt idx="0">
                  <c:v>Sim61</c:v>
                </c:pt>
              </c:strCache>
            </c:strRef>
          </c:tx>
          <c:marker>
            <c:symbol val="none"/>
          </c:marker>
          <c:xVal>
            <c:numRef>
              <c:f>S_plus!$L$2:$L$102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S_plus!$BU$2:$BU$102</c:f>
              <c:numCache>
                <c:formatCode>General</c:formatCode>
                <c:ptCount val="101"/>
                <c:pt idx="0">
                  <c:v>100</c:v>
                </c:pt>
                <c:pt idx="1">
                  <c:v>100.879343031</c:v>
                </c:pt>
                <c:pt idx="2">
                  <c:v>101.325200821</c:v>
                </c:pt>
                <c:pt idx="3">
                  <c:v>101.166050355</c:v>
                </c:pt>
                <c:pt idx="4">
                  <c:v>100.22384730100001</c:v>
                </c:pt>
                <c:pt idx="5">
                  <c:v>99.675310879500003</c:v>
                </c:pt>
                <c:pt idx="6">
                  <c:v>101.986629655</c:v>
                </c:pt>
                <c:pt idx="7">
                  <c:v>101.749777483</c:v>
                </c:pt>
                <c:pt idx="8">
                  <c:v>101.458975123</c:v>
                </c:pt>
                <c:pt idx="9">
                  <c:v>101.125950315</c:v>
                </c:pt>
                <c:pt idx="10">
                  <c:v>99.290718765099996</c:v>
                </c:pt>
                <c:pt idx="11">
                  <c:v>102.565859991</c:v>
                </c:pt>
                <c:pt idx="12">
                  <c:v>103.40169788199999</c:v>
                </c:pt>
                <c:pt idx="13">
                  <c:v>103.923676172</c:v>
                </c:pt>
                <c:pt idx="14">
                  <c:v>103.499891248</c:v>
                </c:pt>
                <c:pt idx="15">
                  <c:v>107.473637221</c:v>
                </c:pt>
                <c:pt idx="16">
                  <c:v>104.987446531</c:v>
                </c:pt>
                <c:pt idx="17">
                  <c:v>108.32006182799999</c:v>
                </c:pt>
                <c:pt idx="18">
                  <c:v>106.824225892</c:v>
                </c:pt>
                <c:pt idx="19">
                  <c:v>106.731885346</c:v>
                </c:pt>
                <c:pt idx="20">
                  <c:v>102.355555745</c:v>
                </c:pt>
                <c:pt idx="21">
                  <c:v>102.747345667</c:v>
                </c:pt>
                <c:pt idx="22">
                  <c:v>106.593374807</c:v>
                </c:pt>
                <c:pt idx="23">
                  <c:v>107.26790326</c:v>
                </c:pt>
                <c:pt idx="24">
                  <c:v>108.473692864</c:v>
                </c:pt>
                <c:pt idx="25">
                  <c:v>105.319871139</c:v>
                </c:pt>
                <c:pt idx="26">
                  <c:v>103.894233731</c:v>
                </c:pt>
                <c:pt idx="27">
                  <c:v>103.234112215</c:v>
                </c:pt>
                <c:pt idx="28">
                  <c:v>103.345885982</c:v>
                </c:pt>
                <c:pt idx="29">
                  <c:v>102.942986249</c:v>
                </c:pt>
                <c:pt idx="30">
                  <c:v>102.683863934</c:v>
                </c:pt>
                <c:pt idx="31">
                  <c:v>104.18226357899999</c:v>
                </c:pt>
                <c:pt idx="32">
                  <c:v>99.566556185799996</c:v>
                </c:pt>
                <c:pt idx="33">
                  <c:v>104.076355904</c:v>
                </c:pt>
                <c:pt idx="34">
                  <c:v>103.887598215</c:v>
                </c:pt>
                <c:pt idx="35">
                  <c:v>103.50480087699999</c:v>
                </c:pt>
                <c:pt idx="36">
                  <c:v>103.629672916</c:v>
                </c:pt>
                <c:pt idx="37">
                  <c:v>105.964554488</c:v>
                </c:pt>
                <c:pt idx="38">
                  <c:v>106.92134627900001</c:v>
                </c:pt>
                <c:pt idx="39">
                  <c:v>104.919752344</c:v>
                </c:pt>
                <c:pt idx="40">
                  <c:v>103.611564597</c:v>
                </c:pt>
                <c:pt idx="41">
                  <c:v>101.286335854</c:v>
                </c:pt>
                <c:pt idx="42">
                  <c:v>101.83531121999999</c:v>
                </c:pt>
                <c:pt idx="43">
                  <c:v>103.402849718</c:v>
                </c:pt>
                <c:pt idx="44">
                  <c:v>103.385942009</c:v>
                </c:pt>
                <c:pt idx="45">
                  <c:v>104.07636202800001</c:v>
                </c:pt>
                <c:pt idx="46">
                  <c:v>102.53283344899999</c:v>
                </c:pt>
                <c:pt idx="47">
                  <c:v>99.283384941099996</c:v>
                </c:pt>
                <c:pt idx="48">
                  <c:v>100.89181687200001</c:v>
                </c:pt>
                <c:pt idx="49">
                  <c:v>104.116430033</c:v>
                </c:pt>
                <c:pt idx="50">
                  <c:v>105.975356237</c:v>
                </c:pt>
                <c:pt idx="51">
                  <c:v>105.517598675</c:v>
                </c:pt>
                <c:pt idx="52">
                  <c:v>103.08873138</c:v>
                </c:pt>
                <c:pt idx="53">
                  <c:v>99.509146904000005</c:v>
                </c:pt>
                <c:pt idx="54">
                  <c:v>102.59416035</c:v>
                </c:pt>
                <c:pt idx="55">
                  <c:v>100.63958649200001</c:v>
                </c:pt>
                <c:pt idx="56">
                  <c:v>100.166408199</c:v>
                </c:pt>
                <c:pt idx="57">
                  <c:v>98.578790062699994</c:v>
                </c:pt>
                <c:pt idx="58">
                  <c:v>99.011683372799993</c:v>
                </c:pt>
                <c:pt idx="59">
                  <c:v>97.476704867099997</c:v>
                </c:pt>
                <c:pt idx="60">
                  <c:v>98.528854066199997</c:v>
                </c:pt>
                <c:pt idx="61">
                  <c:v>99.376812490999995</c:v>
                </c:pt>
                <c:pt idx="62">
                  <c:v>98.779790633600001</c:v>
                </c:pt>
                <c:pt idx="63">
                  <c:v>97.797794090400004</c:v>
                </c:pt>
                <c:pt idx="64">
                  <c:v>97.054156851200005</c:v>
                </c:pt>
                <c:pt idx="65">
                  <c:v>98.3647649798</c:v>
                </c:pt>
                <c:pt idx="66">
                  <c:v>98.166306309700005</c:v>
                </c:pt>
                <c:pt idx="67">
                  <c:v>96.804880720599996</c:v>
                </c:pt>
                <c:pt idx="68">
                  <c:v>93.823371644999995</c:v>
                </c:pt>
                <c:pt idx="69">
                  <c:v>94.732780040099996</c:v>
                </c:pt>
                <c:pt idx="70">
                  <c:v>95.003210077299997</c:v>
                </c:pt>
                <c:pt idx="71">
                  <c:v>96.628740875899993</c:v>
                </c:pt>
                <c:pt idx="72">
                  <c:v>95.866791491599997</c:v>
                </c:pt>
                <c:pt idx="73">
                  <c:v>91.744023164799998</c:v>
                </c:pt>
                <c:pt idx="74">
                  <c:v>91.660831540199993</c:v>
                </c:pt>
                <c:pt idx="75">
                  <c:v>90.188453264700001</c:v>
                </c:pt>
                <c:pt idx="76">
                  <c:v>89.821843802399997</c:v>
                </c:pt>
                <c:pt idx="77">
                  <c:v>88.301722471800005</c:v>
                </c:pt>
                <c:pt idx="78">
                  <c:v>87.262045133200004</c:v>
                </c:pt>
                <c:pt idx="79">
                  <c:v>85.848617654999998</c:v>
                </c:pt>
                <c:pt idx="80">
                  <c:v>85.115071826499999</c:v>
                </c:pt>
                <c:pt idx="81">
                  <c:v>83.885039887199994</c:v>
                </c:pt>
                <c:pt idx="82">
                  <c:v>85.147545585000003</c:v>
                </c:pt>
                <c:pt idx="83">
                  <c:v>86.2111579444</c:v>
                </c:pt>
                <c:pt idx="84">
                  <c:v>85.973264375300005</c:v>
                </c:pt>
                <c:pt idx="85">
                  <c:v>87.412280371899996</c:v>
                </c:pt>
                <c:pt idx="86">
                  <c:v>88.510571755699999</c:v>
                </c:pt>
                <c:pt idx="87">
                  <c:v>88.102587541999995</c:v>
                </c:pt>
                <c:pt idx="88">
                  <c:v>86.608324699700006</c:v>
                </c:pt>
                <c:pt idx="89">
                  <c:v>85.806696186899998</c:v>
                </c:pt>
                <c:pt idx="90">
                  <c:v>87.434838235900003</c:v>
                </c:pt>
                <c:pt idx="91">
                  <c:v>85.520227938199994</c:v>
                </c:pt>
                <c:pt idx="92">
                  <c:v>84.488165080599998</c:v>
                </c:pt>
                <c:pt idx="93">
                  <c:v>87.505412134599993</c:v>
                </c:pt>
                <c:pt idx="94">
                  <c:v>86.500057974399994</c:v>
                </c:pt>
                <c:pt idx="95">
                  <c:v>88.4493202779</c:v>
                </c:pt>
                <c:pt idx="96">
                  <c:v>88.382202230600001</c:v>
                </c:pt>
                <c:pt idx="97">
                  <c:v>89.810645777999994</c:v>
                </c:pt>
                <c:pt idx="98">
                  <c:v>89.9177751884</c:v>
                </c:pt>
                <c:pt idx="99">
                  <c:v>87.226492888600006</c:v>
                </c:pt>
                <c:pt idx="100">
                  <c:v>88.327122280200001</c:v>
                </c:pt>
              </c:numCache>
            </c:numRef>
          </c:yVal>
          <c:smooth val="1"/>
        </c:ser>
        <c:ser>
          <c:idx val="61"/>
          <c:order val="61"/>
          <c:tx>
            <c:strRef>
              <c:f>S_plus!$BV$1</c:f>
              <c:strCache>
                <c:ptCount val="1"/>
                <c:pt idx="0">
                  <c:v>Sim62</c:v>
                </c:pt>
              </c:strCache>
            </c:strRef>
          </c:tx>
          <c:marker>
            <c:symbol val="none"/>
          </c:marker>
          <c:xVal>
            <c:numRef>
              <c:f>S_plus!$L$2:$L$102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S_plus!$BV$2:$BV$102</c:f>
              <c:numCache>
                <c:formatCode>General</c:formatCode>
                <c:ptCount val="101"/>
                <c:pt idx="0">
                  <c:v>100</c:v>
                </c:pt>
                <c:pt idx="1">
                  <c:v>99.236271821200006</c:v>
                </c:pt>
                <c:pt idx="2">
                  <c:v>99.133975338200003</c:v>
                </c:pt>
                <c:pt idx="3">
                  <c:v>96.848310780399999</c:v>
                </c:pt>
                <c:pt idx="4">
                  <c:v>98.425598470799997</c:v>
                </c:pt>
                <c:pt idx="5">
                  <c:v>96.159625499800001</c:v>
                </c:pt>
                <c:pt idx="6">
                  <c:v>96.603489481300002</c:v>
                </c:pt>
                <c:pt idx="7">
                  <c:v>95.5983116787</c:v>
                </c:pt>
                <c:pt idx="8">
                  <c:v>95.233409500400001</c:v>
                </c:pt>
                <c:pt idx="9">
                  <c:v>93.030030791599998</c:v>
                </c:pt>
                <c:pt idx="10">
                  <c:v>95.110849131799995</c:v>
                </c:pt>
                <c:pt idx="11">
                  <c:v>94.669271955499994</c:v>
                </c:pt>
                <c:pt idx="12">
                  <c:v>95.358410985099994</c:v>
                </c:pt>
                <c:pt idx="13">
                  <c:v>95.938815684900007</c:v>
                </c:pt>
                <c:pt idx="14">
                  <c:v>92.123460298599994</c:v>
                </c:pt>
                <c:pt idx="15">
                  <c:v>92.110417999299997</c:v>
                </c:pt>
                <c:pt idx="16">
                  <c:v>94.374333779099999</c:v>
                </c:pt>
                <c:pt idx="17">
                  <c:v>97.560986727599996</c:v>
                </c:pt>
                <c:pt idx="18">
                  <c:v>99.729677450400004</c:v>
                </c:pt>
                <c:pt idx="19">
                  <c:v>99.406512966199998</c:v>
                </c:pt>
                <c:pt idx="20">
                  <c:v>101.773955985</c:v>
                </c:pt>
                <c:pt idx="21">
                  <c:v>99.211353900000006</c:v>
                </c:pt>
                <c:pt idx="22">
                  <c:v>101.07777430900001</c:v>
                </c:pt>
                <c:pt idx="23">
                  <c:v>97.940654144099994</c:v>
                </c:pt>
                <c:pt idx="24">
                  <c:v>99.543824255800004</c:v>
                </c:pt>
                <c:pt idx="25">
                  <c:v>99.275002027599996</c:v>
                </c:pt>
                <c:pt idx="26">
                  <c:v>98.510119565400004</c:v>
                </c:pt>
                <c:pt idx="27">
                  <c:v>96.846768900800001</c:v>
                </c:pt>
                <c:pt idx="28">
                  <c:v>94.112929313699993</c:v>
                </c:pt>
                <c:pt idx="29">
                  <c:v>89.757462996399994</c:v>
                </c:pt>
                <c:pt idx="30">
                  <c:v>87.852824168799998</c:v>
                </c:pt>
                <c:pt idx="31">
                  <c:v>88.669025859100003</c:v>
                </c:pt>
                <c:pt idx="32">
                  <c:v>90.047107103000002</c:v>
                </c:pt>
                <c:pt idx="33">
                  <c:v>92.565016624699993</c:v>
                </c:pt>
                <c:pt idx="34">
                  <c:v>95.085129863700004</c:v>
                </c:pt>
                <c:pt idx="35">
                  <c:v>92.495162386100006</c:v>
                </c:pt>
                <c:pt idx="36">
                  <c:v>95.054473600899996</c:v>
                </c:pt>
                <c:pt idx="37">
                  <c:v>93.970327031099998</c:v>
                </c:pt>
                <c:pt idx="38">
                  <c:v>92.377400864199998</c:v>
                </c:pt>
                <c:pt idx="39">
                  <c:v>91.591965630199994</c:v>
                </c:pt>
                <c:pt idx="40">
                  <c:v>88.814810543700005</c:v>
                </c:pt>
                <c:pt idx="41">
                  <c:v>87.979392179200005</c:v>
                </c:pt>
                <c:pt idx="42">
                  <c:v>87.765868462900002</c:v>
                </c:pt>
                <c:pt idx="43">
                  <c:v>88.429398912300002</c:v>
                </c:pt>
                <c:pt idx="44">
                  <c:v>89.076315840700005</c:v>
                </c:pt>
                <c:pt idx="45">
                  <c:v>87.070052855499995</c:v>
                </c:pt>
                <c:pt idx="46">
                  <c:v>86.102232715200003</c:v>
                </c:pt>
                <c:pt idx="47">
                  <c:v>86.580751418000006</c:v>
                </c:pt>
                <c:pt idx="48">
                  <c:v>90.738835076699999</c:v>
                </c:pt>
                <c:pt idx="49">
                  <c:v>89.919711663900003</c:v>
                </c:pt>
                <c:pt idx="50">
                  <c:v>89.423273761299995</c:v>
                </c:pt>
                <c:pt idx="51">
                  <c:v>87.598120776100004</c:v>
                </c:pt>
                <c:pt idx="52">
                  <c:v>86.093468681399997</c:v>
                </c:pt>
                <c:pt idx="53">
                  <c:v>82.579323509700004</c:v>
                </c:pt>
                <c:pt idx="54">
                  <c:v>83.765265436899995</c:v>
                </c:pt>
                <c:pt idx="55">
                  <c:v>81.056459511100002</c:v>
                </c:pt>
                <c:pt idx="56">
                  <c:v>82.722603522200004</c:v>
                </c:pt>
                <c:pt idx="57">
                  <c:v>82.735384094799997</c:v>
                </c:pt>
                <c:pt idx="58">
                  <c:v>83.248950531800006</c:v>
                </c:pt>
                <c:pt idx="59">
                  <c:v>84.005270556900001</c:v>
                </c:pt>
                <c:pt idx="60">
                  <c:v>83.670597612899996</c:v>
                </c:pt>
                <c:pt idx="61">
                  <c:v>83.161563368200007</c:v>
                </c:pt>
                <c:pt idx="62">
                  <c:v>83.2357257006</c:v>
                </c:pt>
                <c:pt idx="63">
                  <c:v>83.525519254000002</c:v>
                </c:pt>
                <c:pt idx="64">
                  <c:v>84.620139027999997</c:v>
                </c:pt>
                <c:pt idx="65">
                  <c:v>85.2220570538</c:v>
                </c:pt>
                <c:pt idx="66">
                  <c:v>83.200893905599997</c:v>
                </c:pt>
                <c:pt idx="67">
                  <c:v>83.773694000700004</c:v>
                </c:pt>
                <c:pt idx="68">
                  <c:v>83.372363888199999</c:v>
                </c:pt>
                <c:pt idx="69">
                  <c:v>86.107437816699999</c:v>
                </c:pt>
                <c:pt idx="70">
                  <c:v>85.550642461600006</c:v>
                </c:pt>
                <c:pt idx="71">
                  <c:v>84.292751480199996</c:v>
                </c:pt>
                <c:pt idx="72">
                  <c:v>83.130662379100002</c:v>
                </c:pt>
                <c:pt idx="73">
                  <c:v>82.321172356700004</c:v>
                </c:pt>
                <c:pt idx="74">
                  <c:v>81.370464265099997</c:v>
                </c:pt>
                <c:pt idx="75">
                  <c:v>85.425820822999995</c:v>
                </c:pt>
                <c:pt idx="76">
                  <c:v>86.572483430000005</c:v>
                </c:pt>
                <c:pt idx="77">
                  <c:v>85.774944503599997</c:v>
                </c:pt>
                <c:pt idx="78">
                  <c:v>85.9126068331</c:v>
                </c:pt>
                <c:pt idx="79">
                  <c:v>86.687606029099996</c:v>
                </c:pt>
                <c:pt idx="80">
                  <c:v>88.367985252699995</c:v>
                </c:pt>
                <c:pt idx="81">
                  <c:v>89.857797005699993</c:v>
                </c:pt>
                <c:pt idx="82">
                  <c:v>93.835325211699995</c:v>
                </c:pt>
                <c:pt idx="83">
                  <c:v>95.579221000399997</c:v>
                </c:pt>
                <c:pt idx="84">
                  <c:v>97.638466012999999</c:v>
                </c:pt>
                <c:pt idx="85">
                  <c:v>101.715663659</c:v>
                </c:pt>
                <c:pt idx="86">
                  <c:v>103.74863794300001</c:v>
                </c:pt>
                <c:pt idx="87">
                  <c:v>103.32444728</c:v>
                </c:pt>
                <c:pt idx="88">
                  <c:v>101.968166389</c:v>
                </c:pt>
                <c:pt idx="89">
                  <c:v>103.472048328</c:v>
                </c:pt>
                <c:pt idx="90">
                  <c:v>108.26479590300001</c:v>
                </c:pt>
                <c:pt idx="91">
                  <c:v>109.16612586399999</c:v>
                </c:pt>
                <c:pt idx="92">
                  <c:v>108.456956011</c:v>
                </c:pt>
                <c:pt idx="93">
                  <c:v>109.659835254</c:v>
                </c:pt>
                <c:pt idx="94">
                  <c:v>108.327605713</c:v>
                </c:pt>
                <c:pt idx="95">
                  <c:v>108.23836713599999</c:v>
                </c:pt>
                <c:pt idx="96">
                  <c:v>108.633911685</c:v>
                </c:pt>
                <c:pt idx="97">
                  <c:v>108.266735217</c:v>
                </c:pt>
                <c:pt idx="98">
                  <c:v>108.956674889</c:v>
                </c:pt>
                <c:pt idx="99">
                  <c:v>109.65540709299999</c:v>
                </c:pt>
                <c:pt idx="100">
                  <c:v>112.970070513</c:v>
                </c:pt>
              </c:numCache>
            </c:numRef>
          </c:yVal>
          <c:smooth val="1"/>
        </c:ser>
        <c:ser>
          <c:idx val="62"/>
          <c:order val="62"/>
          <c:tx>
            <c:strRef>
              <c:f>S_plus!$BW$1</c:f>
              <c:strCache>
                <c:ptCount val="1"/>
                <c:pt idx="0">
                  <c:v>Sim63</c:v>
                </c:pt>
              </c:strCache>
            </c:strRef>
          </c:tx>
          <c:marker>
            <c:symbol val="none"/>
          </c:marker>
          <c:xVal>
            <c:numRef>
              <c:f>S_plus!$L$2:$L$102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S_plus!$BW$2:$BW$102</c:f>
              <c:numCache>
                <c:formatCode>General</c:formatCode>
                <c:ptCount val="101"/>
                <c:pt idx="0">
                  <c:v>100</c:v>
                </c:pt>
                <c:pt idx="1">
                  <c:v>100.429280085</c:v>
                </c:pt>
                <c:pt idx="2">
                  <c:v>96.231493198799996</c:v>
                </c:pt>
                <c:pt idx="3">
                  <c:v>97.021740432200005</c:v>
                </c:pt>
                <c:pt idx="4">
                  <c:v>94.058451956300004</c:v>
                </c:pt>
                <c:pt idx="5">
                  <c:v>95.6145164112</c:v>
                </c:pt>
                <c:pt idx="6">
                  <c:v>92.0048284314</c:v>
                </c:pt>
                <c:pt idx="7">
                  <c:v>93.622949772699997</c:v>
                </c:pt>
                <c:pt idx="8">
                  <c:v>95.373732738800001</c:v>
                </c:pt>
                <c:pt idx="9">
                  <c:v>95.345589847400007</c:v>
                </c:pt>
                <c:pt idx="10">
                  <c:v>93.854651398800002</c:v>
                </c:pt>
                <c:pt idx="11">
                  <c:v>92.237257401199997</c:v>
                </c:pt>
                <c:pt idx="12">
                  <c:v>94.412844849899997</c:v>
                </c:pt>
                <c:pt idx="13">
                  <c:v>94.135678436899994</c:v>
                </c:pt>
                <c:pt idx="14">
                  <c:v>93.644980264099999</c:v>
                </c:pt>
                <c:pt idx="15">
                  <c:v>94.380293900500007</c:v>
                </c:pt>
                <c:pt idx="16">
                  <c:v>92.677927852600007</c:v>
                </c:pt>
                <c:pt idx="17">
                  <c:v>91.410331492599994</c:v>
                </c:pt>
                <c:pt idx="18">
                  <c:v>93.219257541000005</c:v>
                </c:pt>
                <c:pt idx="19">
                  <c:v>88.304574947199995</c:v>
                </c:pt>
                <c:pt idx="20">
                  <c:v>90.818279100200002</c:v>
                </c:pt>
                <c:pt idx="21">
                  <c:v>90.288179754799998</c:v>
                </c:pt>
                <c:pt idx="22">
                  <c:v>92.432071789199995</c:v>
                </c:pt>
                <c:pt idx="23">
                  <c:v>91.514956700300004</c:v>
                </c:pt>
                <c:pt idx="24">
                  <c:v>89.7651134794</c:v>
                </c:pt>
                <c:pt idx="25">
                  <c:v>90.499448246499995</c:v>
                </c:pt>
                <c:pt idx="26">
                  <c:v>88.430062135100002</c:v>
                </c:pt>
                <c:pt idx="27">
                  <c:v>87.636427907300003</c:v>
                </c:pt>
                <c:pt idx="28">
                  <c:v>87.829700466600002</c:v>
                </c:pt>
                <c:pt idx="29">
                  <c:v>86.797987667699999</c:v>
                </c:pt>
                <c:pt idx="30">
                  <c:v>85.109244827300003</c:v>
                </c:pt>
                <c:pt idx="31">
                  <c:v>84.684206888000006</c:v>
                </c:pt>
                <c:pt idx="32">
                  <c:v>85.818065255899995</c:v>
                </c:pt>
                <c:pt idx="33">
                  <c:v>85.457459198699993</c:v>
                </c:pt>
                <c:pt idx="34">
                  <c:v>84.112534694800004</c:v>
                </c:pt>
                <c:pt idx="35">
                  <c:v>85.337206411500006</c:v>
                </c:pt>
                <c:pt idx="36">
                  <c:v>84.888964415000004</c:v>
                </c:pt>
                <c:pt idx="37">
                  <c:v>86.027043597599999</c:v>
                </c:pt>
                <c:pt idx="38">
                  <c:v>86.744011384199993</c:v>
                </c:pt>
                <c:pt idx="39">
                  <c:v>88.680643743100006</c:v>
                </c:pt>
                <c:pt idx="40">
                  <c:v>91.362489306699999</c:v>
                </c:pt>
                <c:pt idx="41">
                  <c:v>92.099004551500002</c:v>
                </c:pt>
                <c:pt idx="42">
                  <c:v>92.350744973999994</c:v>
                </c:pt>
                <c:pt idx="43">
                  <c:v>94.222542293900005</c:v>
                </c:pt>
                <c:pt idx="44">
                  <c:v>94.099110124899994</c:v>
                </c:pt>
                <c:pt idx="45">
                  <c:v>92.810390488300001</c:v>
                </c:pt>
                <c:pt idx="46">
                  <c:v>92.278023366599996</c:v>
                </c:pt>
                <c:pt idx="47">
                  <c:v>92.657479100700002</c:v>
                </c:pt>
                <c:pt idx="48">
                  <c:v>96.201702545000003</c:v>
                </c:pt>
                <c:pt idx="49">
                  <c:v>99.116046807999993</c:v>
                </c:pt>
                <c:pt idx="50">
                  <c:v>100.63569059700001</c:v>
                </c:pt>
                <c:pt idx="51">
                  <c:v>100.88768136900001</c:v>
                </c:pt>
                <c:pt idx="52">
                  <c:v>101.045283048</c:v>
                </c:pt>
                <c:pt idx="53">
                  <c:v>101.16534256600001</c:v>
                </c:pt>
                <c:pt idx="54">
                  <c:v>103.128682321</c:v>
                </c:pt>
                <c:pt idx="55">
                  <c:v>107.706857773</c:v>
                </c:pt>
                <c:pt idx="56">
                  <c:v>105.75258502200001</c:v>
                </c:pt>
                <c:pt idx="57">
                  <c:v>104.570783722</c:v>
                </c:pt>
                <c:pt idx="58">
                  <c:v>101.89086151399999</c:v>
                </c:pt>
                <c:pt idx="59">
                  <c:v>102.29471477</c:v>
                </c:pt>
                <c:pt idx="60">
                  <c:v>102.32423632</c:v>
                </c:pt>
                <c:pt idx="61">
                  <c:v>103.305738082</c:v>
                </c:pt>
                <c:pt idx="62">
                  <c:v>103.16756995999999</c:v>
                </c:pt>
                <c:pt idx="63">
                  <c:v>103.163387016</c:v>
                </c:pt>
                <c:pt idx="64">
                  <c:v>103.56103071</c:v>
                </c:pt>
                <c:pt idx="65">
                  <c:v>104.185971181</c:v>
                </c:pt>
                <c:pt idx="66">
                  <c:v>107.075917901</c:v>
                </c:pt>
                <c:pt idx="67">
                  <c:v>109.46759848799999</c:v>
                </c:pt>
                <c:pt idx="68">
                  <c:v>109.024197551</c:v>
                </c:pt>
                <c:pt idx="69">
                  <c:v>105.434527289</c:v>
                </c:pt>
                <c:pt idx="70">
                  <c:v>107.34331985199999</c:v>
                </c:pt>
                <c:pt idx="71">
                  <c:v>105.957940818</c:v>
                </c:pt>
                <c:pt idx="72">
                  <c:v>105.247631559</c:v>
                </c:pt>
                <c:pt idx="73">
                  <c:v>108.824803436</c:v>
                </c:pt>
                <c:pt idx="74">
                  <c:v>107.639908178</c:v>
                </c:pt>
                <c:pt idx="75">
                  <c:v>110.27607352299999</c:v>
                </c:pt>
                <c:pt idx="76">
                  <c:v>111.739842212</c:v>
                </c:pt>
                <c:pt idx="77">
                  <c:v>112.21801664500001</c:v>
                </c:pt>
                <c:pt idx="78">
                  <c:v>111.655279171</c:v>
                </c:pt>
                <c:pt idx="79">
                  <c:v>113.256321692</c:v>
                </c:pt>
                <c:pt idx="80">
                  <c:v>111.388237178</c:v>
                </c:pt>
                <c:pt idx="81">
                  <c:v>113.49744193799999</c:v>
                </c:pt>
                <c:pt idx="82">
                  <c:v>113.058460999</c:v>
                </c:pt>
                <c:pt idx="83">
                  <c:v>116.419225454</c:v>
                </c:pt>
                <c:pt idx="84">
                  <c:v>114.09698895699999</c:v>
                </c:pt>
                <c:pt idx="85">
                  <c:v>114.600658536</c:v>
                </c:pt>
                <c:pt idx="86">
                  <c:v>120.771380818</c:v>
                </c:pt>
                <c:pt idx="87">
                  <c:v>122.248018782</c:v>
                </c:pt>
                <c:pt idx="88">
                  <c:v>123.204227393</c:v>
                </c:pt>
                <c:pt idx="89">
                  <c:v>121.798894598</c:v>
                </c:pt>
                <c:pt idx="90">
                  <c:v>119.401132514</c:v>
                </c:pt>
                <c:pt idx="91">
                  <c:v>124.6776691</c:v>
                </c:pt>
                <c:pt idx="92">
                  <c:v>128.33590358199999</c:v>
                </c:pt>
                <c:pt idx="93">
                  <c:v>123.561748205</c:v>
                </c:pt>
                <c:pt idx="94">
                  <c:v>123.70846180300001</c:v>
                </c:pt>
                <c:pt idx="95">
                  <c:v>125.219855752</c:v>
                </c:pt>
                <c:pt idx="96">
                  <c:v>126.566015212</c:v>
                </c:pt>
                <c:pt idx="97">
                  <c:v>133.08086564600001</c:v>
                </c:pt>
                <c:pt idx="98">
                  <c:v>129.29269060199999</c:v>
                </c:pt>
                <c:pt idx="99">
                  <c:v>128.25052222299999</c:v>
                </c:pt>
                <c:pt idx="100">
                  <c:v>126.953443892</c:v>
                </c:pt>
              </c:numCache>
            </c:numRef>
          </c:yVal>
          <c:smooth val="1"/>
        </c:ser>
        <c:ser>
          <c:idx val="63"/>
          <c:order val="63"/>
          <c:tx>
            <c:strRef>
              <c:f>S_plus!$BX$1</c:f>
              <c:strCache>
                <c:ptCount val="1"/>
                <c:pt idx="0">
                  <c:v>Sim64</c:v>
                </c:pt>
              </c:strCache>
            </c:strRef>
          </c:tx>
          <c:marker>
            <c:symbol val="none"/>
          </c:marker>
          <c:xVal>
            <c:numRef>
              <c:f>S_plus!$L$2:$L$102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S_plus!$BX$2:$BX$102</c:f>
              <c:numCache>
                <c:formatCode>General</c:formatCode>
                <c:ptCount val="101"/>
                <c:pt idx="0">
                  <c:v>100</c:v>
                </c:pt>
                <c:pt idx="1">
                  <c:v>98.792483361799995</c:v>
                </c:pt>
                <c:pt idx="2">
                  <c:v>97.267288739099996</c:v>
                </c:pt>
                <c:pt idx="3">
                  <c:v>99.187785818199998</c:v>
                </c:pt>
                <c:pt idx="4">
                  <c:v>100.60299867000001</c:v>
                </c:pt>
                <c:pt idx="5">
                  <c:v>99.298361875099999</c:v>
                </c:pt>
                <c:pt idx="6">
                  <c:v>99.459861098000005</c:v>
                </c:pt>
                <c:pt idx="7">
                  <c:v>101.824900117</c:v>
                </c:pt>
                <c:pt idx="8">
                  <c:v>98.885712629099999</c:v>
                </c:pt>
                <c:pt idx="9">
                  <c:v>98.767741022899997</c:v>
                </c:pt>
                <c:pt idx="10">
                  <c:v>102.190189606</c:v>
                </c:pt>
                <c:pt idx="11">
                  <c:v>101.67327603699999</c:v>
                </c:pt>
                <c:pt idx="12">
                  <c:v>99.241928191</c:v>
                </c:pt>
                <c:pt idx="13">
                  <c:v>98.135348890800003</c:v>
                </c:pt>
                <c:pt idx="14">
                  <c:v>94.946873252299994</c:v>
                </c:pt>
                <c:pt idx="15">
                  <c:v>95.384698892599999</c:v>
                </c:pt>
                <c:pt idx="16">
                  <c:v>92.239395854899996</c:v>
                </c:pt>
                <c:pt idx="17">
                  <c:v>91.142864942200006</c:v>
                </c:pt>
                <c:pt idx="18">
                  <c:v>88.105911469600002</c:v>
                </c:pt>
                <c:pt idx="19">
                  <c:v>86.791477363699997</c:v>
                </c:pt>
                <c:pt idx="20">
                  <c:v>83.746318165900007</c:v>
                </c:pt>
                <c:pt idx="21">
                  <c:v>83.589405906300001</c:v>
                </c:pt>
                <c:pt idx="22">
                  <c:v>86.939995391400004</c:v>
                </c:pt>
                <c:pt idx="23">
                  <c:v>86.384300934099997</c:v>
                </c:pt>
                <c:pt idx="24">
                  <c:v>83.353184733999996</c:v>
                </c:pt>
                <c:pt idx="25">
                  <c:v>81.506463604299995</c:v>
                </c:pt>
                <c:pt idx="26">
                  <c:v>81.200344741400002</c:v>
                </c:pt>
                <c:pt idx="27">
                  <c:v>81.483952948199999</c:v>
                </c:pt>
                <c:pt idx="28">
                  <c:v>82.020636854599999</c:v>
                </c:pt>
                <c:pt idx="29">
                  <c:v>79.883957317400004</c:v>
                </c:pt>
                <c:pt idx="30">
                  <c:v>79.209971031699993</c:v>
                </c:pt>
                <c:pt idx="31">
                  <c:v>78.522803990200003</c:v>
                </c:pt>
                <c:pt idx="32">
                  <c:v>76.656718604100007</c:v>
                </c:pt>
                <c:pt idx="33">
                  <c:v>77.675239162599993</c:v>
                </c:pt>
                <c:pt idx="34">
                  <c:v>76.7226533085</c:v>
                </c:pt>
                <c:pt idx="35">
                  <c:v>76.8795861264</c:v>
                </c:pt>
                <c:pt idx="36">
                  <c:v>76.534012111199999</c:v>
                </c:pt>
                <c:pt idx="37">
                  <c:v>75.148629162500001</c:v>
                </c:pt>
                <c:pt idx="38">
                  <c:v>76.577255299399994</c:v>
                </c:pt>
                <c:pt idx="39">
                  <c:v>77.442197819399993</c:v>
                </c:pt>
                <c:pt idx="40">
                  <c:v>75.553303605400004</c:v>
                </c:pt>
                <c:pt idx="41">
                  <c:v>73.430955127800004</c:v>
                </c:pt>
                <c:pt idx="42">
                  <c:v>78.116544319900001</c:v>
                </c:pt>
                <c:pt idx="43">
                  <c:v>79.454614575799994</c:v>
                </c:pt>
                <c:pt idx="44">
                  <c:v>81.037685222199997</c:v>
                </c:pt>
                <c:pt idx="45">
                  <c:v>80.324673726399993</c:v>
                </c:pt>
                <c:pt idx="46">
                  <c:v>81.700885697299995</c:v>
                </c:pt>
                <c:pt idx="47">
                  <c:v>79.484127939299995</c:v>
                </c:pt>
                <c:pt idx="48">
                  <c:v>79.899265373899993</c:v>
                </c:pt>
                <c:pt idx="49">
                  <c:v>78.015546339500006</c:v>
                </c:pt>
                <c:pt idx="50">
                  <c:v>76.832009467099994</c:v>
                </c:pt>
                <c:pt idx="51">
                  <c:v>75.139023950199999</c:v>
                </c:pt>
                <c:pt idx="52">
                  <c:v>75.357738830399995</c:v>
                </c:pt>
                <c:pt idx="53">
                  <c:v>74.905191699</c:v>
                </c:pt>
                <c:pt idx="54">
                  <c:v>75.925398226699997</c:v>
                </c:pt>
                <c:pt idx="55">
                  <c:v>74.800473990599997</c:v>
                </c:pt>
                <c:pt idx="56">
                  <c:v>74.543839211700003</c:v>
                </c:pt>
                <c:pt idx="57">
                  <c:v>74.078353486899999</c:v>
                </c:pt>
                <c:pt idx="58">
                  <c:v>71.515098736499993</c:v>
                </c:pt>
                <c:pt idx="59">
                  <c:v>70.921506237100004</c:v>
                </c:pt>
                <c:pt idx="60">
                  <c:v>70.523554570100004</c:v>
                </c:pt>
                <c:pt idx="61">
                  <c:v>71.851956851899999</c:v>
                </c:pt>
                <c:pt idx="62">
                  <c:v>73.229183332999995</c:v>
                </c:pt>
                <c:pt idx="63">
                  <c:v>70.338141358399994</c:v>
                </c:pt>
                <c:pt idx="64">
                  <c:v>70.782081165099996</c:v>
                </c:pt>
                <c:pt idx="65">
                  <c:v>71.613217940499993</c:v>
                </c:pt>
                <c:pt idx="66">
                  <c:v>72.525690587100001</c:v>
                </c:pt>
                <c:pt idx="67">
                  <c:v>72.205511663400003</c:v>
                </c:pt>
                <c:pt idx="68">
                  <c:v>73.206142312899999</c:v>
                </c:pt>
                <c:pt idx="69">
                  <c:v>73.708360924499999</c:v>
                </c:pt>
                <c:pt idx="70">
                  <c:v>72.710062734100006</c:v>
                </c:pt>
                <c:pt idx="71">
                  <c:v>74.433646426799996</c:v>
                </c:pt>
                <c:pt idx="72">
                  <c:v>74.158473348800001</c:v>
                </c:pt>
                <c:pt idx="73">
                  <c:v>74.497318677199999</c:v>
                </c:pt>
                <c:pt idx="74">
                  <c:v>73.208550334700007</c:v>
                </c:pt>
                <c:pt idx="75">
                  <c:v>69.973165651499997</c:v>
                </c:pt>
                <c:pt idx="76">
                  <c:v>69.322683614400006</c:v>
                </c:pt>
                <c:pt idx="77">
                  <c:v>69.936592876700004</c:v>
                </c:pt>
                <c:pt idx="78">
                  <c:v>71.304361378899998</c:v>
                </c:pt>
                <c:pt idx="79">
                  <c:v>71.961454368299997</c:v>
                </c:pt>
                <c:pt idx="80">
                  <c:v>73.452453234900005</c:v>
                </c:pt>
                <c:pt idx="81">
                  <c:v>74.200291251099998</c:v>
                </c:pt>
                <c:pt idx="82">
                  <c:v>73.774111221499993</c:v>
                </c:pt>
                <c:pt idx="83">
                  <c:v>75.563526263400007</c:v>
                </c:pt>
                <c:pt idx="84">
                  <c:v>74.187334391999997</c:v>
                </c:pt>
                <c:pt idx="85">
                  <c:v>71.358795631199996</c:v>
                </c:pt>
                <c:pt idx="86">
                  <c:v>72.515646088799997</c:v>
                </c:pt>
                <c:pt idx="87">
                  <c:v>71.346180643599993</c:v>
                </c:pt>
                <c:pt idx="88">
                  <c:v>70.9692999281</c:v>
                </c:pt>
                <c:pt idx="89">
                  <c:v>72.132126761600006</c:v>
                </c:pt>
                <c:pt idx="90">
                  <c:v>72.936799166399993</c:v>
                </c:pt>
                <c:pt idx="91">
                  <c:v>72.978979726700004</c:v>
                </c:pt>
                <c:pt idx="92">
                  <c:v>71.537588624999998</c:v>
                </c:pt>
                <c:pt idx="93">
                  <c:v>72.700837320199994</c:v>
                </c:pt>
                <c:pt idx="94">
                  <c:v>72.966370169200005</c:v>
                </c:pt>
                <c:pt idx="95">
                  <c:v>74.264185824999998</c:v>
                </c:pt>
                <c:pt idx="96">
                  <c:v>76.414283743799999</c:v>
                </c:pt>
                <c:pt idx="97">
                  <c:v>76.783457152099999</c:v>
                </c:pt>
                <c:pt idx="98">
                  <c:v>78.042688239499995</c:v>
                </c:pt>
                <c:pt idx="99">
                  <c:v>77.5531354134</c:v>
                </c:pt>
                <c:pt idx="100">
                  <c:v>77.245023311400004</c:v>
                </c:pt>
              </c:numCache>
            </c:numRef>
          </c:yVal>
          <c:smooth val="1"/>
        </c:ser>
        <c:ser>
          <c:idx val="64"/>
          <c:order val="64"/>
          <c:tx>
            <c:strRef>
              <c:f>S_plus!$BY$1</c:f>
              <c:strCache>
                <c:ptCount val="1"/>
                <c:pt idx="0">
                  <c:v>Sim65</c:v>
                </c:pt>
              </c:strCache>
            </c:strRef>
          </c:tx>
          <c:marker>
            <c:symbol val="none"/>
          </c:marker>
          <c:xVal>
            <c:numRef>
              <c:f>S_plus!$L$2:$L$102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S_plus!$BY$2:$BY$102</c:f>
              <c:numCache>
                <c:formatCode>General</c:formatCode>
                <c:ptCount val="101"/>
                <c:pt idx="0">
                  <c:v>100</c:v>
                </c:pt>
                <c:pt idx="1">
                  <c:v>99.143854208299999</c:v>
                </c:pt>
                <c:pt idx="2">
                  <c:v>100.41183408800001</c:v>
                </c:pt>
                <c:pt idx="3">
                  <c:v>99.290924517700006</c:v>
                </c:pt>
                <c:pt idx="4">
                  <c:v>101.45332681399999</c:v>
                </c:pt>
                <c:pt idx="5">
                  <c:v>100.889950322</c:v>
                </c:pt>
                <c:pt idx="6">
                  <c:v>100.758273757</c:v>
                </c:pt>
                <c:pt idx="7">
                  <c:v>100.855205725</c:v>
                </c:pt>
                <c:pt idx="8">
                  <c:v>99.225308187400003</c:v>
                </c:pt>
                <c:pt idx="9">
                  <c:v>101.29405531899999</c:v>
                </c:pt>
                <c:pt idx="10">
                  <c:v>103.11007789999999</c:v>
                </c:pt>
                <c:pt idx="11">
                  <c:v>100.901082041</c:v>
                </c:pt>
                <c:pt idx="12">
                  <c:v>101.78616871200001</c:v>
                </c:pt>
                <c:pt idx="13">
                  <c:v>102.681687471</c:v>
                </c:pt>
                <c:pt idx="14">
                  <c:v>99.521562943999996</c:v>
                </c:pt>
                <c:pt idx="15">
                  <c:v>98.438602745899999</c:v>
                </c:pt>
                <c:pt idx="16">
                  <c:v>101.05304348200001</c:v>
                </c:pt>
                <c:pt idx="17">
                  <c:v>99.876558387499998</c:v>
                </c:pt>
                <c:pt idx="18">
                  <c:v>100.84817915000001</c:v>
                </c:pt>
                <c:pt idx="19">
                  <c:v>101.045665731</c:v>
                </c:pt>
                <c:pt idx="20">
                  <c:v>102.490006749</c:v>
                </c:pt>
                <c:pt idx="21">
                  <c:v>98.088007673199996</c:v>
                </c:pt>
                <c:pt idx="22">
                  <c:v>98.809936058600002</c:v>
                </c:pt>
                <c:pt idx="23">
                  <c:v>99.812777176400004</c:v>
                </c:pt>
                <c:pt idx="24">
                  <c:v>101.60871217</c:v>
                </c:pt>
                <c:pt idx="25">
                  <c:v>103.308593871</c:v>
                </c:pt>
                <c:pt idx="26">
                  <c:v>103.323924687</c:v>
                </c:pt>
                <c:pt idx="27">
                  <c:v>102.556564415</c:v>
                </c:pt>
                <c:pt idx="28">
                  <c:v>109.63854451900001</c:v>
                </c:pt>
                <c:pt idx="29">
                  <c:v>109.635148583</c:v>
                </c:pt>
                <c:pt idx="30">
                  <c:v>111.507984631</c:v>
                </c:pt>
                <c:pt idx="31">
                  <c:v>114.578482503</c:v>
                </c:pt>
                <c:pt idx="32">
                  <c:v>114.37529548000001</c:v>
                </c:pt>
                <c:pt idx="33">
                  <c:v>114.87841627900001</c:v>
                </c:pt>
                <c:pt idx="34">
                  <c:v>115.348529333</c:v>
                </c:pt>
                <c:pt idx="35">
                  <c:v>115.905404354</c:v>
                </c:pt>
                <c:pt idx="36">
                  <c:v>116.40892956099999</c:v>
                </c:pt>
                <c:pt idx="37">
                  <c:v>116.139949266</c:v>
                </c:pt>
                <c:pt idx="38">
                  <c:v>112.927933706</c:v>
                </c:pt>
                <c:pt idx="39">
                  <c:v>110.593664609</c:v>
                </c:pt>
                <c:pt idx="40">
                  <c:v>107.193415188</c:v>
                </c:pt>
                <c:pt idx="41">
                  <c:v>103.507487942</c:v>
                </c:pt>
                <c:pt idx="42">
                  <c:v>103.388590112</c:v>
                </c:pt>
                <c:pt idx="43">
                  <c:v>103.104324822</c:v>
                </c:pt>
                <c:pt idx="44">
                  <c:v>101.926063916</c:v>
                </c:pt>
                <c:pt idx="45">
                  <c:v>98.816893547199996</c:v>
                </c:pt>
                <c:pt idx="46">
                  <c:v>99.772587836499994</c:v>
                </c:pt>
                <c:pt idx="47">
                  <c:v>97.836625560300007</c:v>
                </c:pt>
                <c:pt idx="48">
                  <c:v>99.920813817999999</c:v>
                </c:pt>
                <c:pt idx="49">
                  <c:v>100.483307747</c:v>
                </c:pt>
                <c:pt idx="50">
                  <c:v>101.360633337</c:v>
                </c:pt>
                <c:pt idx="51">
                  <c:v>98.717341530499993</c:v>
                </c:pt>
                <c:pt idx="52">
                  <c:v>97.930932372000001</c:v>
                </c:pt>
                <c:pt idx="53">
                  <c:v>93.065073369000004</c:v>
                </c:pt>
                <c:pt idx="54">
                  <c:v>89.460635447800001</c:v>
                </c:pt>
                <c:pt idx="55">
                  <c:v>89.715125539400006</c:v>
                </c:pt>
                <c:pt idx="56">
                  <c:v>90.684374116300006</c:v>
                </c:pt>
                <c:pt idx="57">
                  <c:v>89.745160742400003</c:v>
                </c:pt>
                <c:pt idx="58">
                  <c:v>93.441442782799996</c:v>
                </c:pt>
                <c:pt idx="59">
                  <c:v>96.7673969027</c:v>
                </c:pt>
                <c:pt idx="60">
                  <c:v>94.723179136699997</c:v>
                </c:pt>
                <c:pt idx="61">
                  <c:v>95.071693619499996</c:v>
                </c:pt>
                <c:pt idx="62">
                  <c:v>92.823755493600004</c:v>
                </c:pt>
                <c:pt idx="63">
                  <c:v>92.022444659100003</c:v>
                </c:pt>
                <c:pt idx="64">
                  <c:v>92.542816374599994</c:v>
                </c:pt>
                <c:pt idx="65">
                  <c:v>93.207417181899999</c:v>
                </c:pt>
                <c:pt idx="66">
                  <c:v>92.065843560000005</c:v>
                </c:pt>
                <c:pt idx="67">
                  <c:v>93.151682569499997</c:v>
                </c:pt>
                <c:pt idx="68">
                  <c:v>94.149270656699997</c:v>
                </c:pt>
                <c:pt idx="69">
                  <c:v>94.873690584399995</c:v>
                </c:pt>
                <c:pt idx="70">
                  <c:v>94.3433367242</c:v>
                </c:pt>
                <c:pt idx="71">
                  <c:v>93.906960401500001</c:v>
                </c:pt>
                <c:pt idx="72">
                  <c:v>92.617039097100005</c:v>
                </c:pt>
                <c:pt idx="73">
                  <c:v>88.350362984499995</c:v>
                </c:pt>
                <c:pt idx="74">
                  <c:v>87.140919282799999</c:v>
                </c:pt>
                <c:pt idx="75">
                  <c:v>84.8713600464</c:v>
                </c:pt>
                <c:pt idx="76">
                  <c:v>83.579421938699994</c:v>
                </c:pt>
                <c:pt idx="77">
                  <c:v>86.554512033199998</c:v>
                </c:pt>
                <c:pt idx="78">
                  <c:v>84.153147856800004</c:v>
                </c:pt>
                <c:pt idx="79">
                  <c:v>83.2996595149</c:v>
                </c:pt>
                <c:pt idx="80">
                  <c:v>81.058934247300002</c:v>
                </c:pt>
                <c:pt idx="81">
                  <c:v>82.759146167899999</c:v>
                </c:pt>
                <c:pt idx="82">
                  <c:v>82.616163306399997</c:v>
                </c:pt>
                <c:pt idx="83">
                  <c:v>82.282866107900006</c:v>
                </c:pt>
                <c:pt idx="84">
                  <c:v>83.226205322300004</c:v>
                </c:pt>
                <c:pt idx="85">
                  <c:v>79.166466865299995</c:v>
                </c:pt>
                <c:pt idx="86">
                  <c:v>79.358253454999996</c:v>
                </c:pt>
                <c:pt idx="87">
                  <c:v>80.804937414899996</c:v>
                </c:pt>
                <c:pt idx="88">
                  <c:v>79.884947547600007</c:v>
                </c:pt>
                <c:pt idx="89">
                  <c:v>80.421518691499998</c:v>
                </c:pt>
                <c:pt idx="90">
                  <c:v>80.047538605400007</c:v>
                </c:pt>
                <c:pt idx="91">
                  <c:v>79.161454063999997</c:v>
                </c:pt>
                <c:pt idx="92">
                  <c:v>78.633612464699993</c:v>
                </c:pt>
                <c:pt idx="93">
                  <c:v>78.819668421800003</c:v>
                </c:pt>
                <c:pt idx="94">
                  <c:v>80.706673147399997</c:v>
                </c:pt>
                <c:pt idx="95">
                  <c:v>80.491814627099998</c:v>
                </c:pt>
                <c:pt idx="96">
                  <c:v>80.083845562400001</c:v>
                </c:pt>
                <c:pt idx="97">
                  <c:v>80.077022257799996</c:v>
                </c:pt>
                <c:pt idx="98">
                  <c:v>80.920172138500007</c:v>
                </c:pt>
                <c:pt idx="99">
                  <c:v>82.272475056999994</c:v>
                </c:pt>
                <c:pt idx="100">
                  <c:v>82.393214740800005</c:v>
                </c:pt>
              </c:numCache>
            </c:numRef>
          </c:yVal>
          <c:smooth val="1"/>
        </c:ser>
        <c:ser>
          <c:idx val="65"/>
          <c:order val="65"/>
          <c:tx>
            <c:strRef>
              <c:f>S_plus!$BZ$1</c:f>
              <c:strCache>
                <c:ptCount val="1"/>
                <c:pt idx="0">
                  <c:v>Sim66</c:v>
                </c:pt>
              </c:strCache>
            </c:strRef>
          </c:tx>
          <c:marker>
            <c:symbol val="none"/>
          </c:marker>
          <c:xVal>
            <c:numRef>
              <c:f>S_plus!$L$2:$L$102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S_plus!$BZ$2:$BZ$102</c:f>
              <c:numCache>
                <c:formatCode>General</c:formatCode>
                <c:ptCount val="101"/>
                <c:pt idx="0">
                  <c:v>100</c:v>
                </c:pt>
                <c:pt idx="1">
                  <c:v>97.014138443099995</c:v>
                </c:pt>
                <c:pt idx="2">
                  <c:v>96.501556381300006</c:v>
                </c:pt>
                <c:pt idx="3">
                  <c:v>94.904164699000006</c:v>
                </c:pt>
                <c:pt idx="4">
                  <c:v>94.456395267399998</c:v>
                </c:pt>
                <c:pt idx="5">
                  <c:v>93.949003873799995</c:v>
                </c:pt>
                <c:pt idx="6">
                  <c:v>91.655599466499993</c:v>
                </c:pt>
                <c:pt idx="7">
                  <c:v>91.169182433800003</c:v>
                </c:pt>
                <c:pt idx="8">
                  <c:v>91.810090989200006</c:v>
                </c:pt>
                <c:pt idx="9">
                  <c:v>91.520447012600002</c:v>
                </c:pt>
                <c:pt idx="10">
                  <c:v>93.243682256900001</c:v>
                </c:pt>
                <c:pt idx="11">
                  <c:v>94.331239624000006</c:v>
                </c:pt>
                <c:pt idx="12">
                  <c:v>93.115403389400001</c:v>
                </c:pt>
                <c:pt idx="13">
                  <c:v>92.348151720399997</c:v>
                </c:pt>
                <c:pt idx="14">
                  <c:v>93.889422561700002</c:v>
                </c:pt>
                <c:pt idx="15">
                  <c:v>93.8552118044</c:v>
                </c:pt>
                <c:pt idx="16">
                  <c:v>95.232685327799999</c:v>
                </c:pt>
                <c:pt idx="17">
                  <c:v>93.630744127200003</c:v>
                </c:pt>
                <c:pt idx="18">
                  <c:v>94.479233822200001</c:v>
                </c:pt>
                <c:pt idx="19">
                  <c:v>92.184089286499997</c:v>
                </c:pt>
                <c:pt idx="20">
                  <c:v>90.899204557800005</c:v>
                </c:pt>
                <c:pt idx="21">
                  <c:v>87.963589026199998</c:v>
                </c:pt>
                <c:pt idx="22">
                  <c:v>89.261306679499995</c:v>
                </c:pt>
                <c:pt idx="23">
                  <c:v>89.106392655500002</c:v>
                </c:pt>
                <c:pt idx="24">
                  <c:v>90.222845159399995</c:v>
                </c:pt>
                <c:pt idx="25">
                  <c:v>91.825218331100004</c:v>
                </c:pt>
                <c:pt idx="26">
                  <c:v>90.135475159400002</c:v>
                </c:pt>
                <c:pt idx="27">
                  <c:v>91.605215070599996</c:v>
                </c:pt>
                <c:pt idx="28">
                  <c:v>93.706495521899996</c:v>
                </c:pt>
                <c:pt idx="29">
                  <c:v>96.311722160599999</c:v>
                </c:pt>
                <c:pt idx="30">
                  <c:v>96.966941776499993</c:v>
                </c:pt>
                <c:pt idx="31">
                  <c:v>94.680659803300003</c:v>
                </c:pt>
                <c:pt idx="32">
                  <c:v>96.355148892599999</c:v>
                </c:pt>
                <c:pt idx="33">
                  <c:v>96.124336193299996</c:v>
                </c:pt>
                <c:pt idx="34">
                  <c:v>101.601012492</c:v>
                </c:pt>
                <c:pt idx="35">
                  <c:v>98.468306566999999</c:v>
                </c:pt>
                <c:pt idx="36">
                  <c:v>98.608101941300006</c:v>
                </c:pt>
                <c:pt idx="37">
                  <c:v>100.584938278</c:v>
                </c:pt>
                <c:pt idx="38">
                  <c:v>102.692305253</c:v>
                </c:pt>
                <c:pt idx="39">
                  <c:v>104.294706754</c:v>
                </c:pt>
                <c:pt idx="40">
                  <c:v>107.71016163900001</c:v>
                </c:pt>
                <c:pt idx="41">
                  <c:v>106.683432862</c:v>
                </c:pt>
                <c:pt idx="42">
                  <c:v>105.492248627</c:v>
                </c:pt>
                <c:pt idx="43">
                  <c:v>106.267168099</c:v>
                </c:pt>
                <c:pt idx="44">
                  <c:v>107.620110599</c:v>
                </c:pt>
                <c:pt idx="45">
                  <c:v>104.35357140399999</c:v>
                </c:pt>
                <c:pt idx="46">
                  <c:v>105.303212249</c:v>
                </c:pt>
                <c:pt idx="47">
                  <c:v>108.313635826</c:v>
                </c:pt>
                <c:pt idx="48">
                  <c:v>114.11895613999999</c:v>
                </c:pt>
                <c:pt idx="49">
                  <c:v>113.622909725</c:v>
                </c:pt>
                <c:pt idx="50">
                  <c:v>114.15646131</c:v>
                </c:pt>
                <c:pt idx="51">
                  <c:v>114.07452976899999</c:v>
                </c:pt>
                <c:pt idx="52">
                  <c:v>114.382386397</c:v>
                </c:pt>
                <c:pt idx="53">
                  <c:v>113.935498974</c:v>
                </c:pt>
                <c:pt idx="54">
                  <c:v>113.51081754499999</c:v>
                </c:pt>
                <c:pt idx="55">
                  <c:v>116.19801576099999</c:v>
                </c:pt>
                <c:pt idx="56">
                  <c:v>116.41237905200001</c:v>
                </c:pt>
                <c:pt idx="57">
                  <c:v>117.74506393599999</c:v>
                </c:pt>
                <c:pt idx="58">
                  <c:v>116.471845061</c:v>
                </c:pt>
                <c:pt idx="59">
                  <c:v>116.89647712999999</c:v>
                </c:pt>
                <c:pt idx="60">
                  <c:v>115.031166348</c:v>
                </c:pt>
                <c:pt idx="61">
                  <c:v>114.966017529</c:v>
                </c:pt>
                <c:pt idx="62">
                  <c:v>117.515572807</c:v>
                </c:pt>
                <c:pt idx="63">
                  <c:v>114.36866340500001</c:v>
                </c:pt>
                <c:pt idx="64">
                  <c:v>115.59133996600001</c:v>
                </c:pt>
                <c:pt idx="65">
                  <c:v>110.244618234</c:v>
                </c:pt>
                <c:pt idx="66">
                  <c:v>112.619041713</c:v>
                </c:pt>
                <c:pt idx="67">
                  <c:v>111.79100000699999</c:v>
                </c:pt>
                <c:pt idx="68">
                  <c:v>112.02113556</c:v>
                </c:pt>
                <c:pt idx="69">
                  <c:v>115.768678975</c:v>
                </c:pt>
                <c:pt idx="70">
                  <c:v>121.81266414300001</c:v>
                </c:pt>
                <c:pt idx="71">
                  <c:v>118.29963777099999</c:v>
                </c:pt>
                <c:pt idx="72">
                  <c:v>120.915141123</c:v>
                </c:pt>
                <c:pt idx="73">
                  <c:v>124.92394370700001</c:v>
                </c:pt>
                <c:pt idx="74">
                  <c:v>124.49193323900001</c:v>
                </c:pt>
                <c:pt idx="75">
                  <c:v>123.090036833</c:v>
                </c:pt>
                <c:pt idx="76">
                  <c:v>127.871819401</c:v>
                </c:pt>
                <c:pt idx="77">
                  <c:v>126.96514002000001</c:v>
                </c:pt>
                <c:pt idx="78">
                  <c:v>127.625123618</c:v>
                </c:pt>
                <c:pt idx="79">
                  <c:v>128.48063082799999</c:v>
                </c:pt>
                <c:pt idx="80">
                  <c:v>130.83252905000001</c:v>
                </c:pt>
                <c:pt idx="81">
                  <c:v>128.56101941899999</c:v>
                </c:pt>
                <c:pt idx="82">
                  <c:v>131.95575943599999</c:v>
                </c:pt>
                <c:pt idx="83">
                  <c:v>131.743335575</c:v>
                </c:pt>
                <c:pt idx="84">
                  <c:v>134.056183506</c:v>
                </c:pt>
                <c:pt idx="85">
                  <c:v>133.58676809299999</c:v>
                </c:pt>
                <c:pt idx="86">
                  <c:v>133.881362919</c:v>
                </c:pt>
                <c:pt idx="87">
                  <c:v>133.022316695</c:v>
                </c:pt>
                <c:pt idx="88">
                  <c:v>134.61443029200001</c:v>
                </c:pt>
                <c:pt idx="89">
                  <c:v>136.97440263799999</c:v>
                </c:pt>
                <c:pt idx="90">
                  <c:v>137.92360394799999</c:v>
                </c:pt>
                <c:pt idx="91">
                  <c:v>138.59400203800001</c:v>
                </c:pt>
                <c:pt idx="92">
                  <c:v>140.02689858599999</c:v>
                </c:pt>
                <c:pt idx="93">
                  <c:v>144.51213098700001</c:v>
                </c:pt>
                <c:pt idx="94">
                  <c:v>145.64385147199999</c:v>
                </c:pt>
                <c:pt idx="95">
                  <c:v>141.103202275</c:v>
                </c:pt>
                <c:pt idx="96">
                  <c:v>143.271211601</c:v>
                </c:pt>
                <c:pt idx="97">
                  <c:v>142.604804014</c:v>
                </c:pt>
                <c:pt idx="98">
                  <c:v>147.61469476600001</c:v>
                </c:pt>
                <c:pt idx="99">
                  <c:v>148.273682541</c:v>
                </c:pt>
                <c:pt idx="100">
                  <c:v>148.02609429699999</c:v>
                </c:pt>
              </c:numCache>
            </c:numRef>
          </c:yVal>
          <c:smooth val="1"/>
        </c:ser>
        <c:ser>
          <c:idx val="66"/>
          <c:order val="66"/>
          <c:tx>
            <c:strRef>
              <c:f>S_plus!$CA$1</c:f>
              <c:strCache>
                <c:ptCount val="1"/>
                <c:pt idx="0">
                  <c:v>Sim67</c:v>
                </c:pt>
              </c:strCache>
            </c:strRef>
          </c:tx>
          <c:marker>
            <c:symbol val="none"/>
          </c:marker>
          <c:xVal>
            <c:numRef>
              <c:f>S_plus!$L$2:$L$102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S_plus!$CA$2:$CA$102</c:f>
              <c:numCache>
                <c:formatCode>General</c:formatCode>
                <c:ptCount val="101"/>
                <c:pt idx="0">
                  <c:v>100</c:v>
                </c:pt>
                <c:pt idx="1">
                  <c:v>99.870638935900004</c:v>
                </c:pt>
                <c:pt idx="2">
                  <c:v>100.83760476099999</c:v>
                </c:pt>
                <c:pt idx="3">
                  <c:v>101.31823244500001</c:v>
                </c:pt>
                <c:pt idx="4">
                  <c:v>103.548679468</c:v>
                </c:pt>
                <c:pt idx="5">
                  <c:v>104.43490552999999</c:v>
                </c:pt>
                <c:pt idx="6">
                  <c:v>103.132212868</c:v>
                </c:pt>
                <c:pt idx="7">
                  <c:v>100.00208257200001</c:v>
                </c:pt>
                <c:pt idx="8">
                  <c:v>100.73816484699999</c:v>
                </c:pt>
                <c:pt idx="9">
                  <c:v>101.121756291</c:v>
                </c:pt>
                <c:pt idx="10">
                  <c:v>99.398654909800001</c:v>
                </c:pt>
                <c:pt idx="11">
                  <c:v>101.77820368</c:v>
                </c:pt>
                <c:pt idx="12">
                  <c:v>100.654939583</c:v>
                </c:pt>
                <c:pt idx="13">
                  <c:v>101.720192959</c:v>
                </c:pt>
                <c:pt idx="14">
                  <c:v>100.368860721</c:v>
                </c:pt>
                <c:pt idx="15">
                  <c:v>96.758028334100004</c:v>
                </c:pt>
                <c:pt idx="16">
                  <c:v>95.819820066399998</c:v>
                </c:pt>
                <c:pt idx="17">
                  <c:v>95.279935440399996</c:v>
                </c:pt>
                <c:pt idx="18">
                  <c:v>94.895601278399994</c:v>
                </c:pt>
                <c:pt idx="19">
                  <c:v>93.143892612000002</c:v>
                </c:pt>
                <c:pt idx="20">
                  <c:v>96.285829873200001</c:v>
                </c:pt>
                <c:pt idx="21">
                  <c:v>93.138892730199998</c:v>
                </c:pt>
                <c:pt idx="22">
                  <c:v>92.800206316699999</c:v>
                </c:pt>
                <c:pt idx="23">
                  <c:v>95.175051557100005</c:v>
                </c:pt>
                <c:pt idx="24">
                  <c:v>95.637884998499999</c:v>
                </c:pt>
                <c:pt idx="25">
                  <c:v>94.073160704900005</c:v>
                </c:pt>
                <c:pt idx="26">
                  <c:v>93.6859681607</c:v>
                </c:pt>
                <c:pt idx="27">
                  <c:v>96.503202233500005</c:v>
                </c:pt>
                <c:pt idx="28">
                  <c:v>94.551612868199996</c:v>
                </c:pt>
                <c:pt idx="29">
                  <c:v>97.156786924900004</c:v>
                </c:pt>
                <c:pt idx="30">
                  <c:v>101.65731282500001</c:v>
                </c:pt>
                <c:pt idx="31">
                  <c:v>103.18241045000001</c:v>
                </c:pt>
                <c:pt idx="32">
                  <c:v>102.77777084</c:v>
                </c:pt>
                <c:pt idx="33">
                  <c:v>103.912262832</c:v>
                </c:pt>
                <c:pt idx="34">
                  <c:v>102.707573162</c:v>
                </c:pt>
                <c:pt idx="35">
                  <c:v>103.71013372900001</c:v>
                </c:pt>
                <c:pt idx="36">
                  <c:v>101.772201196</c:v>
                </c:pt>
                <c:pt idx="37">
                  <c:v>101.727855404</c:v>
                </c:pt>
                <c:pt idx="38">
                  <c:v>103.991254318</c:v>
                </c:pt>
                <c:pt idx="39">
                  <c:v>109.405487533</c:v>
                </c:pt>
                <c:pt idx="40">
                  <c:v>108.309271201</c:v>
                </c:pt>
                <c:pt idx="41">
                  <c:v>110.444428311</c:v>
                </c:pt>
                <c:pt idx="42">
                  <c:v>108.853434458</c:v>
                </c:pt>
                <c:pt idx="43">
                  <c:v>109.593605732</c:v>
                </c:pt>
                <c:pt idx="44">
                  <c:v>111.90688213999999</c:v>
                </c:pt>
                <c:pt idx="45">
                  <c:v>110.194161202</c:v>
                </c:pt>
                <c:pt idx="46">
                  <c:v>106.120969995</c:v>
                </c:pt>
                <c:pt idx="47">
                  <c:v>103.472587773</c:v>
                </c:pt>
                <c:pt idx="48">
                  <c:v>104.46502022999999</c:v>
                </c:pt>
                <c:pt idx="49">
                  <c:v>101.03146488900001</c:v>
                </c:pt>
                <c:pt idx="50">
                  <c:v>98.287374086900002</c:v>
                </c:pt>
                <c:pt idx="51">
                  <c:v>98.370621080299998</c:v>
                </c:pt>
                <c:pt idx="52">
                  <c:v>94.514038490100006</c:v>
                </c:pt>
                <c:pt idx="53">
                  <c:v>93.487543242000001</c:v>
                </c:pt>
                <c:pt idx="54">
                  <c:v>91.111541029099996</c:v>
                </c:pt>
                <c:pt idx="55">
                  <c:v>90.723617642700006</c:v>
                </c:pt>
                <c:pt idx="56">
                  <c:v>93.969629707300001</c:v>
                </c:pt>
                <c:pt idx="57">
                  <c:v>92.506171781199996</c:v>
                </c:pt>
                <c:pt idx="58">
                  <c:v>91.919561695100001</c:v>
                </c:pt>
                <c:pt idx="59">
                  <c:v>87.6580565963</c:v>
                </c:pt>
                <c:pt idx="60">
                  <c:v>87.939402356800002</c:v>
                </c:pt>
                <c:pt idx="61">
                  <c:v>86.696413728300001</c:v>
                </c:pt>
                <c:pt idx="62">
                  <c:v>88.190267649500001</c:v>
                </c:pt>
                <c:pt idx="63">
                  <c:v>87.349154885499999</c:v>
                </c:pt>
                <c:pt idx="64">
                  <c:v>84.844699510799998</c:v>
                </c:pt>
                <c:pt idx="65">
                  <c:v>86.138635120399996</c:v>
                </c:pt>
                <c:pt idx="66">
                  <c:v>86.281870637699996</c:v>
                </c:pt>
                <c:pt idx="67">
                  <c:v>85.719029116100003</c:v>
                </c:pt>
                <c:pt idx="68">
                  <c:v>87.710822066199995</c:v>
                </c:pt>
                <c:pt idx="69">
                  <c:v>87.436413634900006</c:v>
                </c:pt>
                <c:pt idx="70">
                  <c:v>87.6854664544</c:v>
                </c:pt>
                <c:pt idx="71">
                  <c:v>85.898209514200005</c:v>
                </c:pt>
                <c:pt idx="72">
                  <c:v>86.888194540699999</c:v>
                </c:pt>
                <c:pt idx="73">
                  <c:v>87.395820435700003</c:v>
                </c:pt>
                <c:pt idx="74">
                  <c:v>86.559929477599994</c:v>
                </c:pt>
                <c:pt idx="75">
                  <c:v>89.228167688599996</c:v>
                </c:pt>
                <c:pt idx="76">
                  <c:v>89.893093658699996</c:v>
                </c:pt>
                <c:pt idx="77">
                  <c:v>91.377507386800005</c:v>
                </c:pt>
                <c:pt idx="78">
                  <c:v>90.536658005000007</c:v>
                </c:pt>
                <c:pt idx="79">
                  <c:v>87.629791812700006</c:v>
                </c:pt>
                <c:pt idx="80">
                  <c:v>82.979356528400004</c:v>
                </c:pt>
                <c:pt idx="81">
                  <c:v>80.723653893199995</c:v>
                </c:pt>
                <c:pt idx="82">
                  <c:v>79.513875526899994</c:v>
                </c:pt>
                <c:pt idx="83">
                  <c:v>79.799040308800002</c:v>
                </c:pt>
                <c:pt idx="84">
                  <c:v>80.540773039800001</c:v>
                </c:pt>
                <c:pt idx="85">
                  <c:v>81.694571737399997</c:v>
                </c:pt>
                <c:pt idx="86">
                  <c:v>82.342649346399995</c:v>
                </c:pt>
                <c:pt idx="87">
                  <c:v>81.304634883800006</c:v>
                </c:pt>
                <c:pt idx="88">
                  <c:v>81.682924394599993</c:v>
                </c:pt>
                <c:pt idx="89">
                  <c:v>83.642042645700002</c:v>
                </c:pt>
                <c:pt idx="90">
                  <c:v>83.575808517400006</c:v>
                </c:pt>
                <c:pt idx="91">
                  <c:v>85.642551997200002</c:v>
                </c:pt>
                <c:pt idx="92">
                  <c:v>86.7874381301</c:v>
                </c:pt>
                <c:pt idx="93">
                  <c:v>87.494993585900005</c:v>
                </c:pt>
                <c:pt idx="94">
                  <c:v>87.144959150099993</c:v>
                </c:pt>
                <c:pt idx="95">
                  <c:v>86.265882105599999</c:v>
                </c:pt>
                <c:pt idx="96">
                  <c:v>87.056747118700002</c:v>
                </c:pt>
                <c:pt idx="97">
                  <c:v>84.111710764500003</c:v>
                </c:pt>
                <c:pt idx="98">
                  <c:v>83.780063630300006</c:v>
                </c:pt>
                <c:pt idx="99">
                  <c:v>85.117721704700003</c:v>
                </c:pt>
                <c:pt idx="100">
                  <c:v>82.567306097300005</c:v>
                </c:pt>
              </c:numCache>
            </c:numRef>
          </c:yVal>
          <c:smooth val="1"/>
        </c:ser>
        <c:ser>
          <c:idx val="67"/>
          <c:order val="67"/>
          <c:tx>
            <c:strRef>
              <c:f>S_plus!$CB$1</c:f>
              <c:strCache>
                <c:ptCount val="1"/>
                <c:pt idx="0">
                  <c:v>Sim68</c:v>
                </c:pt>
              </c:strCache>
            </c:strRef>
          </c:tx>
          <c:marker>
            <c:symbol val="none"/>
          </c:marker>
          <c:xVal>
            <c:numRef>
              <c:f>S_plus!$L$2:$L$102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S_plus!$CB$2:$CB$102</c:f>
              <c:numCache>
                <c:formatCode>General</c:formatCode>
                <c:ptCount val="101"/>
                <c:pt idx="0">
                  <c:v>100</c:v>
                </c:pt>
                <c:pt idx="1">
                  <c:v>96.896435501200003</c:v>
                </c:pt>
                <c:pt idx="2">
                  <c:v>97.752239388800007</c:v>
                </c:pt>
                <c:pt idx="3">
                  <c:v>98.581895309000004</c:v>
                </c:pt>
                <c:pt idx="4">
                  <c:v>101.588031646</c:v>
                </c:pt>
                <c:pt idx="5">
                  <c:v>101.342478148</c:v>
                </c:pt>
                <c:pt idx="6">
                  <c:v>98.523876344399994</c:v>
                </c:pt>
                <c:pt idx="7">
                  <c:v>96.246618392200006</c:v>
                </c:pt>
                <c:pt idx="8">
                  <c:v>96.754447259800003</c:v>
                </c:pt>
                <c:pt idx="9">
                  <c:v>97.695073080900002</c:v>
                </c:pt>
                <c:pt idx="10">
                  <c:v>100.33901753400001</c:v>
                </c:pt>
                <c:pt idx="11">
                  <c:v>102.036140575</c:v>
                </c:pt>
                <c:pt idx="12">
                  <c:v>102.099858789</c:v>
                </c:pt>
                <c:pt idx="13">
                  <c:v>102.504598074</c:v>
                </c:pt>
                <c:pt idx="14">
                  <c:v>101.653396882</c:v>
                </c:pt>
                <c:pt idx="15">
                  <c:v>103.015774232</c:v>
                </c:pt>
                <c:pt idx="16">
                  <c:v>103.506991232</c:v>
                </c:pt>
                <c:pt idx="17">
                  <c:v>106.472735911</c:v>
                </c:pt>
                <c:pt idx="18">
                  <c:v>108.31266894700001</c:v>
                </c:pt>
                <c:pt idx="19">
                  <c:v>109.32907240199999</c:v>
                </c:pt>
                <c:pt idx="20">
                  <c:v>109.235368341</c:v>
                </c:pt>
                <c:pt idx="21">
                  <c:v>112.06970074</c:v>
                </c:pt>
                <c:pt idx="22">
                  <c:v>107.145357504</c:v>
                </c:pt>
                <c:pt idx="23">
                  <c:v>107.355169774</c:v>
                </c:pt>
                <c:pt idx="24">
                  <c:v>107.34328834900001</c:v>
                </c:pt>
                <c:pt idx="25">
                  <c:v>105.64356378399999</c:v>
                </c:pt>
                <c:pt idx="26">
                  <c:v>104.78681014</c:v>
                </c:pt>
                <c:pt idx="27">
                  <c:v>103.113743825</c:v>
                </c:pt>
                <c:pt idx="28">
                  <c:v>103.608610404</c:v>
                </c:pt>
                <c:pt idx="29">
                  <c:v>101.150087125</c:v>
                </c:pt>
                <c:pt idx="30">
                  <c:v>101.131221653</c:v>
                </c:pt>
                <c:pt idx="31">
                  <c:v>100.972858496</c:v>
                </c:pt>
                <c:pt idx="32">
                  <c:v>103.18984471500001</c:v>
                </c:pt>
                <c:pt idx="33">
                  <c:v>100.89165719</c:v>
                </c:pt>
                <c:pt idx="34">
                  <c:v>106.277889135</c:v>
                </c:pt>
                <c:pt idx="35">
                  <c:v>107.59251901499999</c:v>
                </c:pt>
                <c:pt idx="36">
                  <c:v>108.54288374799999</c:v>
                </c:pt>
                <c:pt idx="37">
                  <c:v>104.244585133</c:v>
                </c:pt>
                <c:pt idx="38">
                  <c:v>105.36345714799999</c:v>
                </c:pt>
                <c:pt idx="39">
                  <c:v>100.362145113</c:v>
                </c:pt>
                <c:pt idx="40">
                  <c:v>97.917579068799995</c:v>
                </c:pt>
                <c:pt idx="41">
                  <c:v>96.654714078599994</c:v>
                </c:pt>
                <c:pt idx="42">
                  <c:v>94.245435636400003</c:v>
                </c:pt>
                <c:pt idx="43">
                  <c:v>98.017533991500002</c:v>
                </c:pt>
                <c:pt idx="44">
                  <c:v>96.179216706099993</c:v>
                </c:pt>
                <c:pt idx="45">
                  <c:v>96.066745785699993</c:v>
                </c:pt>
                <c:pt idx="46">
                  <c:v>95.215163242100004</c:v>
                </c:pt>
                <c:pt idx="47">
                  <c:v>97.064315243899998</c:v>
                </c:pt>
                <c:pt idx="48">
                  <c:v>96.787752980899995</c:v>
                </c:pt>
                <c:pt idx="49">
                  <c:v>95.0643119044</c:v>
                </c:pt>
                <c:pt idx="50">
                  <c:v>97.718012238699998</c:v>
                </c:pt>
                <c:pt idx="51">
                  <c:v>96.548512850099996</c:v>
                </c:pt>
                <c:pt idx="52">
                  <c:v>94.590844058000002</c:v>
                </c:pt>
                <c:pt idx="53">
                  <c:v>94.874373998899998</c:v>
                </c:pt>
                <c:pt idx="54">
                  <c:v>95.961787025099994</c:v>
                </c:pt>
                <c:pt idx="55">
                  <c:v>94.518234327900004</c:v>
                </c:pt>
                <c:pt idx="56">
                  <c:v>97.598340265900006</c:v>
                </c:pt>
                <c:pt idx="57">
                  <c:v>96.816676055000002</c:v>
                </c:pt>
                <c:pt idx="58">
                  <c:v>102.568778463</c:v>
                </c:pt>
                <c:pt idx="59">
                  <c:v>102.165707055</c:v>
                </c:pt>
                <c:pt idx="60">
                  <c:v>103.809725622</c:v>
                </c:pt>
                <c:pt idx="61">
                  <c:v>98.313681887499996</c:v>
                </c:pt>
                <c:pt idx="62">
                  <c:v>96.500812360799998</c:v>
                </c:pt>
                <c:pt idx="63">
                  <c:v>99.659384960099999</c:v>
                </c:pt>
                <c:pt idx="64">
                  <c:v>99.171491298899994</c:v>
                </c:pt>
                <c:pt idx="65">
                  <c:v>100.035150284</c:v>
                </c:pt>
                <c:pt idx="66">
                  <c:v>96.981651015400004</c:v>
                </c:pt>
                <c:pt idx="67">
                  <c:v>100.25029474999999</c:v>
                </c:pt>
                <c:pt idx="68">
                  <c:v>101.678914642</c:v>
                </c:pt>
                <c:pt idx="69">
                  <c:v>102.472815072</c:v>
                </c:pt>
                <c:pt idx="70">
                  <c:v>103.945551026</c:v>
                </c:pt>
                <c:pt idx="71">
                  <c:v>100.345225719</c:v>
                </c:pt>
                <c:pt idx="72">
                  <c:v>96.935502882799994</c:v>
                </c:pt>
                <c:pt idx="73">
                  <c:v>101.06938301</c:v>
                </c:pt>
                <c:pt idx="74">
                  <c:v>102.12988478699999</c:v>
                </c:pt>
                <c:pt idx="75">
                  <c:v>101.80672901699999</c:v>
                </c:pt>
                <c:pt idx="76">
                  <c:v>101.666108803</c:v>
                </c:pt>
                <c:pt idx="77">
                  <c:v>101.09481859100001</c:v>
                </c:pt>
                <c:pt idx="78">
                  <c:v>98.136744904300002</c:v>
                </c:pt>
                <c:pt idx="79">
                  <c:v>95.802506096299993</c:v>
                </c:pt>
                <c:pt idx="80">
                  <c:v>93.081805283099996</c:v>
                </c:pt>
                <c:pt idx="81">
                  <c:v>93.4501018208</c:v>
                </c:pt>
                <c:pt idx="82">
                  <c:v>91.118148936400004</c:v>
                </c:pt>
                <c:pt idx="83">
                  <c:v>89.924821860999998</c:v>
                </c:pt>
                <c:pt idx="84">
                  <c:v>87.638715322899998</c:v>
                </c:pt>
                <c:pt idx="85">
                  <c:v>90.6487891397</c:v>
                </c:pt>
                <c:pt idx="86">
                  <c:v>92.553902562100006</c:v>
                </c:pt>
                <c:pt idx="87">
                  <c:v>91.450528780499994</c:v>
                </c:pt>
                <c:pt idx="88">
                  <c:v>89.127335866300001</c:v>
                </c:pt>
                <c:pt idx="89">
                  <c:v>91.055610403399996</c:v>
                </c:pt>
                <c:pt idx="90">
                  <c:v>88.285269118900004</c:v>
                </c:pt>
                <c:pt idx="91">
                  <c:v>86.777041971800003</c:v>
                </c:pt>
                <c:pt idx="92">
                  <c:v>87.169415908299996</c:v>
                </c:pt>
                <c:pt idx="93">
                  <c:v>85.527684515299995</c:v>
                </c:pt>
                <c:pt idx="94">
                  <c:v>86.324303535499993</c:v>
                </c:pt>
                <c:pt idx="95">
                  <c:v>85.293074474999997</c:v>
                </c:pt>
                <c:pt idx="96">
                  <c:v>86.506415569500007</c:v>
                </c:pt>
                <c:pt idx="97">
                  <c:v>85.732516326999999</c:v>
                </c:pt>
                <c:pt idx="98">
                  <c:v>83.512741599500004</c:v>
                </c:pt>
                <c:pt idx="99">
                  <c:v>86.232855638499998</c:v>
                </c:pt>
                <c:pt idx="100">
                  <c:v>85.212399596300003</c:v>
                </c:pt>
              </c:numCache>
            </c:numRef>
          </c:yVal>
          <c:smooth val="1"/>
        </c:ser>
        <c:ser>
          <c:idx val="68"/>
          <c:order val="68"/>
          <c:tx>
            <c:strRef>
              <c:f>S_plus!$CC$1</c:f>
              <c:strCache>
                <c:ptCount val="1"/>
                <c:pt idx="0">
                  <c:v>Sim69</c:v>
                </c:pt>
              </c:strCache>
            </c:strRef>
          </c:tx>
          <c:marker>
            <c:symbol val="none"/>
          </c:marker>
          <c:xVal>
            <c:numRef>
              <c:f>S_plus!$L$2:$L$102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S_plus!$CC$2:$CC$102</c:f>
              <c:numCache>
                <c:formatCode>General</c:formatCode>
                <c:ptCount val="101"/>
                <c:pt idx="0">
                  <c:v>100</c:v>
                </c:pt>
                <c:pt idx="1">
                  <c:v>100.380917173</c:v>
                </c:pt>
                <c:pt idx="2">
                  <c:v>97.946631261199997</c:v>
                </c:pt>
                <c:pt idx="3">
                  <c:v>99.510766803300001</c:v>
                </c:pt>
                <c:pt idx="4">
                  <c:v>98.6136719167</c:v>
                </c:pt>
                <c:pt idx="5">
                  <c:v>97.602759659499995</c:v>
                </c:pt>
                <c:pt idx="6">
                  <c:v>98.291923816799994</c:v>
                </c:pt>
                <c:pt idx="7">
                  <c:v>97.267565171100003</c:v>
                </c:pt>
                <c:pt idx="8">
                  <c:v>98.909682949599997</c:v>
                </c:pt>
                <c:pt idx="9">
                  <c:v>98.168417307400006</c:v>
                </c:pt>
                <c:pt idx="10">
                  <c:v>99.769678739300005</c:v>
                </c:pt>
                <c:pt idx="11">
                  <c:v>103.576782397</c:v>
                </c:pt>
                <c:pt idx="12">
                  <c:v>102.484809809</c:v>
                </c:pt>
                <c:pt idx="13">
                  <c:v>102.189378905</c:v>
                </c:pt>
                <c:pt idx="14">
                  <c:v>100.19220153000001</c:v>
                </c:pt>
                <c:pt idx="15">
                  <c:v>97.478782735400003</c:v>
                </c:pt>
                <c:pt idx="16">
                  <c:v>95.154485018599999</c:v>
                </c:pt>
                <c:pt idx="17">
                  <c:v>95.461349387400006</c:v>
                </c:pt>
                <c:pt idx="18">
                  <c:v>92.825360348999993</c:v>
                </c:pt>
                <c:pt idx="19">
                  <c:v>90.310754408400001</c:v>
                </c:pt>
                <c:pt idx="20">
                  <c:v>91.294603849500007</c:v>
                </c:pt>
                <c:pt idx="21">
                  <c:v>94.491529878500003</c:v>
                </c:pt>
                <c:pt idx="22">
                  <c:v>94.123226952400003</c:v>
                </c:pt>
                <c:pt idx="23">
                  <c:v>93.981208433700004</c:v>
                </c:pt>
                <c:pt idx="24">
                  <c:v>94.842521547600001</c:v>
                </c:pt>
                <c:pt idx="25">
                  <c:v>96.622862867400002</c:v>
                </c:pt>
                <c:pt idx="26">
                  <c:v>97.3107629135</c:v>
                </c:pt>
                <c:pt idx="27">
                  <c:v>96.080313380299998</c:v>
                </c:pt>
                <c:pt idx="28">
                  <c:v>94.160635151999998</c:v>
                </c:pt>
                <c:pt idx="29">
                  <c:v>94.336745029499994</c:v>
                </c:pt>
                <c:pt idx="30">
                  <c:v>93.693193352500003</c:v>
                </c:pt>
                <c:pt idx="31">
                  <c:v>93.562827621400004</c:v>
                </c:pt>
                <c:pt idx="32">
                  <c:v>96.381863904200003</c:v>
                </c:pt>
                <c:pt idx="33">
                  <c:v>94.0636694138</c:v>
                </c:pt>
                <c:pt idx="34">
                  <c:v>91.153452871100001</c:v>
                </c:pt>
                <c:pt idx="35">
                  <c:v>91.660081541799997</c:v>
                </c:pt>
                <c:pt idx="36">
                  <c:v>92.747383143999997</c:v>
                </c:pt>
                <c:pt idx="37">
                  <c:v>92.9559818412</c:v>
                </c:pt>
                <c:pt idx="38">
                  <c:v>93.521070205900003</c:v>
                </c:pt>
                <c:pt idx="39">
                  <c:v>94.126844526400006</c:v>
                </c:pt>
                <c:pt idx="40">
                  <c:v>92.7024107835</c:v>
                </c:pt>
                <c:pt idx="41">
                  <c:v>96.018005394400006</c:v>
                </c:pt>
                <c:pt idx="42">
                  <c:v>92.827705085100007</c:v>
                </c:pt>
                <c:pt idx="43">
                  <c:v>90.398521504300007</c:v>
                </c:pt>
                <c:pt idx="44">
                  <c:v>87.755790729500006</c:v>
                </c:pt>
                <c:pt idx="45">
                  <c:v>87.937075276000002</c:v>
                </c:pt>
                <c:pt idx="46">
                  <c:v>89.562489049299998</c:v>
                </c:pt>
                <c:pt idx="47">
                  <c:v>87.201679683699993</c:v>
                </c:pt>
                <c:pt idx="48">
                  <c:v>86.8280615348</c:v>
                </c:pt>
                <c:pt idx="49">
                  <c:v>85.508375209799993</c:v>
                </c:pt>
                <c:pt idx="50">
                  <c:v>84.240537159900001</c:v>
                </c:pt>
                <c:pt idx="51">
                  <c:v>82.858141060999998</c:v>
                </c:pt>
                <c:pt idx="52">
                  <c:v>81.721813738099996</c:v>
                </c:pt>
                <c:pt idx="53">
                  <c:v>81.3954313455</c:v>
                </c:pt>
                <c:pt idx="54">
                  <c:v>82.177800784699997</c:v>
                </c:pt>
                <c:pt idx="55">
                  <c:v>79.4204428691</c:v>
                </c:pt>
                <c:pt idx="56">
                  <c:v>77.816932240599996</c:v>
                </c:pt>
                <c:pt idx="57">
                  <c:v>78.946550187300005</c:v>
                </c:pt>
                <c:pt idx="58">
                  <c:v>77.118782571300002</c:v>
                </c:pt>
                <c:pt idx="59">
                  <c:v>79.092163686700005</c:v>
                </c:pt>
                <c:pt idx="60">
                  <c:v>78.033390674499998</c:v>
                </c:pt>
                <c:pt idx="61">
                  <c:v>78.9705204224</c:v>
                </c:pt>
                <c:pt idx="62">
                  <c:v>76.721453584000002</c:v>
                </c:pt>
                <c:pt idx="63">
                  <c:v>75.880613120600003</c:v>
                </c:pt>
                <c:pt idx="64">
                  <c:v>75.006780702300006</c:v>
                </c:pt>
                <c:pt idx="65">
                  <c:v>72.916719315700007</c:v>
                </c:pt>
                <c:pt idx="66">
                  <c:v>72.774608735100003</c:v>
                </c:pt>
                <c:pt idx="67">
                  <c:v>74.479793361500001</c:v>
                </c:pt>
                <c:pt idx="68">
                  <c:v>73.872247172900003</c:v>
                </c:pt>
                <c:pt idx="69">
                  <c:v>74.4788891412</c:v>
                </c:pt>
                <c:pt idx="70">
                  <c:v>75.912464844699997</c:v>
                </c:pt>
                <c:pt idx="71">
                  <c:v>74.7828645166</c:v>
                </c:pt>
                <c:pt idx="72">
                  <c:v>75.9448510836</c:v>
                </c:pt>
                <c:pt idx="73">
                  <c:v>74.248120061799995</c:v>
                </c:pt>
                <c:pt idx="74">
                  <c:v>71.897269718199993</c:v>
                </c:pt>
                <c:pt idx="75">
                  <c:v>72.678722362800002</c:v>
                </c:pt>
                <c:pt idx="76">
                  <c:v>71.544120094299998</c:v>
                </c:pt>
                <c:pt idx="77">
                  <c:v>70.367421125999996</c:v>
                </c:pt>
                <c:pt idx="78">
                  <c:v>73.585052086800005</c:v>
                </c:pt>
                <c:pt idx="79">
                  <c:v>74.685674790799993</c:v>
                </c:pt>
                <c:pt idx="80">
                  <c:v>73.459586777599995</c:v>
                </c:pt>
                <c:pt idx="81">
                  <c:v>74.209240066600003</c:v>
                </c:pt>
                <c:pt idx="82">
                  <c:v>73.599813763300006</c:v>
                </c:pt>
                <c:pt idx="83">
                  <c:v>74.182949876500004</c:v>
                </c:pt>
                <c:pt idx="84">
                  <c:v>74.907592324600003</c:v>
                </c:pt>
                <c:pt idx="85">
                  <c:v>73.996551774599993</c:v>
                </c:pt>
                <c:pt idx="86">
                  <c:v>71.843232283899994</c:v>
                </c:pt>
                <c:pt idx="87">
                  <c:v>73.8645667941</c:v>
                </c:pt>
                <c:pt idx="88">
                  <c:v>73.430942962200007</c:v>
                </c:pt>
                <c:pt idx="89">
                  <c:v>73.868455574799995</c:v>
                </c:pt>
                <c:pt idx="90">
                  <c:v>75.9436970454</c:v>
                </c:pt>
                <c:pt idx="91">
                  <c:v>76.288124795800002</c:v>
                </c:pt>
                <c:pt idx="92">
                  <c:v>74.798586610399994</c:v>
                </c:pt>
                <c:pt idx="93">
                  <c:v>74.421075722099999</c:v>
                </c:pt>
                <c:pt idx="94">
                  <c:v>75.394263112900006</c:v>
                </c:pt>
                <c:pt idx="95">
                  <c:v>76.265695496500001</c:v>
                </c:pt>
                <c:pt idx="96">
                  <c:v>76.882007325499998</c:v>
                </c:pt>
                <c:pt idx="97">
                  <c:v>76.681693915300002</c:v>
                </c:pt>
                <c:pt idx="98">
                  <c:v>76.322659810700003</c:v>
                </c:pt>
                <c:pt idx="99">
                  <c:v>78.031943661900002</c:v>
                </c:pt>
                <c:pt idx="100">
                  <c:v>76.222821455200005</c:v>
                </c:pt>
              </c:numCache>
            </c:numRef>
          </c:yVal>
          <c:smooth val="1"/>
        </c:ser>
        <c:ser>
          <c:idx val="69"/>
          <c:order val="69"/>
          <c:tx>
            <c:strRef>
              <c:f>S_plus!$CD$1</c:f>
              <c:strCache>
                <c:ptCount val="1"/>
                <c:pt idx="0">
                  <c:v>Sim70</c:v>
                </c:pt>
              </c:strCache>
            </c:strRef>
          </c:tx>
          <c:marker>
            <c:symbol val="none"/>
          </c:marker>
          <c:xVal>
            <c:numRef>
              <c:f>S_plus!$L$2:$L$102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S_plus!$CD$2:$CD$102</c:f>
              <c:numCache>
                <c:formatCode>General</c:formatCode>
                <c:ptCount val="101"/>
                <c:pt idx="0">
                  <c:v>100</c:v>
                </c:pt>
                <c:pt idx="1">
                  <c:v>96.510045841199997</c:v>
                </c:pt>
                <c:pt idx="2">
                  <c:v>97.909673604299996</c:v>
                </c:pt>
                <c:pt idx="3">
                  <c:v>98.050174397299998</c:v>
                </c:pt>
                <c:pt idx="4">
                  <c:v>94.713962016099998</c:v>
                </c:pt>
                <c:pt idx="5">
                  <c:v>95.595493732700007</c:v>
                </c:pt>
                <c:pt idx="6">
                  <c:v>94.539367976999998</c:v>
                </c:pt>
                <c:pt idx="7">
                  <c:v>96.152457637500007</c:v>
                </c:pt>
                <c:pt idx="8">
                  <c:v>95.122846998499995</c:v>
                </c:pt>
                <c:pt idx="9">
                  <c:v>98.546927353599997</c:v>
                </c:pt>
                <c:pt idx="10">
                  <c:v>99.892608622899999</c:v>
                </c:pt>
                <c:pt idx="11">
                  <c:v>100.050295061</c:v>
                </c:pt>
                <c:pt idx="12">
                  <c:v>97.484907102700006</c:v>
                </c:pt>
                <c:pt idx="13">
                  <c:v>97.847897906499995</c:v>
                </c:pt>
                <c:pt idx="14">
                  <c:v>98.674607150900002</c:v>
                </c:pt>
                <c:pt idx="15">
                  <c:v>98.543721933100002</c:v>
                </c:pt>
                <c:pt idx="16">
                  <c:v>100.604146043</c:v>
                </c:pt>
                <c:pt idx="17">
                  <c:v>99.254264376099997</c:v>
                </c:pt>
                <c:pt idx="18">
                  <c:v>101.379661301</c:v>
                </c:pt>
                <c:pt idx="19">
                  <c:v>98.651946294599995</c:v>
                </c:pt>
                <c:pt idx="20">
                  <c:v>98.591219130200002</c:v>
                </c:pt>
                <c:pt idx="21">
                  <c:v>100.22670163700001</c:v>
                </c:pt>
                <c:pt idx="22">
                  <c:v>99.685918894400004</c:v>
                </c:pt>
                <c:pt idx="23">
                  <c:v>100.639793283</c:v>
                </c:pt>
                <c:pt idx="24">
                  <c:v>101.921501964</c:v>
                </c:pt>
                <c:pt idx="25">
                  <c:v>100.97959042399999</c:v>
                </c:pt>
                <c:pt idx="26">
                  <c:v>100.835900537</c:v>
                </c:pt>
                <c:pt idx="27">
                  <c:v>101.56359944800001</c:v>
                </c:pt>
                <c:pt idx="28">
                  <c:v>102.630651704</c:v>
                </c:pt>
                <c:pt idx="29">
                  <c:v>102.44524509199999</c:v>
                </c:pt>
                <c:pt idx="30">
                  <c:v>101.844612686</c:v>
                </c:pt>
                <c:pt idx="31">
                  <c:v>98.735253423700001</c:v>
                </c:pt>
                <c:pt idx="32">
                  <c:v>97.356967836699994</c:v>
                </c:pt>
                <c:pt idx="33">
                  <c:v>99.015220553500001</c:v>
                </c:pt>
                <c:pt idx="34">
                  <c:v>99.287168928</c:v>
                </c:pt>
                <c:pt idx="35">
                  <c:v>99.188773330999993</c:v>
                </c:pt>
                <c:pt idx="36">
                  <c:v>101.431406258</c:v>
                </c:pt>
                <c:pt idx="37">
                  <c:v>101.668095325</c:v>
                </c:pt>
                <c:pt idx="38">
                  <c:v>103.943608684</c:v>
                </c:pt>
                <c:pt idx="39">
                  <c:v>104.36567047299999</c:v>
                </c:pt>
                <c:pt idx="40">
                  <c:v>102.423935755</c:v>
                </c:pt>
                <c:pt idx="41">
                  <c:v>104.388900245</c:v>
                </c:pt>
                <c:pt idx="42">
                  <c:v>103.635356878</c:v>
                </c:pt>
                <c:pt idx="43">
                  <c:v>103.152687637</c:v>
                </c:pt>
                <c:pt idx="44">
                  <c:v>99.712903414899998</c:v>
                </c:pt>
                <c:pt idx="45">
                  <c:v>98.2296400667</c:v>
                </c:pt>
                <c:pt idx="46">
                  <c:v>95.0714980817</c:v>
                </c:pt>
                <c:pt idx="47">
                  <c:v>95.269798618799996</c:v>
                </c:pt>
                <c:pt idx="48">
                  <c:v>92.732316121300002</c:v>
                </c:pt>
                <c:pt idx="49">
                  <c:v>93.571218026099999</c:v>
                </c:pt>
                <c:pt idx="50">
                  <c:v>94.784796807800006</c:v>
                </c:pt>
                <c:pt idx="51">
                  <c:v>92.551065886100005</c:v>
                </c:pt>
                <c:pt idx="52">
                  <c:v>95.876075426</c:v>
                </c:pt>
                <c:pt idx="53">
                  <c:v>93.813732868200006</c:v>
                </c:pt>
                <c:pt idx="54">
                  <c:v>90.554590232999999</c:v>
                </c:pt>
                <c:pt idx="55">
                  <c:v>91.931192745399997</c:v>
                </c:pt>
                <c:pt idx="56">
                  <c:v>92.090127218099994</c:v>
                </c:pt>
                <c:pt idx="57">
                  <c:v>92.816013325300005</c:v>
                </c:pt>
                <c:pt idx="58">
                  <c:v>96.088664140500001</c:v>
                </c:pt>
                <c:pt idx="59">
                  <c:v>95.576462574299995</c:v>
                </c:pt>
                <c:pt idx="60">
                  <c:v>96.956431068200004</c:v>
                </c:pt>
                <c:pt idx="61">
                  <c:v>99.444930052499998</c:v>
                </c:pt>
                <c:pt idx="62">
                  <c:v>98.149167278700006</c:v>
                </c:pt>
                <c:pt idx="63">
                  <c:v>95.772769226899996</c:v>
                </c:pt>
                <c:pt idx="64">
                  <c:v>97.854866604799994</c:v>
                </c:pt>
                <c:pt idx="65">
                  <c:v>94.132929490400002</c:v>
                </c:pt>
                <c:pt idx="66">
                  <c:v>97.255978074799998</c:v>
                </c:pt>
                <c:pt idx="67">
                  <c:v>98.302179561700001</c:v>
                </c:pt>
                <c:pt idx="68">
                  <c:v>101.225959257</c:v>
                </c:pt>
                <c:pt idx="69">
                  <c:v>99.773247061399999</c:v>
                </c:pt>
                <c:pt idx="70">
                  <c:v>102.590748387</c:v>
                </c:pt>
                <c:pt idx="71">
                  <c:v>102.374084813</c:v>
                </c:pt>
                <c:pt idx="72">
                  <c:v>104.624266189</c:v>
                </c:pt>
                <c:pt idx="73">
                  <c:v>105.092176837</c:v>
                </c:pt>
                <c:pt idx="74">
                  <c:v>108.716255288</c:v>
                </c:pt>
                <c:pt idx="75">
                  <c:v>109.265927456</c:v>
                </c:pt>
                <c:pt idx="76">
                  <c:v>110.334443318</c:v>
                </c:pt>
                <c:pt idx="77">
                  <c:v>108.101339525</c:v>
                </c:pt>
                <c:pt idx="78">
                  <c:v>110.344487141</c:v>
                </c:pt>
                <c:pt idx="79">
                  <c:v>110.04597466200001</c:v>
                </c:pt>
                <c:pt idx="80">
                  <c:v>107.94471428</c:v>
                </c:pt>
                <c:pt idx="81">
                  <c:v>103.757294113</c:v>
                </c:pt>
                <c:pt idx="82">
                  <c:v>102.873265205</c:v>
                </c:pt>
                <c:pt idx="83">
                  <c:v>102.05605140900001</c:v>
                </c:pt>
                <c:pt idx="84">
                  <c:v>103.734028063</c:v>
                </c:pt>
                <c:pt idx="85">
                  <c:v>101.186024379</c:v>
                </c:pt>
                <c:pt idx="86">
                  <c:v>99.730459982699998</c:v>
                </c:pt>
                <c:pt idx="87">
                  <c:v>100.08338852999999</c:v>
                </c:pt>
                <c:pt idx="88">
                  <c:v>103.904440065</c:v>
                </c:pt>
                <c:pt idx="89">
                  <c:v>103.273941237</c:v>
                </c:pt>
                <c:pt idx="90">
                  <c:v>101.731680082</c:v>
                </c:pt>
                <c:pt idx="91">
                  <c:v>103.754578825</c:v>
                </c:pt>
                <c:pt idx="92">
                  <c:v>105.589881331</c:v>
                </c:pt>
                <c:pt idx="93">
                  <c:v>109.241351485</c:v>
                </c:pt>
                <c:pt idx="94">
                  <c:v>108.743552466</c:v>
                </c:pt>
                <c:pt idx="95">
                  <c:v>108.648315923</c:v>
                </c:pt>
                <c:pt idx="96">
                  <c:v>109.86568862999999</c:v>
                </c:pt>
                <c:pt idx="97">
                  <c:v>107.822057689</c:v>
                </c:pt>
                <c:pt idx="98">
                  <c:v>107.439059478</c:v>
                </c:pt>
                <c:pt idx="99">
                  <c:v>105.27183702799999</c:v>
                </c:pt>
                <c:pt idx="100">
                  <c:v>107.2219817</c:v>
                </c:pt>
              </c:numCache>
            </c:numRef>
          </c:yVal>
          <c:smooth val="1"/>
        </c:ser>
        <c:ser>
          <c:idx val="70"/>
          <c:order val="70"/>
          <c:tx>
            <c:strRef>
              <c:f>S_plus!$CE$1</c:f>
              <c:strCache>
                <c:ptCount val="1"/>
                <c:pt idx="0">
                  <c:v>Sim71</c:v>
                </c:pt>
              </c:strCache>
            </c:strRef>
          </c:tx>
          <c:marker>
            <c:symbol val="none"/>
          </c:marker>
          <c:xVal>
            <c:numRef>
              <c:f>S_plus!$L$2:$L$102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S_plus!$CE$2:$CE$102</c:f>
              <c:numCache>
                <c:formatCode>General</c:formatCode>
                <c:ptCount val="101"/>
                <c:pt idx="0">
                  <c:v>100</c:v>
                </c:pt>
                <c:pt idx="1">
                  <c:v>96.142921129300007</c:v>
                </c:pt>
                <c:pt idx="2">
                  <c:v>95.920209140799997</c:v>
                </c:pt>
                <c:pt idx="3">
                  <c:v>95.973181120099994</c:v>
                </c:pt>
                <c:pt idx="4">
                  <c:v>95.484013069100001</c:v>
                </c:pt>
                <c:pt idx="5">
                  <c:v>97.465536956899996</c:v>
                </c:pt>
                <c:pt idx="6">
                  <c:v>95.942039826200002</c:v>
                </c:pt>
                <c:pt idx="7">
                  <c:v>98.856205297200006</c:v>
                </c:pt>
                <c:pt idx="8">
                  <c:v>99.719434661700006</c:v>
                </c:pt>
                <c:pt idx="9">
                  <c:v>98.022396864699999</c:v>
                </c:pt>
                <c:pt idx="10">
                  <c:v>100.8466799</c:v>
                </c:pt>
                <c:pt idx="11">
                  <c:v>101.216567449</c:v>
                </c:pt>
                <c:pt idx="12">
                  <c:v>101.638381886</c:v>
                </c:pt>
                <c:pt idx="13">
                  <c:v>102.13992212300001</c:v>
                </c:pt>
                <c:pt idx="14">
                  <c:v>104.48968162</c:v>
                </c:pt>
                <c:pt idx="15">
                  <c:v>103.899216153</c:v>
                </c:pt>
                <c:pt idx="16">
                  <c:v>102.872494226</c:v>
                </c:pt>
                <c:pt idx="17">
                  <c:v>99.888692856899993</c:v>
                </c:pt>
                <c:pt idx="18">
                  <c:v>106.728226101</c:v>
                </c:pt>
                <c:pt idx="19">
                  <c:v>106.877085467</c:v>
                </c:pt>
                <c:pt idx="20">
                  <c:v>107.929359991</c:v>
                </c:pt>
                <c:pt idx="21">
                  <c:v>109.85355496699999</c:v>
                </c:pt>
                <c:pt idx="22">
                  <c:v>111.179106214</c:v>
                </c:pt>
                <c:pt idx="23">
                  <c:v>112.33312657899999</c:v>
                </c:pt>
                <c:pt idx="24">
                  <c:v>109.37901304499999</c:v>
                </c:pt>
                <c:pt idx="25">
                  <c:v>110.60497703999999</c:v>
                </c:pt>
                <c:pt idx="26">
                  <c:v>104.91948484300001</c:v>
                </c:pt>
                <c:pt idx="27">
                  <c:v>108.122888992</c:v>
                </c:pt>
                <c:pt idx="28">
                  <c:v>107.061347879</c:v>
                </c:pt>
                <c:pt idx="29">
                  <c:v>106.024620017</c:v>
                </c:pt>
                <c:pt idx="30">
                  <c:v>108.61555694099999</c:v>
                </c:pt>
                <c:pt idx="31">
                  <c:v>107.739099634</c:v>
                </c:pt>
                <c:pt idx="32">
                  <c:v>109.85388619699999</c:v>
                </c:pt>
                <c:pt idx="33">
                  <c:v>107.993131206</c:v>
                </c:pt>
                <c:pt idx="34">
                  <c:v>107.753107382</c:v>
                </c:pt>
                <c:pt idx="35">
                  <c:v>105.811859137</c:v>
                </c:pt>
                <c:pt idx="36">
                  <c:v>104.969846062</c:v>
                </c:pt>
                <c:pt idx="37">
                  <c:v>104.157601826</c:v>
                </c:pt>
                <c:pt idx="38">
                  <c:v>102.40690582400001</c:v>
                </c:pt>
                <c:pt idx="39">
                  <c:v>100.969747068</c:v>
                </c:pt>
                <c:pt idx="40">
                  <c:v>99.247312593100006</c:v>
                </c:pt>
                <c:pt idx="41">
                  <c:v>100.348543691</c:v>
                </c:pt>
                <c:pt idx="42">
                  <c:v>98.279788661200001</c:v>
                </c:pt>
                <c:pt idx="43">
                  <c:v>96.479641107099994</c:v>
                </c:pt>
                <c:pt idx="44">
                  <c:v>94.162424138299997</c:v>
                </c:pt>
                <c:pt idx="45">
                  <c:v>93.5046336435</c:v>
                </c:pt>
                <c:pt idx="46">
                  <c:v>94.557785360599993</c:v>
                </c:pt>
                <c:pt idx="47">
                  <c:v>92.210052426100006</c:v>
                </c:pt>
                <c:pt idx="48">
                  <c:v>93.0193674585</c:v>
                </c:pt>
                <c:pt idx="49">
                  <c:v>94.008784768400005</c:v>
                </c:pt>
                <c:pt idx="50">
                  <c:v>94.903826751500006</c:v>
                </c:pt>
                <c:pt idx="51">
                  <c:v>92.5234412131</c:v>
                </c:pt>
                <c:pt idx="52">
                  <c:v>93.186007472300005</c:v>
                </c:pt>
                <c:pt idx="53">
                  <c:v>91.102595128999994</c:v>
                </c:pt>
                <c:pt idx="54">
                  <c:v>88.841364670800004</c:v>
                </c:pt>
                <c:pt idx="55">
                  <c:v>86.305556079400006</c:v>
                </c:pt>
                <c:pt idx="56">
                  <c:v>87.040896759899994</c:v>
                </c:pt>
                <c:pt idx="57">
                  <c:v>85.477536028299994</c:v>
                </c:pt>
                <c:pt idx="58">
                  <c:v>84.939103181700006</c:v>
                </c:pt>
                <c:pt idx="59">
                  <c:v>83.674567236499996</c:v>
                </c:pt>
                <c:pt idx="60">
                  <c:v>81.613530568300007</c:v>
                </c:pt>
                <c:pt idx="61">
                  <c:v>82.111458040000002</c:v>
                </c:pt>
                <c:pt idx="62">
                  <c:v>82.979451240800003</c:v>
                </c:pt>
                <c:pt idx="63">
                  <c:v>81.714714971800007</c:v>
                </c:pt>
                <c:pt idx="64">
                  <c:v>82.043256368599998</c:v>
                </c:pt>
                <c:pt idx="65">
                  <c:v>79.7992983006</c:v>
                </c:pt>
                <c:pt idx="66">
                  <c:v>82.118404057899994</c:v>
                </c:pt>
                <c:pt idx="67">
                  <c:v>82.0889878893</c:v>
                </c:pt>
                <c:pt idx="68">
                  <c:v>82.737090078199998</c:v>
                </c:pt>
                <c:pt idx="69">
                  <c:v>78.611993942599995</c:v>
                </c:pt>
                <c:pt idx="70">
                  <c:v>77.212591180800004</c:v>
                </c:pt>
                <c:pt idx="71">
                  <c:v>76.9327171682</c:v>
                </c:pt>
                <c:pt idx="72">
                  <c:v>75.3256021495</c:v>
                </c:pt>
                <c:pt idx="73">
                  <c:v>76.377822253199994</c:v>
                </c:pt>
                <c:pt idx="74">
                  <c:v>77.987866551600007</c:v>
                </c:pt>
                <c:pt idx="75">
                  <c:v>76.412604404700005</c:v>
                </c:pt>
                <c:pt idx="76">
                  <c:v>76.783185779999997</c:v>
                </c:pt>
                <c:pt idx="77">
                  <c:v>80.705858593599999</c:v>
                </c:pt>
                <c:pt idx="78">
                  <c:v>80.917968186600007</c:v>
                </c:pt>
                <c:pt idx="79">
                  <c:v>78.864751384900003</c:v>
                </c:pt>
                <c:pt idx="80">
                  <c:v>77.877430206200003</c:v>
                </c:pt>
                <c:pt idx="81">
                  <c:v>77.963016091599997</c:v>
                </c:pt>
                <c:pt idx="82">
                  <c:v>79.2799682797</c:v>
                </c:pt>
                <c:pt idx="83">
                  <c:v>79.787118564899998</c:v>
                </c:pt>
                <c:pt idx="84">
                  <c:v>79.906571649900002</c:v>
                </c:pt>
                <c:pt idx="85">
                  <c:v>79.525894340799994</c:v>
                </c:pt>
                <c:pt idx="86">
                  <c:v>82.8383230142</c:v>
                </c:pt>
                <c:pt idx="87">
                  <c:v>83.322310316799999</c:v>
                </c:pt>
                <c:pt idx="88">
                  <c:v>82.774104453099994</c:v>
                </c:pt>
                <c:pt idx="89">
                  <c:v>83.510649681000004</c:v>
                </c:pt>
                <c:pt idx="90">
                  <c:v>81.3897105522</c:v>
                </c:pt>
                <c:pt idx="91">
                  <c:v>78.4983248761</c:v>
                </c:pt>
                <c:pt idx="92">
                  <c:v>78.369361331799993</c:v>
                </c:pt>
                <c:pt idx="93">
                  <c:v>78.211327251599997</c:v>
                </c:pt>
                <c:pt idx="94">
                  <c:v>77.410194535000002</c:v>
                </c:pt>
                <c:pt idx="95">
                  <c:v>76.432619120799998</c:v>
                </c:pt>
                <c:pt idx="96">
                  <c:v>78.910707854199998</c:v>
                </c:pt>
                <c:pt idx="97">
                  <c:v>81.9408678084</c:v>
                </c:pt>
                <c:pt idx="98">
                  <c:v>80.866026258299996</c:v>
                </c:pt>
                <c:pt idx="99">
                  <c:v>81.624649228199999</c:v>
                </c:pt>
                <c:pt idx="100">
                  <c:v>81.6771318049</c:v>
                </c:pt>
              </c:numCache>
            </c:numRef>
          </c:yVal>
          <c:smooth val="1"/>
        </c:ser>
        <c:ser>
          <c:idx val="71"/>
          <c:order val="71"/>
          <c:tx>
            <c:strRef>
              <c:f>S_plus!$CF$1</c:f>
              <c:strCache>
                <c:ptCount val="1"/>
                <c:pt idx="0">
                  <c:v>Sim72</c:v>
                </c:pt>
              </c:strCache>
            </c:strRef>
          </c:tx>
          <c:marker>
            <c:symbol val="none"/>
          </c:marker>
          <c:xVal>
            <c:numRef>
              <c:f>S_plus!$L$2:$L$102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S_plus!$CF$2:$CF$102</c:f>
              <c:numCache>
                <c:formatCode>General</c:formatCode>
                <c:ptCount val="101"/>
                <c:pt idx="0">
                  <c:v>100</c:v>
                </c:pt>
                <c:pt idx="1">
                  <c:v>98.856149849700003</c:v>
                </c:pt>
                <c:pt idx="2">
                  <c:v>95.883321657600007</c:v>
                </c:pt>
                <c:pt idx="3">
                  <c:v>97.585472658300006</c:v>
                </c:pt>
                <c:pt idx="4">
                  <c:v>96.164029777099998</c:v>
                </c:pt>
                <c:pt idx="5">
                  <c:v>95.843155219400003</c:v>
                </c:pt>
                <c:pt idx="6">
                  <c:v>95.148837217899995</c:v>
                </c:pt>
                <c:pt idx="7">
                  <c:v>96.475594397699993</c:v>
                </c:pt>
                <c:pt idx="8">
                  <c:v>97.2284104923</c:v>
                </c:pt>
                <c:pt idx="9">
                  <c:v>96.686531227499998</c:v>
                </c:pt>
                <c:pt idx="10">
                  <c:v>97.694610214899996</c:v>
                </c:pt>
                <c:pt idx="11">
                  <c:v>98.612563274999999</c:v>
                </c:pt>
                <c:pt idx="12">
                  <c:v>100.629013112</c:v>
                </c:pt>
                <c:pt idx="13">
                  <c:v>100.73833949199999</c:v>
                </c:pt>
                <c:pt idx="14">
                  <c:v>99.205577501199997</c:v>
                </c:pt>
                <c:pt idx="15">
                  <c:v>95.061609597699999</c:v>
                </c:pt>
                <c:pt idx="16">
                  <c:v>94.714059282299999</c:v>
                </c:pt>
                <c:pt idx="17">
                  <c:v>95.3647464087</c:v>
                </c:pt>
                <c:pt idx="18">
                  <c:v>93.770079926199998</c:v>
                </c:pt>
                <c:pt idx="19">
                  <c:v>93.977949214000006</c:v>
                </c:pt>
                <c:pt idx="20">
                  <c:v>92.233740577700004</c:v>
                </c:pt>
                <c:pt idx="21">
                  <c:v>92.643760437400005</c:v>
                </c:pt>
                <c:pt idx="22">
                  <c:v>91.065836973399996</c:v>
                </c:pt>
                <c:pt idx="23">
                  <c:v>94.202910210699997</c:v>
                </c:pt>
                <c:pt idx="24">
                  <c:v>91.655310464799996</c:v>
                </c:pt>
                <c:pt idx="25">
                  <c:v>91.201947904500003</c:v>
                </c:pt>
                <c:pt idx="26">
                  <c:v>90.892134524200003</c:v>
                </c:pt>
                <c:pt idx="27">
                  <c:v>90.019592218</c:v>
                </c:pt>
                <c:pt idx="28">
                  <c:v>88.828526394700006</c:v>
                </c:pt>
                <c:pt idx="29">
                  <c:v>88.189194170299999</c:v>
                </c:pt>
                <c:pt idx="30">
                  <c:v>85.925744588300006</c:v>
                </c:pt>
                <c:pt idx="31">
                  <c:v>87.4031077052</c:v>
                </c:pt>
                <c:pt idx="32">
                  <c:v>87.3587341689</c:v>
                </c:pt>
                <c:pt idx="33">
                  <c:v>87.751533696600006</c:v>
                </c:pt>
                <c:pt idx="34">
                  <c:v>85.989184867500001</c:v>
                </c:pt>
                <c:pt idx="35">
                  <c:v>84.202257631500004</c:v>
                </c:pt>
                <c:pt idx="36">
                  <c:v>83.884518710099996</c:v>
                </c:pt>
                <c:pt idx="37">
                  <c:v>83.955099397799998</c:v>
                </c:pt>
                <c:pt idx="38">
                  <c:v>86.113914073299995</c:v>
                </c:pt>
                <c:pt idx="39">
                  <c:v>85.076936415099993</c:v>
                </c:pt>
                <c:pt idx="40">
                  <c:v>86.189550429899995</c:v>
                </c:pt>
                <c:pt idx="41">
                  <c:v>88.110375039999994</c:v>
                </c:pt>
                <c:pt idx="42">
                  <c:v>89.418487280600004</c:v>
                </c:pt>
                <c:pt idx="43">
                  <c:v>91.589787815799994</c:v>
                </c:pt>
                <c:pt idx="44">
                  <c:v>92.525668277500003</c:v>
                </c:pt>
                <c:pt idx="45">
                  <c:v>92.885358943100002</c:v>
                </c:pt>
                <c:pt idx="46">
                  <c:v>91.629711013800005</c:v>
                </c:pt>
                <c:pt idx="47">
                  <c:v>90.811546044300002</c:v>
                </c:pt>
                <c:pt idx="48">
                  <c:v>88.234201654900005</c:v>
                </c:pt>
                <c:pt idx="49">
                  <c:v>88.8414876561</c:v>
                </c:pt>
                <c:pt idx="50">
                  <c:v>90.784902559900004</c:v>
                </c:pt>
                <c:pt idx="51">
                  <c:v>88.930391205399999</c:v>
                </c:pt>
                <c:pt idx="52">
                  <c:v>86.603141616599999</c:v>
                </c:pt>
                <c:pt idx="53">
                  <c:v>86.558710220199998</c:v>
                </c:pt>
                <c:pt idx="54">
                  <c:v>85.364105616299994</c:v>
                </c:pt>
                <c:pt idx="55">
                  <c:v>85.859548895700001</c:v>
                </c:pt>
                <c:pt idx="56">
                  <c:v>83.534015249299998</c:v>
                </c:pt>
                <c:pt idx="57">
                  <c:v>82.362532055900004</c:v>
                </c:pt>
                <c:pt idx="58">
                  <c:v>84.138549588299995</c:v>
                </c:pt>
                <c:pt idx="59">
                  <c:v>83.509653933600006</c:v>
                </c:pt>
                <c:pt idx="60">
                  <c:v>82.330789899500004</c:v>
                </c:pt>
                <c:pt idx="61">
                  <c:v>83.591740393899997</c:v>
                </c:pt>
                <c:pt idx="62">
                  <c:v>85.276137198300006</c:v>
                </c:pt>
                <c:pt idx="63">
                  <c:v>84.398424330300003</c:v>
                </c:pt>
                <c:pt idx="64">
                  <c:v>83.490189981499995</c:v>
                </c:pt>
                <c:pt idx="65">
                  <c:v>81.489480747100004</c:v>
                </c:pt>
                <c:pt idx="66">
                  <c:v>81.655891630499994</c:v>
                </c:pt>
                <c:pt idx="67">
                  <c:v>82.162960938300003</c:v>
                </c:pt>
                <c:pt idx="68">
                  <c:v>80.679158274900004</c:v>
                </c:pt>
                <c:pt idx="69">
                  <c:v>77.946366886299998</c:v>
                </c:pt>
                <c:pt idx="70">
                  <c:v>79.302236901599997</c:v>
                </c:pt>
                <c:pt idx="71">
                  <c:v>82.239896748600003</c:v>
                </c:pt>
                <c:pt idx="72">
                  <c:v>79.840848125999997</c:v>
                </c:pt>
                <c:pt idx="73">
                  <c:v>78.601942500000007</c:v>
                </c:pt>
                <c:pt idx="74">
                  <c:v>78.728738768499994</c:v>
                </c:pt>
                <c:pt idx="75">
                  <c:v>80.5335477279</c:v>
                </c:pt>
                <c:pt idx="76">
                  <c:v>79.7833521644</c:v>
                </c:pt>
                <c:pt idx="77">
                  <c:v>79.615163737700001</c:v>
                </c:pt>
                <c:pt idx="78">
                  <c:v>77.816624768300002</c:v>
                </c:pt>
                <c:pt idx="79">
                  <c:v>76.319117473299997</c:v>
                </c:pt>
                <c:pt idx="80">
                  <c:v>75.9320737595</c:v>
                </c:pt>
                <c:pt idx="81">
                  <c:v>75.735500752299998</c:v>
                </c:pt>
                <c:pt idx="82">
                  <c:v>72.554951054300005</c:v>
                </c:pt>
                <c:pt idx="83">
                  <c:v>73.079703137500005</c:v>
                </c:pt>
                <c:pt idx="84">
                  <c:v>74.361885695300003</c:v>
                </c:pt>
                <c:pt idx="85">
                  <c:v>72.393775907800006</c:v>
                </c:pt>
                <c:pt idx="86">
                  <c:v>74.475915235499997</c:v>
                </c:pt>
                <c:pt idx="87">
                  <c:v>73.514281753500001</c:v>
                </c:pt>
                <c:pt idx="88">
                  <c:v>71.574120014000002</c:v>
                </c:pt>
                <c:pt idx="89">
                  <c:v>73.803752399800004</c:v>
                </c:pt>
                <c:pt idx="90">
                  <c:v>75.242976563699997</c:v>
                </c:pt>
                <c:pt idx="91">
                  <c:v>75.472448788600005</c:v>
                </c:pt>
                <c:pt idx="92">
                  <c:v>77.822982405100007</c:v>
                </c:pt>
                <c:pt idx="93">
                  <c:v>76.711748712499997</c:v>
                </c:pt>
                <c:pt idx="94">
                  <c:v>74.650489911899996</c:v>
                </c:pt>
                <c:pt idx="95">
                  <c:v>75.724194604600001</c:v>
                </c:pt>
                <c:pt idx="96">
                  <c:v>75.944763567600006</c:v>
                </c:pt>
                <c:pt idx="97">
                  <c:v>75.334227268700005</c:v>
                </c:pt>
                <c:pt idx="98">
                  <c:v>74.570599326500002</c:v>
                </c:pt>
                <c:pt idx="99">
                  <c:v>73.883679761699995</c:v>
                </c:pt>
                <c:pt idx="100">
                  <c:v>72.024807093199996</c:v>
                </c:pt>
              </c:numCache>
            </c:numRef>
          </c:yVal>
          <c:smooth val="1"/>
        </c:ser>
        <c:ser>
          <c:idx val="72"/>
          <c:order val="72"/>
          <c:tx>
            <c:strRef>
              <c:f>S_plus!$CG$1</c:f>
              <c:strCache>
                <c:ptCount val="1"/>
                <c:pt idx="0">
                  <c:v>Sim73</c:v>
                </c:pt>
              </c:strCache>
            </c:strRef>
          </c:tx>
          <c:marker>
            <c:symbol val="none"/>
          </c:marker>
          <c:xVal>
            <c:numRef>
              <c:f>S_plus!$L$2:$L$102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S_plus!$CG$2:$CG$102</c:f>
              <c:numCache>
                <c:formatCode>General</c:formatCode>
                <c:ptCount val="101"/>
                <c:pt idx="0">
                  <c:v>100</c:v>
                </c:pt>
                <c:pt idx="1">
                  <c:v>99.450651718200007</c:v>
                </c:pt>
                <c:pt idx="2">
                  <c:v>97.172076045899999</c:v>
                </c:pt>
                <c:pt idx="3">
                  <c:v>95.972845734499998</c:v>
                </c:pt>
                <c:pt idx="4">
                  <c:v>94.511161911900004</c:v>
                </c:pt>
                <c:pt idx="5">
                  <c:v>91.683721507100003</c:v>
                </c:pt>
                <c:pt idx="6">
                  <c:v>91.553653434799998</c:v>
                </c:pt>
                <c:pt idx="7">
                  <c:v>91.003303779199996</c:v>
                </c:pt>
                <c:pt idx="8">
                  <c:v>92.047971457599999</c:v>
                </c:pt>
                <c:pt idx="9">
                  <c:v>89.829774149800002</c:v>
                </c:pt>
                <c:pt idx="10">
                  <c:v>91.566904527099993</c:v>
                </c:pt>
                <c:pt idx="11">
                  <c:v>90.375021823400004</c:v>
                </c:pt>
                <c:pt idx="12">
                  <c:v>90.296685638100001</c:v>
                </c:pt>
                <c:pt idx="13">
                  <c:v>89.6920626175</c:v>
                </c:pt>
                <c:pt idx="14">
                  <c:v>87.833332663199997</c:v>
                </c:pt>
                <c:pt idx="15">
                  <c:v>88.569431766899996</c:v>
                </c:pt>
                <c:pt idx="16">
                  <c:v>88.724360895700002</c:v>
                </c:pt>
                <c:pt idx="17">
                  <c:v>88.046728295799994</c:v>
                </c:pt>
                <c:pt idx="18">
                  <c:v>89.217670583599997</c:v>
                </c:pt>
                <c:pt idx="19">
                  <c:v>92.288423563500004</c:v>
                </c:pt>
                <c:pt idx="20">
                  <c:v>93.094680546600003</c:v>
                </c:pt>
                <c:pt idx="21">
                  <c:v>90.9802092794</c:v>
                </c:pt>
                <c:pt idx="22">
                  <c:v>92.038039625799996</c:v>
                </c:pt>
                <c:pt idx="23">
                  <c:v>92.944127817099996</c:v>
                </c:pt>
                <c:pt idx="24">
                  <c:v>89.588400730800004</c:v>
                </c:pt>
                <c:pt idx="25">
                  <c:v>92.022511038000005</c:v>
                </c:pt>
                <c:pt idx="26">
                  <c:v>90.994979081699995</c:v>
                </c:pt>
                <c:pt idx="27">
                  <c:v>90.913910922599996</c:v>
                </c:pt>
                <c:pt idx="28">
                  <c:v>93.137088516099993</c:v>
                </c:pt>
                <c:pt idx="29">
                  <c:v>93.713792079100003</c:v>
                </c:pt>
                <c:pt idx="30">
                  <c:v>94.381172100399993</c:v>
                </c:pt>
                <c:pt idx="31">
                  <c:v>95.615306687200004</c:v>
                </c:pt>
                <c:pt idx="32">
                  <c:v>95.162742815499996</c:v>
                </c:pt>
                <c:pt idx="33">
                  <c:v>93.846503440800007</c:v>
                </c:pt>
                <c:pt idx="34">
                  <c:v>92.8292289802</c:v>
                </c:pt>
                <c:pt idx="35">
                  <c:v>93.269365107200002</c:v>
                </c:pt>
                <c:pt idx="36">
                  <c:v>93.8736295219</c:v>
                </c:pt>
                <c:pt idx="37">
                  <c:v>99.663072508699997</c:v>
                </c:pt>
                <c:pt idx="38">
                  <c:v>96.834296434300001</c:v>
                </c:pt>
                <c:pt idx="39">
                  <c:v>97.679473496400007</c:v>
                </c:pt>
                <c:pt idx="40">
                  <c:v>97.652966472100005</c:v>
                </c:pt>
                <c:pt idx="41">
                  <c:v>99.3290262111</c:v>
                </c:pt>
                <c:pt idx="42">
                  <c:v>97.249202630200003</c:v>
                </c:pt>
                <c:pt idx="43">
                  <c:v>95.552777739800007</c:v>
                </c:pt>
                <c:pt idx="44">
                  <c:v>96.186188537999996</c:v>
                </c:pt>
                <c:pt idx="45">
                  <c:v>95.88334073</c:v>
                </c:pt>
                <c:pt idx="46">
                  <c:v>95.694905789100005</c:v>
                </c:pt>
                <c:pt idx="47">
                  <c:v>95.954475697600003</c:v>
                </c:pt>
                <c:pt idx="48">
                  <c:v>97.595446789999997</c:v>
                </c:pt>
                <c:pt idx="49">
                  <c:v>98.982293362700005</c:v>
                </c:pt>
                <c:pt idx="50">
                  <c:v>100.251167782</c:v>
                </c:pt>
                <c:pt idx="51">
                  <c:v>99.202699265299998</c:v>
                </c:pt>
                <c:pt idx="52">
                  <c:v>99.553579299399999</c:v>
                </c:pt>
                <c:pt idx="53">
                  <c:v>97.195374726500006</c:v>
                </c:pt>
                <c:pt idx="54">
                  <c:v>97.008960922100002</c:v>
                </c:pt>
                <c:pt idx="55">
                  <c:v>98.801581095299994</c:v>
                </c:pt>
                <c:pt idx="56">
                  <c:v>101.04263868</c:v>
                </c:pt>
                <c:pt idx="57">
                  <c:v>98.566715391000002</c:v>
                </c:pt>
                <c:pt idx="58">
                  <c:v>97.265703391599999</c:v>
                </c:pt>
                <c:pt idx="59">
                  <c:v>95.641606724400006</c:v>
                </c:pt>
                <c:pt idx="60">
                  <c:v>91.7673780577</c:v>
                </c:pt>
                <c:pt idx="61">
                  <c:v>91.157816575200002</c:v>
                </c:pt>
                <c:pt idx="62">
                  <c:v>93.252268760199996</c:v>
                </c:pt>
                <c:pt idx="63">
                  <c:v>92.014050710700005</c:v>
                </c:pt>
                <c:pt idx="64">
                  <c:v>93.149696793499999</c:v>
                </c:pt>
                <c:pt idx="65">
                  <c:v>95.477872245200004</c:v>
                </c:pt>
                <c:pt idx="66">
                  <c:v>98.741895429400003</c:v>
                </c:pt>
                <c:pt idx="67">
                  <c:v>99.733551372400001</c:v>
                </c:pt>
                <c:pt idx="68">
                  <c:v>99.618826114800001</c:v>
                </c:pt>
                <c:pt idx="69">
                  <c:v>99.552051315300005</c:v>
                </c:pt>
                <c:pt idx="70">
                  <c:v>100.42499971300001</c:v>
                </c:pt>
                <c:pt idx="71">
                  <c:v>103.05179273500001</c:v>
                </c:pt>
                <c:pt idx="72">
                  <c:v>100.125975541</c:v>
                </c:pt>
                <c:pt idx="73">
                  <c:v>102.651438493</c:v>
                </c:pt>
                <c:pt idx="74">
                  <c:v>105.99364767199999</c:v>
                </c:pt>
                <c:pt idx="75">
                  <c:v>102.984235117</c:v>
                </c:pt>
                <c:pt idx="76">
                  <c:v>106.363080068</c:v>
                </c:pt>
                <c:pt idx="77">
                  <c:v>103.728802281</c:v>
                </c:pt>
                <c:pt idx="78">
                  <c:v>103.162972818</c:v>
                </c:pt>
                <c:pt idx="79">
                  <c:v>104.870611661</c:v>
                </c:pt>
                <c:pt idx="80">
                  <c:v>104.846979803</c:v>
                </c:pt>
                <c:pt idx="81">
                  <c:v>104.23969713300001</c:v>
                </c:pt>
                <c:pt idx="82">
                  <c:v>105.80335321</c:v>
                </c:pt>
                <c:pt idx="83">
                  <c:v>105.457005889</c:v>
                </c:pt>
                <c:pt idx="84">
                  <c:v>102.725295491</c:v>
                </c:pt>
                <c:pt idx="85">
                  <c:v>106.40876412599999</c:v>
                </c:pt>
                <c:pt idx="86">
                  <c:v>108.288279432</c:v>
                </c:pt>
                <c:pt idx="87">
                  <c:v>107.728411411</c:v>
                </c:pt>
                <c:pt idx="88">
                  <c:v>107.42852711099999</c:v>
                </c:pt>
                <c:pt idx="89">
                  <c:v>107.26277844400001</c:v>
                </c:pt>
                <c:pt idx="90">
                  <c:v>108.01829101600001</c:v>
                </c:pt>
                <c:pt idx="91">
                  <c:v>108.466130104</c:v>
                </c:pt>
                <c:pt idx="92">
                  <c:v>106.268108376</c:v>
                </c:pt>
                <c:pt idx="93">
                  <c:v>107.256207594</c:v>
                </c:pt>
                <c:pt idx="94">
                  <c:v>109.59188938200001</c:v>
                </c:pt>
                <c:pt idx="95">
                  <c:v>109.06796170600001</c:v>
                </c:pt>
                <c:pt idx="96">
                  <c:v>107.454893184</c:v>
                </c:pt>
                <c:pt idx="97">
                  <c:v>109.75686878800001</c:v>
                </c:pt>
                <c:pt idx="98">
                  <c:v>113.873788913</c:v>
                </c:pt>
                <c:pt idx="99">
                  <c:v>109.617106562</c:v>
                </c:pt>
                <c:pt idx="100">
                  <c:v>110.251030863</c:v>
                </c:pt>
              </c:numCache>
            </c:numRef>
          </c:yVal>
          <c:smooth val="1"/>
        </c:ser>
        <c:ser>
          <c:idx val="73"/>
          <c:order val="73"/>
          <c:tx>
            <c:strRef>
              <c:f>S_plus!$CH$1</c:f>
              <c:strCache>
                <c:ptCount val="1"/>
                <c:pt idx="0">
                  <c:v>Sim74</c:v>
                </c:pt>
              </c:strCache>
            </c:strRef>
          </c:tx>
          <c:marker>
            <c:symbol val="none"/>
          </c:marker>
          <c:xVal>
            <c:numRef>
              <c:f>S_plus!$L$2:$L$102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S_plus!$CH$2:$CH$102</c:f>
              <c:numCache>
                <c:formatCode>General</c:formatCode>
                <c:ptCount val="101"/>
                <c:pt idx="0">
                  <c:v>100</c:v>
                </c:pt>
                <c:pt idx="1">
                  <c:v>101.685514109</c:v>
                </c:pt>
                <c:pt idx="2">
                  <c:v>101.224159347</c:v>
                </c:pt>
                <c:pt idx="3">
                  <c:v>105.512684767</c:v>
                </c:pt>
                <c:pt idx="4">
                  <c:v>105.06706870399999</c:v>
                </c:pt>
                <c:pt idx="5">
                  <c:v>106.323283823</c:v>
                </c:pt>
                <c:pt idx="6">
                  <c:v>107.115145106</c:v>
                </c:pt>
                <c:pt idx="7">
                  <c:v>104.75793973</c:v>
                </c:pt>
                <c:pt idx="8">
                  <c:v>106.10123773700001</c:v>
                </c:pt>
                <c:pt idx="9">
                  <c:v>106.42688959199999</c:v>
                </c:pt>
                <c:pt idx="10">
                  <c:v>107.158644267</c:v>
                </c:pt>
                <c:pt idx="11">
                  <c:v>108.492848868</c:v>
                </c:pt>
                <c:pt idx="12">
                  <c:v>110.26222948</c:v>
                </c:pt>
                <c:pt idx="13">
                  <c:v>111.472004454</c:v>
                </c:pt>
                <c:pt idx="14">
                  <c:v>108.433963486</c:v>
                </c:pt>
                <c:pt idx="15">
                  <c:v>109.30752892700001</c:v>
                </c:pt>
                <c:pt idx="16">
                  <c:v>110.882459693</c:v>
                </c:pt>
                <c:pt idx="17">
                  <c:v>112.302523185</c:v>
                </c:pt>
                <c:pt idx="18">
                  <c:v>116.45414266</c:v>
                </c:pt>
                <c:pt idx="19">
                  <c:v>116.89811835499999</c:v>
                </c:pt>
                <c:pt idx="20">
                  <c:v>115.397444002</c:v>
                </c:pt>
                <c:pt idx="21">
                  <c:v>123.172968485</c:v>
                </c:pt>
                <c:pt idx="22">
                  <c:v>123.22675011299999</c:v>
                </c:pt>
                <c:pt idx="23">
                  <c:v>125.61579608300001</c:v>
                </c:pt>
                <c:pt idx="24">
                  <c:v>123.999604135</c:v>
                </c:pt>
                <c:pt idx="25">
                  <c:v>119.222814082</c:v>
                </c:pt>
                <c:pt idx="26">
                  <c:v>119.61255689399999</c:v>
                </c:pt>
                <c:pt idx="27">
                  <c:v>118.071186723</c:v>
                </c:pt>
                <c:pt idx="28">
                  <c:v>121.651777043</c:v>
                </c:pt>
                <c:pt idx="29">
                  <c:v>122.60887698099999</c:v>
                </c:pt>
                <c:pt idx="30">
                  <c:v>117.35362820899999</c:v>
                </c:pt>
                <c:pt idx="31">
                  <c:v>117.314579202</c:v>
                </c:pt>
                <c:pt idx="32">
                  <c:v>117.80016940100001</c:v>
                </c:pt>
                <c:pt idx="33">
                  <c:v>120.85835052500001</c:v>
                </c:pt>
                <c:pt idx="34">
                  <c:v>121.693941514</c:v>
                </c:pt>
                <c:pt idx="35">
                  <c:v>122.197331103</c:v>
                </c:pt>
                <c:pt idx="36">
                  <c:v>122.108210079</c:v>
                </c:pt>
                <c:pt idx="37">
                  <c:v>124.76901324400001</c:v>
                </c:pt>
                <c:pt idx="38">
                  <c:v>119.795933898</c:v>
                </c:pt>
                <c:pt idx="39">
                  <c:v>120.552257621</c:v>
                </c:pt>
                <c:pt idx="40">
                  <c:v>119.746761429</c:v>
                </c:pt>
                <c:pt idx="41">
                  <c:v>122.361587012</c:v>
                </c:pt>
                <c:pt idx="42">
                  <c:v>122.788082679</c:v>
                </c:pt>
                <c:pt idx="43">
                  <c:v>122.55548814700001</c:v>
                </c:pt>
                <c:pt idx="44">
                  <c:v>119.429180085</c:v>
                </c:pt>
                <c:pt idx="45">
                  <c:v>118.383137049</c:v>
                </c:pt>
                <c:pt idx="46">
                  <c:v>115.953373289</c:v>
                </c:pt>
                <c:pt idx="47">
                  <c:v>114.32074731</c:v>
                </c:pt>
                <c:pt idx="48">
                  <c:v>110.641026872</c:v>
                </c:pt>
                <c:pt idx="49">
                  <c:v>108.431729631</c:v>
                </c:pt>
                <c:pt idx="50">
                  <c:v>105.872550585</c:v>
                </c:pt>
                <c:pt idx="51">
                  <c:v>104.19683828399999</c:v>
                </c:pt>
                <c:pt idx="52">
                  <c:v>106.373045601</c:v>
                </c:pt>
                <c:pt idx="53">
                  <c:v>108.30161762100001</c:v>
                </c:pt>
                <c:pt idx="54">
                  <c:v>108.11490889300001</c:v>
                </c:pt>
                <c:pt idx="55">
                  <c:v>111.24955020500001</c:v>
                </c:pt>
                <c:pt idx="56">
                  <c:v>112.024546449</c:v>
                </c:pt>
                <c:pt idx="57">
                  <c:v>107.741434596</c:v>
                </c:pt>
                <c:pt idx="58">
                  <c:v>111.277427679</c:v>
                </c:pt>
                <c:pt idx="59">
                  <c:v>117.319678024</c:v>
                </c:pt>
                <c:pt idx="60">
                  <c:v>117.97272306000001</c:v>
                </c:pt>
                <c:pt idx="61">
                  <c:v>122.29894115499999</c:v>
                </c:pt>
                <c:pt idx="62">
                  <c:v>127.581426329</c:v>
                </c:pt>
                <c:pt idx="63">
                  <c:v>128.56758702400001</c:v>
                </c:pt>
                <c:pt idx="64">
                  <c:v>128.934137548</c:v>
                </c:pt>
                <c:pt idx="65">
                  <c:v>126.92184539100001</c:v>
                </c:pt>
                <c:pt idx="66">
                  <c:v>131.73572784999999</c:v>
                </c:pt>
                <c:pt idx="67">
                  <c:v>137.015614696</c:v>
                </c:pt>
                <c:pt idx="68">
                  <c:v>135.37122722800001</c:v>
                </c:pt>
                <c:pt idx="69">
                  <c:v>134.78828930899999</c:v>
                </c:pt>
                <c:pt idx="70">
                  <c:v>135.71039111100001</c:v>
                </c:pt>
                <c:pt idx="71">
                  <c:v>136.43942424900001</c:v>
                </c:pt>
                <c:pt idx="72">
                  <c:v>130.561715389</c:v>
                </c:pt>
                <c:pt idx="73">
                  <c:v>123.568666358</c:v>
                </c:pt>
                <c:pt idx="74">
                  <c:v>123.901704854</c:v>
                </c:pt>
                <c:pt idx="75">
                  <c:v>121.95787098</c:v>
                </c:pt>
                <c:pt idx="76">
                  <c:v>122.461263844</c:v>
                </c:pt>
                <c:pt idx="77">
                  <c:v>123.612245926</c:v>
                </c:pt>
                <c:pt idx="78">
                  <c:v>121.744538761</c:v>
                </c:pt>
                <c:pt idx="79">
                  <c:v>123.205736347</c:v>
                </c:pt>
                <c:pt idx="80">
                  <c:v>119.49812941099999</c:v>
                </c:pt>
                <c:pt idx="81">
                  <c:v>121.551314197</c:v>
                </c:pt>
                <c:pt idx="82">
                  <c:v>123.027472292</c:v>
                </c:pt>
                <c:pt idx="83">
                  <c:v>120.858692081</c:v>
                </c:pt>
                <c:pt idx="84">
                  <c:v>121.402211427</c:v>
                </c:pt>
                <c:pt idx="85">
                  <c:v>118.926579672</c:v>
                </c:pt>
                <c:pt idx="86">
                  <c:v>115.792658191</c:v>
                </c:pt>
                <c:pt idx="87">
                  <c:v>121.404224775</c:v>
                </c:pt>
                <c:pt idx="88">
                  <c:v>122.058405642</c:v>
                </c:pt>
                <c:pt idx="89">
                  <c:v>123.104991427</c:v>
                </c:pt>
                <c:pt idx="90">
                  <c:v>124.116647353</c:v>
                </c:pt>
                <c:pt idx="91">
                  <c:v>116.006293641</c:v>
                </c:pt>
                <c:pt idx="92">
                  <c:v>117.454603252</c:v>
                </c:pt>
                <c:pt idx="93">
                  <c:v>117.00913642899999</c:v>
                </c:pt>
                <c:pt idx="94">
                  <c:v>116.937649389</c:v>
                </c:pt>
                <c:pt idx="95">
                  <c:v>121.429953639</c:v>
                </c:pt>
                <c:pt idx="96">
                  <c:v>123.13102849400001</c:v>
                </c:pt>
                <c:pt idx="97">
                  <c:v>122.888884801</c:v>
                </c:pt>
                <c:pt idx="98">
                  <c:v>120.698050513</c:v>
                </c:pt>
                <c:pt idx="99">
                  <c:v>120.965995664</c:v>
                </c:pt>
                <c:pt idx="100">
                  <c:v>125.567341427</c:v>
                </c:pt>
              </c:numCache>
            </c:numRef>
          </c:yVal>
          <c:smooth val="1"/>
        </c:ser>
        <c:ser>
          <c:idx val="74"/>
          <c:order val="74"/>
          <c:tx>
            <c:strRef>
              <c:f>S_plus!$CI$1</c:f>
              <c:strCache>
                <c:ptCount val="1"/>
                <c:pt idx="0">
                  <c:v>Sim75</c:v>
                </c:pt>
              </c:strCache>
            </c:strRef>
          </c:tx>
          <c:marker>
            <c:symbol val="none"/>
          </c:marker>
          <c:xVal>
            <c:numRef>
              <c:f>S_plus!$L$2:$L$102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S_plus!$CI$2:$CI$102</c:f>
              <c:numCache>
                <c:formatCode>General</c:formatCode>
                <c:ptCount val="101"/>
                <c:pt idx="0">
                  <c:v>100</c:v>
                </c:pt>
                <c:pt idx="1">
                  <c:v>98.621511383500007</c:v>
                </c:pt>
                <c:pt idx="2">
                  <c:v>95.741499088500007</c:v>
                </c:pt>
                <c:pt idx="3">
                  <c:v>99.640113436799993</c:v>
                </c:pt>
                <c:pt idx="4">
                  <c:v>95.008526851200003</c:v>
                </c:pt>
                <c:pt idx="5">
                  <c:v>94.827209911699995</c:v>
                </c:pt>
                <c:pt idx="6">
                  <c:v>92.669956487500002</c:v>
                </c:pt>
                <c:pt idx="7">
                  <c:v>91.126600492199998</c:v>
                </c:pt>
                <c:pt idx="8">
                  <c:v>89.604993329400003</c:v>
                </c:pt>
                <c:pt idx="9">
                  <c:v>89.555753079900001</c:v>
                </c:pt>
                <c:pt idx="10">
                  <c:v>91.927557609299996</c:v>
                </c:pt>
                <c:pt idx="11">
                  <c:v>90.813483831499994</c:v>
                </c:pt>
                <c:pt idx="12">
                  <c:v>91.366875182399994</c:v>
                </c:pt>
                <c:pt idx="13">
                  <c:v>89.9161639135</c:v>
                </c:pt>
                <c:pt idx="14">
                  <c:v>90.038533789400006</c:v>
                </c:pt>
                <c:pt idx="15">
                  <c:v>90.585509336200005</c:v>
                </c:pt>
                <c:pt idx="16">
                  <c:v>91.2059837324</c:v>
                </c:pt>
                <c:pt idx="17">
                  <c:v>90.551548810400007</c:v>
                </c:pt>
                <c:pt idx="18">
                  <c:v>89.710723267500001</c:v>
                </c:pt>
                <c:pt idx="19">
                  <c:v>90.060418360900002</c:v>
                </c:pt>
                <c:pt idx="20">
                  <c:v>89.105677204800003</c:v>
                </c:pt>
                <c:pt idx="21">
                  <c:v>90.305149659500003</c:v>
                </c:pt>
                <c:pt idx="22">
                  <c:v>92.715088976000004</c:v>
                </c:pt>
                <c:pt idx="23">
                  <c:v>94.026491885499993</c:v>
                </c:pt>
                <c:pt idx="24">
                  <c:v>95.738576370900006</c:v>
                </c:pt>
                <c:pt idx="25">
                  <c:v>97.7940480014</c:v>
                </c:pt>
                <c:pt idx="26">
                  <c:v>98.048100869300001</c:v>
                </c:pt>
                <c:pt idx="27">
                  <c:v>96.814215404099997</c:v>
                </c:pt>
                <c:pt idx="28">
                  <c:v>98.159499373499997</c:v>
                </c:pt>
                <c:pt idx="29">
                  <c:v>99.998342082400001</c:v>
                </c:pt>
                <c:pt idx="30">
                  <c:v>102.762845528</c:v>
                </c:pt>
                <c:pt idx="31">
                  <c:v>103.587179699</c:v>
                </c:pt>
                <c:pt idx="32">
                  <c:v>103.099596615</c:v>
                </c:pt>
                <c:pt idx="33">
                  <c:v>104.71378717</c:v>
                </c:pt>
                <c:pt idx="34">
                  <c:v>103.66269705400001</c:v>
                </c:pt>
                <c:pt idx="35">
                  <c:v>106.893312577</c:v>
                </c:pt>
                <c:pt idx="36">
                  <c:v>108.933752165</c:v>
                </c:pt>
                <c:pt idx="37">
                  <c:v>107.97985453699999</c:v>
                </c:pt>
                <c:pt idx="38">
                  <c:v>108.074509984</c:v>
                </c:pt>
                <c:pt idx="39">
                  <c:v>109.36141650899999</c:v>
                </c:pt>
                <c:pt idx="40">
                  <c:v>106.68716107</c:v>
                </c:pt>
                <c:pt idx="41">
                  <c:v>108.57221857099999</c:v>
                </c:pt>
                <c:pt idx="42">
                  <c:v>109.688466577</c:v>
                </c:pt>
                <c:pt idx="43">
                  <c:v>108.22261855799999</c:v>
                </c:pt>
                <c:pt idx="44">
                  <c:v>109.87154295000001</c:v>
                </c:pt>
                <c:pt idx="45">
                  <c:v>107.92196378200001</c:v>
                </c:pt>
                <c:pt idx="46">
                  <c:v>106.81316150799999</c:v>
                </c:pt>
                <c:pt idx="47">
                  <c:v>104.42900208499999</c:v>
                </c:pt>
                <c:pt idx="48">
                  <c:v>106.1260563</c:v>
                </c:pt>
                <c:pt idx="49">
                  <c:v>107.685655461</c:v>
                </c:pt>
                <c:pt idx="50">
                  <c:v>107.230537123</c:v>
                </c:pt>
                <c:pt idx="51">
                  <c:v>106.046530322</c:v>
                </c:pt>
                <c:pt idx="52">
                  <c:v>105.42993623700001</c:v>
                </c:pt>
                <c:pt idx="53">
                  <c:v>106.542843471</c:v>
                </c:pt>
                <c:pt idx="54">
                  <c:v>105.837799897</c:v>
                </c:pt>
                <c:pt idx="55">
                  <c:v>102.400430172</c:v>
                </c:pt>
                <c:pt idx="56">
                  <c:v>101.07488481</c:v>
                </c:pt>
                <c:pt idx="57">
                  <c:v>99.224651870700001</c:v>
                </c:pt>
                <c:pt idx="58">
                  <c:v>96.747859593699999</c:v>
                </c:pt>
                <c:pt idx="59">
                  <c:v>94.991023734699993</c:v>
                </c:pt>
                <c:pt idx="60">
                  <c:v>94.342572321299997</c:v>
                </c:pt>
                <c:pt idx="61">
                  <c:v>94.958365169800004</c:v>
                </c:pt>
                <c:pt idx="62">
                  <c:v>96.845906360100003</c:v>
                </c:pt>
                <c:pt idx="63">
                  <c:v>93.047857458899998</c:v>
                </c:pt>
                <c:pt idx="64">
                  <c:v>92.030260309499994</c:v>
                </c:pt>
                <c:pt idx="65">
                  <c:v>91.8344384074</c:v>
                </c:pt>
                <c:pt idx="66">
                  <c:v>92.407682239099998</c:v>
                </c:pt>
                <c:pt idx="67">
                  <c:v>91.387332260099996</c:v>
                </c:pt>
                <c:pt idx="68">
                  <c:v>91.388082792800006</c:v>
                </c:pt>
                <c:pt idx="69">
                  <c:v>89.460372092100002</c:v>
                </c:pt>
                <c:pt idx="70">
                  <c:v>89.589292138600001</c:v>
                </c:pt>
                <c:pt idx="71">
                  <c:v>87.095308218</c:v>
                </c:pt>
                <c:pt idx="72">
                  <c:v>88.990985026000004</c:v>
                </c:pt>
                <c:pt idx="73">
                  <c:v>91.190437342199999</c:v>
                </c:pt>
                <c:pt idx="74">
                  <c:v>91.604889349600001</c:v>
                </c:pt>
                <c:pt idx="75">
                  <c:v>91.055580351900005</c:v>
                </c:pt>
                <c:pt idx="76">
                  <c:v>89.720191957400004</c:v>
                </c:pt>
                <c:pt idx="77">
                  <c:v>88.179942453799995</c:v>
                </c:pt>
                <c:pt idx="78">
                  <c:v>87.1967164199</c:v>
                </c:pt>
                <c:pt idx="79">
                  <c:v>87.811102713500006</c:v>
                </c:pt>
                <c:pt idx="80">
                  <c:v>87.259561406000003</c:v>
                </c:pt>
                <c:pt idx="81">
                  <c:v>86.559669330700004</c:v>
                </c:pt>
                <c:pt idx="82">
                  <c:v>89.118281063799998</c:v>
                </c:pt>
                <c:pt idx="83">
                  <c:v>90.634293934799999</c:v>
                </c:pt>
                <c:pt idx="84">
                  <c:v>87.489181699599996</c:v>
                </c:pt>
                <c:pt idx="85">
                  <c:v>88.384082007999993</c:v>
                </c:pt>
                <c:pt idx="86">
                  <c:v>87.0340234815</c:v>
                </c:pt>
                <c:pt idx="87">
                  <c:v>87.209440527799998</c:v>
                </c:pt>
                <c:pt idx="88">
                  <c:v>86.203395473900002</c:v>
                </c:pt>
                <c:pt idx="89">
                  <c:v>88.422361903699993</c:v>
                </c:pt>
                <c:pt idx="90">
                  <c:v>86.500407091100001</c:v>
                </c:pt>
                <c:pt idx="91">
                  <c:v>87.490286787599999</c:v>
                </c:pt>
                <c:pt idx="92">
                  <c:v>86.559779031399998</c:v>
                </c:pt>
                <c:pt idx="93">
                  <c:v>84.914267740400007</c:v>
                </c:pt>
                <c:pt idx="94">
                  <c:v>85.100393542700004</c:v>
                </c:pt>
                <c:pt idx="95">
                  <c:v>83.088072185200005</c:v>
                </c:pt>
                <c:pt idx="96">
                  <c:v>86.418760073900003</c:v>
                </c:pt>
                <c:pt idx="97">
                  <c:v>87.090865790500004</c:v>
                </c:pt>
                <c:pt idx="98">
                  <c:v>83.483777885500004</c:v>
                </c:pt>
                <c:pt idx="99">
                  <c:v>84.304102977100001</c:v>
                </c:pt>
                <c:pt idx="100">
                  <c:v>86.279920320499997</c:v>
                </c:pt>
              </c:numCache>
            </c:numRef>
          </c:yVal>
          <c:smooth val="1"/>
        </c:ser>
        <c:ser>
          <c:idx val="75"/>
          <c:order val="75"/>
          <c:tx>
            <c:strRef>
              <c:f>S_plus!$CJ$1</c:f>
              <c:strCache>
                <c:ptCount val="1"/>
                <c:pt idx="0">
                  <c:v>Sim76</c:v>
                </c:pt>
              </c:strCache>
            </c:strRef>
          </c:tx>
          <c:marker>
            <c:symbol val="none"/>
          </c:marker>
          <c:xVal>
            <c:numRef>
              <c:f>S_plus!$L$2:$L$102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S_plus!$CJ$2:$CJ$102</c:f>
              <c:numCache>
                <c:formatCode>General</c:formatCode>
                <c:ptCount val="101"/>
                <c:pt idx="0">
                  <c:v>100</c:v>
                </c:pt>
                <c:pt idx="1">
                  <c:v>99.922921112599994</c:v>
                </c:pt>
                <c:pt idx="2">
                  <c:v>103.525661234</c:v>
                </c:pt>
                <c:pt idx="3">
                  <c:v>104.883004619</c:v>
                </c:pt>
                <c:pt idx="4">
                  <c:v>104.106458199</c:v>
                </c:pt>
                <c:pt idx="5">
                  <c:v>103.44842478</c:v>
                </c:pt>
                <c:pt idx="6">
                  <c:v>102.850689049</c:v>
                </c:pt>
                <c:pt idx="7">
                  <c:v>102.505367901</c:v>
                </c:pt>
                <c:pt idx="8">
                  <c:v>101.828480501</c:v>
                </c:pt>
                <c:pt idx="9">
                  <c:v>104.53218559</c:v>
                </c:pt>
                <c:pt idx="10">
                  <c:v>104.52122854</c:v>
                </c:pt>
                <c:pt idx="11">
                  <c:v>106.995375979</c:v>
                </c:pt>
                <c:pt idx="12">
                  <c:v>107.986171708</c:v>
                </c:pt>
                <c:pt idx="13">
                  <c:v>106.193467713</c:v>
                </c:pt>
                <c:pt idx="14">
                  <c:v>102.253518392</c:v>
                </c:pt>
                <c:pt idx="15">
                  <c:v>105.59243845</c:v>
                </c:pt>
                <c:pt idx="16">
                  <c:v>105.56294265</c:v>
                </c:pt>
                <c:pt idx="17">
                  <c:v>101.771980607</c:v>
                </c:pt>
                <c:pt idx="18">
                  <c:v>101.240660644</c:v>
                </c:pt>
                <c:pt idx="19">
                  <c:v>99.412037553100006</c:v>
                </c:pt>
                <c:pt idx="20">
                  <c:v>102.35178388</c:v>
                </c:pt>
                <c:pt idx="21">
                  <c:v>102.261151746</c:v>
                </c:pt>
                <c:pt idx="22">
                  <c:v>103.17836804300001</c:v>
                </c:pt>
                <c:pt idx="23">
                  <c:v>100.684862229</c:v>
                </c:pt>
                <c:pt idx="24">
                  <c:v>101.647473777</c:v>
                </c:pt>
                <c:pt idx="25">
                  <c:v>98.736057472499994</c:v>
                </c:pt>
                <c:pt idx="26">
                  <c:v>95.593754260599994</c:v>
                </c:pt>
                <c:pt idx="27">
                  <c:v>94.899911598399996</c:v>
                </c:pt>
                <c:pt idx="28">
                  <c:v>96.062543194599996</c:v>
                </c:pt>
                <c:pt idx="29">
                  <c:v>93.078002908399995</c:v>
                </c:pt>
                <c:pt idx="30">
                  <c:v>92.074292619000005</c:v>
                </c:pt>
                <c:pt idx="31">
                  <c:v>92.533814508299997</c:v>
                </c:pt>
                <c:pt idx="32">
                  <c:v>94.209302680299999</c:v>
                </c:pt>
                <c:pt idx="33">
                  <c:v>94.7265804755</c:v>
                </c:pt>
                <c:pt idx="34">
                  <c:v>94.950195684400001</c:v>
                </c:pt>
                <c:pt idx="35">
                  <c:v>95.211601699799999</c:v>
                </c:pt>
                <c:pt idx="36">
                  <c:v>95.4973313948</c:v>
                </c:pt>
                <c:pt idx="37">
                  <c:v>97.931632086099995</c:v>
                </c:pt>
                <c:pt idx="38">
                  <c:v>96.988200290500004</c:v>
                </c:pt>
                <c:pt idx="39">
                  <c:v>96.751569487599994</c:v>
                </c:pt>
                <c:pt idx="40">
                  <c:v>96.884768552200001</c:v>
                </c:pt>
                <c:pt idx="41">
                  <c:v>100.611035837</c:v>
                </c:pt>
                <c:pt idx="42">
                  <c:v>101.80694809000001</c:v>
                </c:pt>
                <c:pt idx="43">
                  <c:v>101.11482522599999</c:v>
                </c:pt>
                <c:pt idx="44">
                  <c:v>100.822224435</c:v>
                </c:pt>
                <c:pt idx="45">
                  <c:v>99.439378014300004</c:v>
                </c:pt>
                <c:pt idx="46">
                  <c:v>98.914120902700006</c:v>
                </c:pt>
                <c:pt idx="47">
                  <c:v>99.474246098899997</c:v>
                </c:pt>
                <c:pt idx="48">
                  <c:v>100.341165844</c:v>
                </c:pt>
                <c:pt idx="49">
                  <c:v>97.7052037574</c:v>
                </c:pt>
                <c:pt idx="50">
                  <c:v>98.638760990500003</c:v>
                </c:pt>
                <c:pt idx="51">
                  <c:v>100.36213476899999</c:v>
                </c:pt>
                <c:pt idx="52">
                  <c:v>103.16062325</c:v>
                </c:pt>
                <c:pt idx="53">
                  <c:v>104.044790658</c:v>
                </c:pt>
                <c:pt idx="54">
                  <c:v>107.226301573</c:v>
                </c:pt>
                <c:pt idx="55">
                  <c:v>111.069727212</c:v>
                </c:pt>
                <c:pt idx="56">
                  <c:v>111.679515701</c:v>
                </c:pt>
                <c:pt idx="57">
                  <c:v>109.35010453700001</c:v>
                </c:pt>
                <c:pt idx="58">
                  <c:v>110.759978292</c:v>
                </c:pt>
                <c:pt idx="59">
                  <c:v>108.46662608299999</c:v>
                </c:pt>
                <c:pt idx="60">
                  <c:v>109.52020733000001</c:v>
                </c:pt>
                <c:pt idx="61">
                  <c:v>109.75682915599999</c:v>
                </c:pt>
                <c:pt idx="62">
                  <c:v>105.61235162200001</c:v>
                </c:pt>
                <c:pt idx="63">
                  <c:v>104.767469827</c:v>
                </c:pt>
                <c:pt idx="64">
                  <c:v>105.411045293</c:v>
                </c:pt>
                <c:pt idx="65">
                  <c:v>101.492079999</c:v>
                </c:pt>
                <c:pt idx="66">
                  <c:v>101.025007417</c:v>
                </c:pt>
                <c:pt idx="67">
                  <c:v>100.90822005699999</c:v>
                </c:pt>
                <c:pt idx="68">
                  <c:v>98.520698821600007</c:v>
                </c:pt>
                <c:pt idx="69">
                  <c:v>97.917225884299995</c:v>
                </c:pt>
                <c:pt idx="70">
                  <c:v>98.710523019999997</c:v>
                </c:pt>
                <c:pt idx="71">
                  <c:v>97.189633402300004</c:v>
                </c:pt>
                <c:pt idx="72">
                  <c:v>96.599907904299997</c:v>
                </c:pt>
                <c:pt idx="73">
                  <c:v>97.373485780999999</c:v>
                </c:pt>
                <c:pt idx="74">
                  <c:v>99.787986051600001</c:v>
                </c:pt>
                <c:pt idx="75">
                  <c:v>101.88807593</c:v>
                </c:pt>
                <c:pt idx="76">
                  <c:v>104.734160557</c:v>
                </c:pt>
                <c:pt idx="77">
                  <c:v>105.765157812</c:v>
                </c:pt>
                <c:pt idx="78">
                  <c:v>103.876922196</c:v>
                </c:pt>
                <c:pt idx="79">
                  <c:v>103.636130615</c:v>
                </c:pt>
                <c:pt idx="80">
                  <c:v>104.183490271</c:v>
                </c:pt>
                <c:pt idx="81">
                  <c:v>101.454746755</c:v>
                </c:pt>
                <c:pt idx="82">
                  <c:v>101.060300747</c:v>
                </c:pt>
                <c:pt idx="83">
                  <c:v>100.19388804899999</c:v>
                </c:pt>
                <c:pt idx="84">
                  <c:v>97.805608461800006</c:v>
                </c:pt>
                <c:pt idx="85">
                  <c:v>98.996696870600005</c:v>
                </c:pt>
                <c:pt idx="86">
                  <c:v>97.077450638900004</c:v>
                </c:pt>
                <c:pt idx="87">
                  <c:v>94.828609166199996</c:v>
                </c:pt>
                <c:pt idx="88">
                  <c:v>92.025015010000004</c:v>
                </c:pt>
                <c:pt idx="89">
                  <c:v>91.814396987799995</c:v>
                </c:pt>
                <c:pt idx="90">
                  <c:v>92.337263367700004</c:v>
                </c:pt>
                <c:pt idx="91">
                  <c:v>93.679533989399999</c:v>
                </c:pt>
                <c:pt idx="92">
                  <c:v>92.701184537800003</c:v>
                </c:pt>
                <c:pt idx="93">
                  <c:v>92.239093674700001</c:v>
                </c:pt>
                <c:pt idx="94">
                  <c:v>94.839746359399996</c:v>
                </c:pt>
                <c:pt idx="95">
                  <c:v>93.466693642099997</c:v>
                </c:pt>
                <c:pt idx="96">
                  <c:v>93.6594509942</c:v>
                </c:pt>
                <c:pt idx="97">
                  <c:v>93.175478123999994</c:v>
                </c:pt>
                <c:pt idx="98">
                  <c:v>91.882722277499994</c:v>
                </c:pt>
                <c:pt idx="99">
                  <c:v>91.881959451399993</c:v>
                </c:pt>
                <c:pt idx="100">
                  <c:v>93.7353451627</c:v>
                </c:pt>
              </c:numCache>
            </c:numRef>
          </c:yVal>
          <c:smooth val="1"/>
        </c:ser>
        <c:ser>
          <c:idx val="76"/>
          <c:order val="76"/>
          <c:tx>
            <c:strRef>
              <c:f>S_plus!$CK$1</c:f>
              <c:strCache>
                <c:ptCount val="1"/>
                <c:pt idx="0">
                  <c:v>Sim77</c:v>
                </c:pt>
              </c:strCache>
            </c:strRef>
          </c:tx>
          <c:marker>
            <c:symbol val="none"/>
          </c:marker>
          <c:xVal>
            <c:numRef>
              <c:f>S_plus!$L$2:$L$102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S_plus!$CK$2:$CK$102</c:f>
              <c:numCache>
                <c:formatCode>General</c:formatCode>
                <c:ptCount val="101"/>
                <c:pt idx="0">
                  <c:v>100</c:v>
                </c:pt>
                <c:pt idx="1">
                  <c:v>98.320788793700004</c:v>
                </c:pt>
                <c:pt idx="2">
                  <c:v>96.207984713200005</c:v>
                </c:pt>
                <c:pt idx="3">
                  <c:v>98.497031326499993</c:v>
                </c:pt>
                <c:pt idx="4">
                  <c:v>97.643254544000001</c:v>
                </c:pt>
                <c:pt idx="5">
                  <c:v>95.061204367900004</c:v>
                </c:pt>
                <c:pt idx="6">
                  <c:v>95.643441696899998</c:v>
                </c:pt>
                <c:pt idx="7">
                  <c:v>97.3714987579</c:v>
                </c:pt>
                <c:pt idx="8">
                  <c:v>99.162564093900002</c:v>
                </c:pt>
                <c:pt idx="9">
                  <c:v>100.14037059100001</c:v>
                </c:pt>
                <c:pt idx="10">
                  <c:v>101.802507977</c:v>
                </c:pt>
                <c:pt idx="11">
                  <c:v>98.076855103100002</c:v>
                </c:pt>
                <c:pt idx="12">
                  <c:v>94.175050943900004</c:v>
                </c:pt>
                <c:pt idx="13">
                  <c:v>93.773529737800004</c:v>
                </c:pt>
                <c:pt idx="14">
                  <c:v>93.459572653400002</c:v>
                </c:pt>
                <c:pt idx="15">
                  <c:v>93.296175844700002</c:v>
                </c:pt>
                <c:pt idx="16">
                  <c:v>92.205114335999994</c:v>
                </c:pt>
                <c:pt idx="17">
                  <c:v>91.354503386499999</c:v>
                </c:pt>
                <c:pt idx="18">
                  <c:v>92.150486544399996</c:v>
                </c:pt>
                <c:pt idx="19">
                  <c:v>91.326187420500005</c:v>
                </c:pt>
                <c:pt idx="20">
                  <c:v>93.313732657499997</c:v>
                </c:pt>
                <c:pt idx="21">
                  <c:v>94.338882169000001</c:v>
                </c:pt>
                <c:pt idx="22">
                  <c:v>92.534021343199996</c:v>
                </c:pt>
                <c:pt idx="23">
                  <c:v>90.448238447500003</c:v>
                </c:pt>
                <c:pt idx="24">
                  <c:v>89.046982326700004</c:v>
                </c:pt>
                <c:pt idx="25">
                  <c:v>89.199189983099998</c:v>
                </c:pt>
                <c:pt idx="26">
                  <c:v>85.598389556499995</c:v>
                </c:pt>
                <c:pt idx="27">
                  <c:v>85.960721303400007</c:v>
                </c:pt>
                <c:pt idx="28">
                  <c:v>85.606456877900001</c:v>
                </c:pt>
                <c:pt idx="29">
                  <c:v>85.147896804599995</c:v>
                </c:pt>
                <c:pt idx="30">
                  <c:v>86.060275697600005</c:v>
                </c:pt>
                <c:pt idx="31">
                  <c:v>85.801436026600001</c:v>
                </c:pt>
                <c:pt idx="32">
                  <c:v>88.046697976299996</c:v>
                </c:pt>
                <c:pt idx="33">
                  <c:v>87.616664447199994</c:v>
                </c:pt>
                <c:pt idx="34">
                  <c:v>87.705349772000005</c:v>
                </c:pt>
                <c:pt idx="35">
                  <c:v>91.2282436287</c:v>
                </c:pt>
                <c:pt idx="36">
                  <c:v>91.591725726799993</c:v>
                </c:pt>
                <c:pt idx="37">
                  <c:v>93.245000470299999</c:v>
                </c:pt>
                <c:pt idx="38">
                  <c:v>90.663660831800001</c:v>
                </c:pt>
                <c:pt idx="39">
                  <c:v>90.143254264199996</c:v>
                </c:pt>
                <c:pt idx="40">
                  <c:v>92.273531270999996</c:v>
                </c:pt>
                <c:pt idx="41">
                  <c:v>93.129308606899997</c:v>
                </c:pt>
                <c:pt idx="42">
                  <c:v>95.092242996799996</c:v>
                </c:pt>
                <c:pt idx="43">
                  <c:v>95.323989210700006</c:v>
                </c:pt>
                <c:pt idx="44">
                  <c:v>94.399710453099999</c:v>
                </c:pt>
                <c:pt idx="45">
                  <c:v>92.8988436323</c:v>
                </c:pt>
                <c:pt idx="46">
                  <c:v>93.833880196099997</c:v>
                </c:pt>
                <c:pt idx="47">
                  <c:v>94.643649763799999</c:v>
                </c:pt>
                <c:pt idx="48">
                  <c:v>94.458569374999996</c:v>
                </c:pt>
                <c:pt idx="49">
                  <c:v>96.786018953999999</c:v>
                </c:pt>
                <c:pt idx="50">
                  <c:v>94.740957405100005</c:v>
                </c:pt>
                <c:pt idx="51">
                  <c:v>92.910148683900005</c:v>
                </c:pt>
                <c:pt idx="52">
                  <c:v>92.847368853500001</c:v>
                </c:pt>
                <c:pt idx="53">
                  <c:v>91.830011123600002</c:v>
                </c:pt>
                <c:pt idx="54">
                  <c:v>90.159601985500004</c:v>
                </c:pt>
                <c:pt idx="55">
                  <c:v>91.459160786699996</c:v>
                </c:pt>
                <c:pt idx="56">
                  <c:v>91.556964984199993</c:v>
                </c:pt>
                <c:pt idx="57">
                  <c:v>94.962102487899998</c:v>
                </c:pt>
                <c:pt idx="58">
                  <c:v>93.541408285000003</c:v>
                </c:pt>
                <c:pt idx="59">
                  <c:v>97.016147793299993</c:v>
                </c:pt>
                <c:pt idx="60">
                  <c:v>94.686029391700004</c:v>
                </c:pt>
                <c:pt idx="61">
                  <c:v>96.417516337799995</c:v>
                </c:pt>
                <c:pt idx="62">
                  <c:v>95.111778018999999</c:v>
                </c:pt>
                <c:pt idx="63">
                  <c:v>93.7483585847</c:v>
                </c:pt>
                <c:pt idx="64">
                  <c:v>92.822801006600002</c:v>
                </c:pt>
                <c:pt idx="65">
                  <c:v>91.513359102799996</c:v>
                </c:pt>
                <c:pt idx="66">
                  <c:v>91.866811105599993</c:v>
                </c:pt>
                <c:pt idx="67">
                  <c:v>89.348903065499997</c:v>
                </c:pt>
                <c:pt idx="68">
                  <c:v>93.592468480500003</c:v>
                </c:pt>
                <c:pt idx="69">
                  <c:v>93.669405166700002</c:v>
                </c:pt>
                <c:pt idx="70">
                  <c:v>92.274718322400005</c:v>
                </c:pt>
                <c:pt idx="71">
                  <c:v>91.898552379999998</c:v>
                </c:pt>
                <c:pt idx="72">
                  <c:v>93.752067808600003</c:v>
                </c:pt>
                <c:pt idx="73">
                  <c:v>94.564000716699994</c:v>
                </c:pt>
                <c:pt idx="74">
                  <c:v>96.206218926999995</c:v>
                </c:pt>
                <c:pt idx="75">
                  <c:v>98.216548245400006</c:v>
                </c:pt>
                <c:pt idx="76">
                  <c:v>99.622680810099993</c:v>
                </c:pt>
                <c:pt idx="77">
                  <c:v>100.795781745</c:v>
                </c:pt>
                <c:pt idx="78">
                  <c:v>103.775512714</c:v>
                </c:pt>
                <c:pt idx="79">
                  <c:v>101.58362392799999</c:v>
                </c:pt>
                <c:pt idx="80">
                  <c:v>99.6336550555</c:v>
                </c:pt>
                <c:pt idx="81">
                  <c:v>101.238553168</c:v>
                </c:pt>
                <c:pt idx="82">
                  <c:v>101.633797347</c:v>
                </c:pt>
                <c:pt idx="83">
                  <c:v>100.945716738</c:v>
                </c:pt>
                <c:pt idx="84">
                  <c:v>100.08748342200001</c:v>
                </c:pt>
                <c:pt idx="85">
                  <c:v>97.835962877300005</c:v>
                </c:pt>
                <c:pt idx="86">
                  <c:v>96.519318417400001</c:v>
                </c:pt>
                <c:pt idx="87">
                  <c:v>94.408162556199997</c:v>
                </c:pt>
                <c:pt idx="88">
                  <c:v>95.695256123700005</c:v>
                </c:pt>
                <c:pt idx="89">
                  <c:v>93.989444522100001</c:v>
                </c:pt>
                <c:pt idx="90">
                  <c:v>89.289660161900002</c:v>
                </c:pt>
                <c:pt idx="91">
                  <c:v>88.769854809700007</c:v>
                </c:pt>
                <c:pt idx="92">
                  <c:v>91.139939571200003</c:v>
                </c:pt>
                <c:pt idx="93">
                  <c:v>92.076793330300006</c:v>
                </c:pt>
                <c:pt idx="94">
                  <c:v>90.914741943899998</c:v>
                </c:pt>
                <c:pt idx="95">
                  <c:v>89.016419200599998</c:v>
                </c:pt>
                <c:pt idx="96">
                  <c:v>89.259865429200005</c:v>
                </c:pt>
                <c:pt idx="97">
                  <c:v>86.307015704899996</c:v>
                </c:pt>
                <c:pt idx="98">
                  <c:v>88.102007260099995</c:v>
                </c:pt>
                <c:pt idx="99">
                  <c:v>88.535595696599998</c:v>
                </c:pt>
                <c:pt idx="100">
                  <c:v>86.650282848499998</c:v>
                </c:pt>
              </c:numCache>
            </c:numRef>
          </c:yVal>
          <c:smooth val="1"/>
        </c:ser>
        <c:ser>
          <c:idx val="77"/>
          <c:order val="77"/>
          <c:tx>
            <c:strRef>
              <c:f>S_plus!$CL$1</c:f>
              <c:strCache>
                <c:ptCount val="1"/>
                <c:pt idx="0">
                  <c:v>Sim78</c:v>
                </c:pt>
              </c:strCache>
            </c:strRef>
          </c:tx>
          <c:marker>
            <c:symbol val="none"/>
          </c:marker>
          <c:xVal>
            <c:numRef>
              <c:f>S_plus!$L$2:$L$102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S_plus!$CL$2:$CL$102</c:f>
              <c:numCache>
                <c:formatCode>General</c:formatCode>
                <c:ptCount val="101"/>
                <c:pt idx="0">
                  <c:v>100</c:v>
                </c:pt>
                <c:pt idx="1">
                  <c:v>101.59001845</c:v>
                </c:pt>
                <c:pt idx="2">
                  <c:v>97.056031376099995</c:v>
                </c:pt>
                <c:pt idx="3">
                  <c:v>95.900719619499995</c:v>
                </c:pt>
                <c:pt idx="4">
                  <c:v>94.306593035199995</c:v>
                </c:pt>
                <c:pt idx="5">
                  <c:v>92.831407377700003</c:v>
                </c:pt>
                <c:pt idx="6">
                  <c:v>93.490427719300001</c:v>
                </c:pt>
                <c:pt idx="7">
                  <c:v>94.096169596699994</c:v>
                </c:pt>
                <c:pt idx="8">
                  <c:v>92.962144144500002</c:v>
                </c:pt>
                <c:pt idx="9">
                  <c:v>92.870890220999996</c:v>
                </c:pt>
                <c:pt idx="10">
                  <c:v>93.510544294100001</c:v>
                </c:pt>
                <c:pt idx="11">
                  <c:v>93.309298774200002</c:v>
                </c:pt>
                <c:pt idx="12">
                  <c:v>91.991238351700005</c:v>
                </c:pt>
                <c:pt idx="13">
                  <c:v>90.663478029199993</c:v>
                </c:pt>
                <c:pt idx="14">
                  <c:v>90.548405045699994</c:v>
                </c:pt>
                <c:pt idx="15">
                  <c:v>93.046296278699998</c:v>
                </c:pt>
                <c:pt idx="16">
                  <c:v>94.143243688599995</c:v>
                </c:pt>
                <c:pt idx="17">
                  <c:v>95.222841340599999</c:v>
                </c:pt>
                <c:pt idx="18">
                  <c:v>93.750105023499998</c:v>
                </c:pt>
                <c:pt idx="19">
                  <c:v>90.747518542500003</c:v>
                </c:pt>
                <c:pt idx="20">
                  <c:v>87.951231332899994</c:v>
                </c:pt>
                <c:pt idx="21">
                  <c:v>87.107934491799995</c:v>
                </c:pt>
                <c:pt idx="22">
                  <c:v>87.417469157400006</c:v>
                </c:pt>
                <c:pt idx="23">
                  <c:v>85.947311608899994</c:v>
                </c:pt>
                <c:pt idx="24">
                  <c:v>86.593886769899996</c:v>
                </c:pt>
                <c:pt idx="25">
                  <c:v>86.543395900999997</c:v>
                </c:pt>
                <c:pt idx="26">
                  <c:v>85.206817111500001</c:v>
                </c:pt>
                <c:pt idx="27">
                  <c:v>86.416900312699994</c:v>
                </c:pt>
                <c:pt idx="28">
                  <c:v>88.244824906399998</c:v>
                </c:pt>
                <c:pt idx="29">
                  <c:v>90.102852636999998</c:v>
                </c:pt>
                <c:pt idx="30">
                  <c:v>91.532926850699994</c:v>
                </c:pt>
                <c:pt idx="31">
                  <c:v>92.105018361700004</c:v>
                </c:pt>
                <c:pt idx="32">
                  <c:v>91.623333725899997</c:v>
                </c:pt>
                <c:pt idx="33">
                  <c:v>90.254727045999999</c:v>
                </c:pt>
                <c:pt idx="34">
                  <c:v>88.732805299399999</c:v>
                </c:pt>
                <c:pt idx="35">
                  <c:v>88.533009893200003</c:v>
                </c:pt>
                <c:pt idx="36">
                  <c:v>86.897107560999999</c:v>
                </c:pt>
                <c:pt idx="37">
                  <c:v>86.997848914399995</c:v>
                </c:pt>
                <c:pt idx="38">
                  <c:v>84.259722438500006</c:v>
                </c:pt>
                <c:pt idx="39">
                  <c:v>82.713437347699994</c:v>
                </c:pt>
                <c:pt idx="40">
                  <c:v>83.107483087999995</c:v>
                </c:pt>
                <c:pt idx="41">
                  <c:v>83.946459905400005</c:v>
                </c:pt>
                <c:pt idx="42">
                  <c:v>81.808951668000006</c:v>
                </c:pt>
                <c:pt idx="43">
                  <c:v>82.8572158307</c:v>
                </c:pt>
                <c:pt idx="44">
                  <c:v>82.166771542299998</c:v>
                </c:pt>
                <c:pt idx="45">
                  <c:v>85.258418916400004</c:v>
                </c:pt>
                <c:pt idx="46">
                  <c:v>86.111427547199995</c:v>
                </c:pt>
                <c:pt idx="47">
                  <c:v>85.483072762700004</c:v>
                </c:pt>
                <c:pt idx="48">
                  <c:v>83.846597873799993</c:v>
                </c:pt>
                <c:pt idx="49">
                  <c:v>83.128786589800001</c:v>
                </c:pt>
                <c:pt idx="50">
                  <c:v>80.613193645999999</c:v>
                </c:pt>
                <c:pt idx="51">
                  <c:v>80.414795361299994</c:v>
                </c:pt>
                <c:pt idx="52">
                  <c:v>78.640972268499993</c:v>
                </c:pt>
                <c:pt idx="53">
                  <c:v>78.320310218299994</c:v>
                </c:pt>
                <c:pt idx="54">
                  <c:v>81.659348887999997</c:v>
                </c:pt>
                <c:pt idx="55">
                  <c:v>81.410485062700005</c:v>
                </c:pt>
                <c:pt idx="56">
                  <c:v>81.910756881799998</c:v>
                </c:pt>
                <c:pt idx="57">
                  <c:v>81.914106489800005</c:v>
                </c:pt>
                <c:pt idx="58">
                  <c:v>83.925170189100001</c:v>
                </c:pt>
                <c:pt idx="59">
                  <c:v>83.285446800700001</c:v>
                </c:pt>
                <c:pt idx="60">
                  <c:v>81.730677304400004</c:v>
                </c:pt>
                <c:pt idx="61">
                  <c:v>85.124165704999996</c:v>
                </c:pt>
                <c:pt idx="62">
                  <c:v>81.554639770500003</c:v>
                </c:pt>
                <c:pt idx="63">
                  <c:v>82.293967697599996</c:v>
                </c:pt>
                <c:pt idx="64">
                  <c:v>81.464664435100005</c:v>
                </c:pt>
                <c:pt idx="65">
                  <c:v>81.474319154400007</c:v>
                </c:pt>
                <c:pt idx="66">
                  <c:v>81.576823740999998</c:v>
                </c:pt>
                <c:pt idx="67">
                  <c:v>82.336237412900005</c:v>
                </c:pt>
                <c:pt idx="68">
                  <c:v>83.195028885799999</c:v>
                </c:pt>
                <c:pt idx="69">
                  <c:v>84.614207696899996</c:v>
                </c:pt>
                <c:pt idx="70">
                  <c:v>84.327989991899997</c:v>
                </c:pt>
                <c:pt idx="71">
                  <c:v>82.953890041700006</c:v>
                </c:pt>
                <c:pt idx="72">
                  <c:v>82.391496642199996</c:v>
                </c:pt>
                <c:pt idx="73">
                  <c:v>82.925055507699994</c:v>
                </c:pt>
                <c:pt idx="74">
                  <c:v>84.978418693999998</c:v>
                </c:pt>
                <c:pt idx="75">
                  <c:v>86.640600660000004</c:v>
                </c:pt>
                <c:pt idx="76">
                  <c:v>86.123778319400003</c:v>
                </c:pt>
                <c:pt idx="77">
                  <c:v>86.671813809400007</c:v>
                </c:pt>
                <c:pt idx="78">
                  <c:v>86.595728254799994</c:v>
                </c:pt>
                <c:pt idx="79">
                  <c:v>86.738070570999994</c:v>
                </c:pt>
                <c:pt idx="80">
                  <c:v>86.741227327600001</c:v>
                </c:pt>
                <c:pt idx="81">
                  <c:v>85.295160227099998</c:v>
                </c:pt>
                <c:pt idx="82">
                  <c:v>88.660540496699994</c:v>
                </c:pt>
                <c:pt idx="83">
                  <c:v>87.484368553400003</c:v>
                </c:pt>
                <c:pt idx="84">
                  <c:v>90.0980961331</c:v>
                </c:pt>
                <c:pt idx="85">
                  <c:v>86.867591949399994</c:v>
                </c:pt>
                <c:pt idx="86">
                  <c:v>86.873369814900002</c:v>
                </c:pt>
                <c:pt idx="87">
                  <c:v>88.646632518600001</c:v>
                </c:pt>
                <c:pt idx="88">
                  <c:v>87.000014739500003</c:v>
                </c:pt>
                <c:pt idx="89">
                  <c:v>87.365724083999993</c:v>
                </c:pt>
                <c:pt idx="90">
                  <c:v>88.158263728600005</c:v>
                </c:pt>
                <c:pt idx="91">
                  <c:v>85.594612388900003</c:v>
                </c:pt>
                <c:pt idx="92">
                  <c:v>86.335524586399998</c:v>
                </c:pt>
                <c:pt idx="93">
                  <c:v>83.111461096499994</c:v>
                </c:pt>
                <c:pt idx="94">
                  <c:v>85.127538879499994</c:v>
                </c:pt>
                <c:pt idx="95">
                  <c:v>87.770357316299993</c:v>
                </c:pt>
                <c:pt idx="96">
                  <c:v>86.944086209000005</c:v>
                </c:pt>
                <c:pt idx="97">
                  <c:v>83.266514984699995</c:v>
                </c:pt>
                <c:pt idx="98">
                  <c:v>84.929473483199999</c:v>
                </c:pt>
                <c:pt idx="99">
                  <c:v>83.413682931699995</c:v>
                </c:pt>
                <c:pt idx="100">
                  <c:v>84.938260103100006</c:v>
                </c:pt>
              </c:numCache>
            </c:numRef>
          </c:yVal>
          <c:smooth val="1"/>
        </c:ser>
        <c:ser>
          <c:idx val="78"/>
          <c:order val="78"/>
          <c:tx>
            <c:strRef>
              <c:f>S_plus!$CM$1</c:f>
              <c:strCache>
                <c:ptCount val="1"/>
                <c:pt idx="0">
                  <c:v>Sim79</c:v>
                </c:pt>
              </c:strCache>
            </c:strRef>
          </c:tx>
          <c:marker>
            <c:symbol val="none"/>
          </c:marker>
          <c:xVal>
            <c:numRef>
              <c:f>S_plus!$L$2:$L$102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S_plus!$CM$2:$CM$102</c:f>
              <c:numCache>
                <c:formatCode>General</c:formatCode>
                <c:ptCount val="101"/>
                <c:pt idx="0">
                  <c:v>100</c:v>
                </c:pt>
                <c:pt idx="1">
                  <c:v>101.329672964</c:v>
                </c:pt>
                <c:pt idx="2">
                  <c:v>103.41888227299999</c:v>
                </c:pt>
                <c:pt idx="3">
                  <c:v>103.422359638</c:v>
                </c:pt>
                <c:pt idx="4">
                  <c:v>105.14423988599999</c:v>
                </c:pt>
                <c:pt idx="5">
                  <c:v>104.07256924799999</c:v>
                </c:pt>
                <c:pt idx="6">
                  <c:v>102.367282378</c:v>
                </c:pt>
                <c:pt idx="7">
                  <c:v>97.972601022099994</c:v>
                </c:pt>
                <c:pt idx="8">
                  <c:v>97.926618547700002</c:v>
                </c:pt>
                <c:pt idx="9">
                  <c:v>95.975250766800002</c:v>
                </c:pt>
                <c:pt idx="10">
                  <c:v>95.622587261700005</c:v>
                </c:pt>
                <c:pt idx="11">
                  <c:v>96.700916867199993</c:v>
                </c:pt>
                <c:pt idx="12">
                  <c:v>95.659801071299995</c:v>
                </c:pt>
                <c:pt idx="13">
                  <c:v>92.404281607000001</c:v>
                </c:pt>
                <c:pt idx="14">
                  <c:v>90.851913517499995</c:v>
                </c:pt>
                <c:pt idx="15">
                  <c:v>92.451388685799998</c:v>
                </c:pt>
                <c:pt idx="16">
                  <c:v>94.630506945400001</c:v>
                </c:pt>
                <c:pt idx="17">
                  <c:v>97.259890976999998</c:v>
                </c:pt>
                <c:pt idx="18">
                  <c:v>99.446270471299997</c:v>
                </c:pt>
                <c:pt idx="19">
                  <c:v>101.96678787</c:v>
                </c:pt>
                <c:pt idx="20">
                  <c:v>104.375370757</c:v>
                </c:pt>
                <c:pt idx="21">
                  <c:v>108.935573663</c:v>
                </c:pt>
                <c:pt idx="22">
                  <c:v>107.223280014</c:v>
                </c:pt>
                <c:pt idx="23">
                  <c:v>107.772140822</c:v>
                </c:pt>
                <c:pt idx="24">
                  <c:v>110.539153603</c:v>
                </c:pt>
                <c:pt idx="25">
                  <c:v>108.793730682</c:v>
                </c:pt>
                <c:pt idx="26">
                  <c:v>113.051084613</c:v>
                </c:pt>
                <c:pt idx="27">
                  <c:v>111.01509523199999</c:v>
                </c:pt>
                <c:pt idx="28">
                  <c:v>107.527190791</c:v>
                </c:pt>
                <c:pt idx="29">
                  <c:v>109.431665466</c:v>
                </c:pt>
                <c:pt idx="30">
                  <c:v>108.99147944800001</c:v>
                </c:pt>
                <c:pt idx="31">
                  <c:v>106.24628659</c:v>
                </c:pt>
                <c:pt idx="32">
                  <c:v>104.345622834</c:v>
                </c:pt>
                <c:pt idx="33">
                  <c:v>104.073117357</c:v>
                </c:pt>
                <c:pt idx="34">
                  <c:v>103.515518606</c:v>
                </c:pt>
                <c:pt idx="35">
                  <c:v>100.32089507000001</c:v>
                </c:pt>
                <c:pt idx="36">
                  <c:v>100.94487368199999</c:v>
                </c:pt>
                <c:pt idx="37">
                  <c:v>97.432601334099999</c:v>
                </c:pt>
                <c:pt idx="38">
                  <c:v>98.846978187900007</c:v>
                </c:pt>
                <c:pt idx="39">
                  <c:v>100.099760308</c:v>
                </c:pt>
                <c:pt idx="40">
                  <c:v>98.622423818399994</c:v>
                </c:pt>
                <c:pt idx="41">
                  <c:v>95.696284741499994</c:v>
                </c:pt>
                <c:pt idx="42">
                  <c:v>93.792185684200007</c:v>
                </c:pt>
                <c:pt idx="43">
                  <c:v>90.349826332899994</c:v>
                </c:pt>
                <c:pt idx="44">
                  <c:v>92.522882788499999</c:v>
                </c:pt>
                <c:pt idx="45">
                  <c:v>93.593586696200006</c:v>
                </c:pt>
                <c:pt idx="46">
                  <c:v>91.941235786700005</c:v>
                </c:pt>
                <c:pt idx="47">
                  <c:v>90.244689360500004</c:v>
                </c:pt>
                <c:pt idx="48">
                  <c:v>87.644167560100001</c:v>
                </c:pt>
                <c:pt idx="49">
                  <c:v>87.720211386700001</c:v>
                </c:pt>
                <c:pt idx="50">
                  <c:v>87.084148672300003</c:v>
                </c:pt>
                <c:pt idx="51">
                  <c:v>84.897650961799997</c:v>
                </c:pt>
                <c:pt idx="52">
                  <c:v>86.951619487299993</c:v>
                </c:pt>
                <c:pt idx="53">
                  <c:v>85.454051008899995</c:v>
                </c:pt>
                <c:pt idx="54">
                  <c:v>83.4320078911</c:v>
                </c:pt>
                <c:pt idx="55">
                  <c:v>80.233826397800001</c:v>
                </c:pt>
                <c:pt idx="56">
                  <c:v>83.417081894800006</c:v>
                </c:pt>
                <c:pt idx="57">
                  <c:v>86.387152949799997</c:v>
                </c:pt>
                <c:pt idx="58">
                  <c:v>86.308574605499999</c:v>
                </c:pt>
                <c:pt idx="59">
                  <c:v>87.866089704700002</c:v>
                </c:pt>
                <c:pt idx="60">
                  <c:v>88.317755850899999</c:v>
                </c:pt>
                <c:pt idx="61">
                  <c:v>90.569938440499996</c:v>
                </c:pt>
                <c:pt idx="62">
                  <c:v>92.403151130099999</c:v>
                </c:pt>
                <c:pt idx="63">
                  <c:v>91.085282123799999</c:v>
                </c:pt>
                <c:pt idx="64">
                  <c:v>88.729640111400002</c:v>
                </c:pt>
                <c:pt idx="65">
                  <c:v>83.898804484199999</c:v>
                </c:pt>
                <c:pt idx="66">
                  <c:v>85.203685078999996</c:v>
                </c:pt>
                <c:pt idx="67">
                  <c:v>85.823369820099998</c:v>
                </c:pt>
                <c:pt idx="68">
                  <c:v>84.629948820400003</c:v>
                </c:pt>
                <c:pt idx="69">
                  <c:v>83.168847123700004</c:v>
                </c:pt>
                <c:pt idx="70">
                  <c:v>83.285946965099996</c:v>
                </c:pt>
                <c:pt idx="71">
                  <c:v>86.1609915194</c:v>
                </c:pt>
                <c:pt idx="72">
                  <c:v>84.570991111799998</c:v>
                </c:pt>
                <c:pt idx="73">
                  <c:v>85.375093942899994</c:v>
                </c:pt>
                <c:pt idx="74">
                  <c:v>86.568815420899995</c:v>
                </c:pt>
                <c:pt idx="75">
                  <c:v>86.140638402500002</c:v>
                </c:pt>
                <c:pt idx="76">
                  <c:v>84.956681290199995</c:v>
                </c:pt>
                <c:pt idx="77">
                  <c:v>83.661000772099996</c:v>
                </c:pt>
                <c:pt idx="78">
                  <c:v>82.342707837000006</c:v>
                </c:pt>
                <c:pt idx="79">
                  <c:v>84.353127527699996</c:v>
                </c:pt>
                <c:pt idx="80">
                  <c:v>85.858625660399994</c:v>
                </c:pt>
                <c:pt idx="81">
                  <c:v>86.207459603100006</c:v>
                </c:pt>
                <c:pt idx="82">
                  <c:v>85.313393156100005</c:v>
                </c:pt>
                <c:pt idx="83">
                  <c:v>83.356468080900001</c:v>
                </c:pt>
                <c:pt idx="84">
                  <c:v>84.236102036800006</c:v>
                </c:pt>
                <c:pt idx="85">
                  <c:v>87.547507546099993</c:v>
                </c:pt>
                <c:pt idx="86">
                  <c:v>90.439442107900007</c:v>
                </c:pt>
                <c:pt idx="87">
                  <c:v>90.588032740700001</c:v>
                </c:pt>
                <c:pt idx="88">
                  <c:v>92.287255694699994</c:v>
                </c:pt>
                <c:pt idx="89">
                  <c:v>90.959475458300005</c:v>
                </c:pt>
                <c:pt idx="90">
                  <c:v>88.806740470999998</c:v>
                </c:pt>
                <c:pt idx="91">
                  <c:v>90.216896370800001</c:v>
                </c:pt>
                <c:pt idx="92">
                  <c:v>89.282910080999997</c:v>
                </c:pt>
                <c:pt idx="93">
                  <c:v>89.404825779500001</c:v>
                </c:pt>
                <c:pt idx="94">
                  <c:v>89.025142202799998</c:v>
                </c:pt>
                <c:pt idx="95">
                  <c:v>91.812708291000007</c:v>
                </c:pt>
                <c:pt idx="96">
                  <c:v>96.014119718100005</c:v>
                </c:pt>
                <c:pt idx="97">
                  <c:v>94.468888851200006</c:v>
                </c:pt>
                <c:pt idx="98">
                  <c:v>94.582846784799997</c:v>
                </c:pt>
                <c:pt idx="99">
                  <c:v>97.076113687299994</c:v>
                </c:pt>
                <c:pt idx="100">
                  <c:v>91.630858505299997</c:v>
                </c:pt>
              </c:numCache>
            </c:numRef>
          </c:yVal>
          <c:smooth val="1"/>
        </c:ser>
        <c:ser>
          <c:idx val="79"/>
          <c:order val="79"/>
          <c:tx>
            <c:strRef>
              <c:f>S_plus!$CN$1</c:f>
              <c:strCache>
                <c:ptCount val="1"/>
                <c:pt idx="0">
                  <c:v>Sim80</c:v>
                </c:pt>
              </c:strCache>
            </c:strRef>
          </c:tx>
          <c:marker>
            <c:symbol val="none"/>
          </c:marker>
          <c:xVal>
            <c:numRef>
              <c:f>S_plus!$L$2:$L$102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S_plus!$CN$2:$CN$102</c:f>
              <c:numCache>
                <c:formatCode>General</c:formatCode>
                <c:ptCount val="101"/>
                <c:pt idx="0">
                  <c:v>100</c:v>
                </c:pt>
                <c:pt idx="1">
                  <c:v>98.361740603800001</c:v>
                </c:pt>
                <c:pt idx="2">
                  <c:v>94.336438411700001</c:v>
                </c:pt>
                <c:pt idx="3">
                  <c:v>93.814388467499995</c:v>
                </c:pt>
                <c:pt idx="4">
                  <c:v>95.817459689700001</c:v>
                </c:pt>
                <c:pt idx="5">
                  <c:v>95.779085840400001</c:v>
                </c:pt>
                <c:pt idx="6">
                  <c:v>93.568291797599997</c:v>
                </c:pt>
                <c:pt idx="7">
                  <c:v>96.260750244500002</c:v>
                </c:pt>
                <c:pt idx="8">
                  <c:v>92.974070031099998</c:v>
                </c:pt>
                <c:pt idx="9">
                  <c:v>94.432198921299999</c:v>
                </c:pt>
                <c:pt idx="10">
                  <c:v>92.617750040399997</c:v>
                </c:pt>
                <c:pt idx="11">
                  <c:v>92.3095051488</c:v>
                </c:pt>
                <c:pt idx="12">
                  <c:v>91.477711828699995</c:v>
                </c:pt>
                <c:pt idx="13">
                  <c:v>93.639666931799994</c:v>
                </c:pt>
                <c:pt idx="14">
                  <c:v>93.762224686600007</c:v>
                </c:pt>
                <c:pt idx="15">
                  <c:v>92.405145075799993</c:v>
                </c:pt>
                <c:pt idx="16">
                  <c:v>95.968832215600003</c:v>
                </c:pt>
                <c:pt idx="17">
                  <c:v>95.812952086699994</c:v>
                </c:pt>
                <c:pt idx="18">
                  <c:v>96.825829583399994</c:v>
                </c:pt>
                <c:pt idx="19">
                  <c:v>99.589596121499994</c:v>
                </c:pt>
                <c:pt idx="20">
                  <c:v>99.319038206599998</c:v>
                </c:pt>
                <c:pt idx="21">
                  <c:v>98.3640698074</c:v>
                </c:pt>
                <c:pt idx="22">
                  <c:v>96.736333351599995</c:v>
                </c:pt>
                <c:pt idx="23">
                  <c:v>93.529624431100004</c:v>
                </c:pt>
                <c:pt idx="24">
                  <c:v>90.193481787899998</c:v>
                </c:pt>
                <c:pt idx="25">
                  <c:v>90.754880464500005</c:v>
                </c:pt>
                <c:pt idx="26">
                  <c:v>86.7649685003</c:v>
                </c:pt>
                <c:pt idx="27">
                  <c:v>85.421472277700005</c:v>
                </c:pt>
                <c:pt idx="28">
                  <c:v>87.454414475199997</c:v>
                </c:pt>
                <c:pt idx="29">
                  <c:v>88.857647659799994</c:v>
                </c:pt>
                <c:pt idx="30">
                  <c:v>90.632382779699995</c:v>
                </c:pt>
                <c:pt idx="31">
                  <c:v>94.986730215500003</c:v>
                </c:pt>
                <c:pt idx="32">
                  <c:v>95.539074117599995</c:v>
                </c:pt>
                <c:pt idx="33">
                  <c:v>95.519290397800006</c:v>
                </c:pt>
                <c:pt idx="34">
                  <c:v>95.283361172100001</c:v>
                </c:pt>
                <c:pt idx="35">
                  <c:v>93.646509471100003</c:v>
                </c:pt>
                <c:pt idx="36">
                  <c:v>92.489670786000005</c:v>
                </c:pt>
                <c:pt idx="37">
                  <c:v>94.331372024800004</c:v>
                </c:pt>
                <c:pt idx="38">
                  <c:v>96.820763479299998</c:v>
                </c:pt>
                <c:pt idx="39">
                  <c:v>95.527825540699993</c:v>
                </c:pt>
                <c:pt idx="40">
                  <c:v>95.014019999200002</c:v>
                </c:pt>
                <c:pt idx="41">
                  <c:v>94.964939446399995</c:v>
                </c:pt>
                <c:pt idx="42">
                  <c:v>97.120209011200004</c:v>
                </c:pt>
                <c:pt idx="43">
                  <c:v>95.543255375599998</c:v>
                </c:pt>
                <c:pt idx="44">
                  <c:v>97.435257074600003</c:v>
                </c:pt>
                <c:pt idx="45">
                  <c:v>95.201104860699999</c:v>
                </c:pt>
                <c:pt idx="46">
                  <c:v>97.742772609699998</c:v>
                </c:pt>
                <c:pt idx="47">
                  <c:v>100.52410873300001</c:v>
                </c:pt>
                <c:pt idx="48">
                  <c:v>99.412952177199998</c:v>
                </c:pt>
                <c:pt idx="49">
                  <c:v>99.867916068699998</c:v>
                </c:pt>
                <c:pt idx="50">
                  <c:v>102.44347961699999</c:v>
                </c:pt>
                <c:pt idx="51">
                  <c:v>105.802605066</c:v>
                </c:pt>
                <c:pt idx="52">
                  <c:v>105.71558134</c:v>
                </c:pt>
                <c:pt idx="53">
                  <c:v>106.588265924</c:v>
                </c:pt>
                <c:pt idx="54">
                  <c:v>105.878494426</c:v>
                </c:pt>
                <c:pt idx="55">
                  <c:v>106.596971458</c:v>
                </c:pt>
                <c:pt idx="56">
                  <c:v>104.199856783</c:v>
                </c:pt>
                <c:pt idx="57">
                  <c:v>105.856089965</c:v>
                </c:pt>
                <c:pt idx="58">
                  <c:v>108.793506824</c:v>
                </c:pt>
                <c:pt idx="59">
                  <c:v>106.064395714</c:v>
                </c:pt>
                <c:pt idx="60">
                  <c:v>106.824537267</c:v>
                </c:pt>
                <c:pt idx="61">
                  <c:v>107.751352285</c:v>
                </c:pt>
                <c:pt idx="62">
                  <c:v>110.43206400299999</c:v>
                </c:pt>
                <c:pt idx="63">
                  <c:v>109.17064815800001</c:v>
                </c:pt>
                <c:pt idx="64">
                  <c:v>106.130909772</c:v>
                </c:pt>
                <c:pt idx="65">
                  <c:v>107.02417937600001</c:v>
                </c:pt>
                <c:pt idx="66">
                  <c:v>105.843037197</c:v>
                </c:pt>
                <c:pt idx="67">
                  <c:v>105.678735471</c:v>
                </c:pt>
                <c:pt idx="68">
                  <c:v>105.713012091</c:v>
                </c:pt>
                <c:pt idx="69">
                  <c:v>103.094289457</c:v>
                </c:pt>
                <c:pt idx="70">
                  <c:v>100.86897522700001</c:v>
                </c:pt>
                <c:pt idx="71">
                  <c:v>98.4960157788</c:v>
                </c:pt>
                <c:pt idx="72">
                  <c:v>95.390061718799998</c:v>
                </c:pt>
                <c:pt idx="73">
                  <c:v>97.359323909599993</c:v>
                </c:pt>
                <c:pt idx="74">
                  <c:v>100.217767442</c:v>
                </c:pt>
                <c:pt idx="75">
                  <c:v>96.777419481300001</c:v>
                </c:pt>
                <c:pt idx="76">
                  <c:v>96.683677045500005</c:v>
                </c:pt>
                <c:pt idx="77">
                  <c:v>99.452163397500001</c:v>
                </c:pt>
                <c:pt idx="78">
                  <c:v>99.494825477000006</c:v>
                </c:pt>
                <c:pt idx="79">
                  <c:v>101.354786417</c:v>
                </c:pt>
                <c:pt idx="80">
                  <c:v>106.182825299</c:v>
                </c:pt>
                <c:pt idx="81">
                  <c:v>104.08893118100001</c:v>
                </c:pt>
                <c:pt idx="82">
                  <c:v>101.610167887</c:v>
                </c:pt>
                <c:pt idx="83">
                  <c:v>107.850910875</c:v>
                </c:pt>
                <c:pt idx="84">
                  <c:v>112.099344852</c:v>
                </c:pt>
                <c:pt idx="85">
                  <c:v>110.93287345</c:v>
                </c:pt>
                <c:pt idx="86">
                  <c:v>110.439577235</c:v>
                </c:pt>
                <c:pt idx="87">
                  <c:v>107.49881744299999</c:v>
                </c:pt>
                <c:pt idx="88">
                  <c:v>109.393756823</c:v>
                </c:pt>
                <c:pt idx="89">
                  <c:v>109.90537013300001</c:v>
                </c:pt>
                <c:pt idx="90">
                  <c:v>105.46778083700001</c:v>
                </c:pt>
                <c:pt idx="91">
                  <c:v>105.535583515</c:v>
                </c:pt>
                <c:pt idx="92">
                  <c:v>106.67285699200001</c:v>
                </c:pt>
                <c:pt idx="93">
                  <c:v>102.866991513</c:v>
                </c:pt>
                <c:pt idx="94">
                  <c:v>105.646839152</c:v>
                </c:pt>
                <c:pt idx="95">
                  <c:v>104.458561567</c:v>
                </c:pt>
                <c:pt idx="96">
                  <c:v>106.61993565</c:v>
                </c:pt>
                <c:pt idx="97">
                  <c:v>105.67480958</c:v>
                </c:pt>
                <c:pt idx="98">
                  <c:v>104.779135098</c:v>
                </c:pt>
                <c:pt idx="99">
                  <c:v>109.011748794</c:v>
                </c:pt>
                <c:pt idx="100">
                  <c:v>109.245129918</c:v>
                </c:pt>
              </c:numCache>
            </c:numRef>
          </c:yVal>
          <c:smooth val="1"/>
        </c:ser>
        <c:ser>
          <c:idx val="80"/>
          <c:order val="80"/>
          <c:tx>
            <c:strRef>
              <c:f>S_plus!$CO$1</c:f>
              <c:strCache>
                <c:ptCount val="1"/>
                <c:pt idx="0">
                  <c:v>Sim81</c:v>
                </c:pt>
              </c:strCache>
            </c:strRef>
          </c:tx>
          <c:marker>
            <c:symbol val="none"/>
          </c:marker>
          <c:xVal>
            <c:numRef>
              <c:f>S_plus!$L$2:$L$102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S_plus!$CO$2:$CO$102</c:f>
              <c:numCache>
                <c:formatCode>General</c:formatCode>
                <c:ptCount val="101"/>
                <c:pt idx="0">
                  <c:v>100</c:v>
                </c:pt>
                <c:pt idx="1">
                  <c:v>103.617771229</c:v>
                </c:pt>
                <c:pt idx="2">
                  <c:v>106.46856244200001</c:v>
                </c:pt>
                <c:pt idx="3">
                  <c:v>104.34016769</c:v>
                </c:pt>
                <c:pt idx="4">
                  <c:v>102.65559971099999</c:v>
                </c:pt>
                <c:pt idx="5">
                  <c:v>104.66987592</c:v>
                </c:pt>
                <c:pt idx="6">
                  <c:v>103.608376987</c:v>
                </c:pt>
                <c:pt idx="7">
                  <c:v>105.053894391</c:v>
                </c:pt>
                <c:pt idx="8">
                  <c:v>105.32557455200001</c:v>
                </c:pt>
                <c:pt idx="9">
                  <c:v>105.836920358</c:v>
                </c:pt>
                <c:pt idx="10">
                  <c:v>108.663420968</c:v>
                </c:pt>
                <c:pt idx="11">
                  <c:v>105.752880996</c:v>
                </c:pt>
                <c:pt idx="12">
                  <c:v>104.065206217</c:v>
                </c:pt>
                <c:pt idx="13">
                  <c:v>105.778582965</c:v>
                </c:pt>
                <c:pt idx="14">
                  <c:v>104.823631439</c:v>
                </c:pt>
                <c:pt idx="15">
                  <c:v>103.053673019</c:v>
                </c:pt>
                <c:pt idx="16">
                  <c:v>104.652236891</c:v>
                </c:pt>
                <c:pt idx="17">
                  <c:v>101.04025023200001</c:v>
                </c:pt>
                <c:pt idx="18">
                  <c:v>102.079038267</c:v>
                </c:pt>
                <c:pt idx="19">
                  <c:v>106.395480638</c:v>
                </c:pt>
                <c:pt idx="20">
                  <c:v>106.91499391799999</c:v>
                </c:pt>
                <c:pt idx="21">
                  <c:v>110.12407345699999</c:v>
                </c:pt>
                <c:pt idx="22">
                  <c:v>112.878887597</c:v>
                </c:pt>
                <c:pt idx="23">
                  <c:v>110.504696186</c:v>
                </c:pt>
                <c:pt idx="24">
                  <c:v>111.691981813</c:v>
                </c:pt>
                <c:pt idx="25">
                  <c:v>115.64331955199999</c:v>
                </c:pt>
                <c:pt idx="26">
                  <c:v>120.772294358</c:v>
                </c:pt>
                <c:pt idx="27">
                  <c:v>117.848357784</c:v>
                </c:pt>
                <c:pt idx="28">
                  <c:v>117.362533349</c:v>
                </c:pt>
                <c:pt idx="29">
                  <c:v>117.10502105899999</c:v>
                </c:pt>
                <c:pt idx="30">
                  <c:v>116.784357582</c:v>
                </c:pt>
                <c:pt idx="31">
                  <c:v>113.691120575</c:v>
                </c:pt>
                <c:pt idx="32">
                  <c:v>116.10393856100001</c:v>
                </c:pt>
                <c:pt idx="33">
                  <c:v>116.93596343</c:v>
                </c:pt>
                <c:pt idx="34">
                  <c:v>118.127993975</c:v>
                </c:pt>
                <c:pt idx="35">
                  <c:v>119.519258839</c:v>
                </c:pt>
                <c:pt idx="36">
                  <c:v>123.051504444</c:v>
                </c:pt>
                <c:pt idx="37">
                  <c:v>119.875069614</c:v>
                </c:pt>
                <c:pt idx="38">
                  <c:v>120.723828423</c:v>
                </c:pt>
                <c:pt idx="39">
                  <c:v>124.816876945</c:v>
                </c:pt>
                <c:pt idx="40">
                  <c:v>128.010096304</c:v>
                </c:pt>
                <c:pt idx="41">
                  <c:v>125.071337148</c:v>
                </c:pt>
                <c:pt idx="42">
                  <c:v>133.73335483700001</c:v>
                </c:pt>
                <c:pt idx="43">
                  <c:v>132.540555168</c:v>
                </c:pt>
                <c:pt idx="44">
                  <c:v>135.65206171200001</c:v>
                </c:pt>
                <c:pt idx="45">
                  <c:v>137.92598408999999</c:v>
                </c:pt>
                <c:pt idx="46">
                  <c:v>141.05409315599999</c:v>
                </c:pt>
                <c:pt idx="47">
                  <c:v>143.252007131</c:v>
                </c:pt>
                <c:pt idx="48">
                  <c:v>144.53331124300001</c:v>
                </c:pt>
                <c:pt idx="49">
                  <c:v>144.67650436700001</c:v>
                </c:pt>
                <c:pt idx="50">
                  <c:v>146.34527240899999</c:v>
                </c:pt>
                <c:pt idx="51">
                  <c:v>147.018529191</c:v>
                </c:pt>
                <c:pt idx="52">
                  <c:v>146.69803364200001</c:v>
                </c:pt>
                <c:pt idx="53">
                  <c:v>144.55940511700001</c:v>
                </c:pt>
                <c:pt idx="54">
                  <c:v>141.06815264900001</c:v>
                </c:pt>
                <c:pt idx="55">
                  <c:v>140.83848419399999</c:v>
                </c:pt>
                <c:pt idx="56">
                  <c:v>140.41393164600001</c:v>
                </c:pt>
                <c:pt idx="57">
                  <c:v>145.157812689</c:v>
                </c:pt>
                <c:pt idx="58">
                  <c:v>144.520623091</c:v>
                </c:pt>
                <c:pt idx="59">
                  <c:v>146.98310150399999</c:v>
                </c:pt>
                <c:pt idx="60">
                  <c:v>147.009169267</c:v>
                </c:pt>
                <c:pt idx="61">
                  <c:v>148.60171054099999</c:v>
                </c:pt>
                <c:pt idx="62">
                  <c:v>146.271603204</c:v>
                </c:pt>
                <c:pt idx="63">
                  <c:v>144.78773123600001</c:v>
                </c:pt>
                <c:pt idx="64">
                  <c:v>143.74175010799999</c:v>
                </c:pt>
                <c:pt idx="65">
                  <c:v>143.46095912499999</c:v>
                </c:pt>
                <c:pt idx="66">
                  <c:v>144.32250585700001</c:v>
                </c:pt>
                <c:pt idx="67">
                  <c:v>144.588099382</c:v>
                </c:pt>
                <c:pt idx="68">
                  <c:v>144.26440793899999</c:v>
                </c:pt>
                <c:pt idx="69">
                  <c:v>142.687509183</c:v>
                </c:pt>
                <c:pt idx="70">
                  <c:v>148.93704639699999</c:v>
                </c:pt>
                <c:pt idx="71">
                  <c:v>151.26946209900001</c:v>
                </c:pt>
                <c:pt idx="72">
                  <c:v>147.93492206400001</c:v>
                </c:pt>
                <c:pt idx="73">
                  <c:v>147.57454998700001</c:v>
                </c:pt>
                <c:pt idx="74">
                  <c:v>144.842427413</c:v>
                </c:pt>
                <c:pt idx="75">
                  <c:v>141.88350034300001</c:v>
                </c:pt>
                <c:pt idx="76">
                  <c:v>142.42494384700001</c:v>
                </c:pt>
                <c:pt idx="77">
                  <c:v>144.289094199</c:v>
                </c:pt>
                <c:pt idx="78">
                  <c:v>148.43751311299999</c:v>
                </c:pt>
                <c:pt idx="79">
                  <c:v>146.32178677300001</c:v>
                </c:pt>
                <c:pt idx="80">
                  <c:v>145.700266183</c:v>
                </c:pt>
                <c:pt idx="81">
                  <c:v>146.39323177700001</c:v>
                </c:pt>
                <c:pt idx="82">
                  <c:v>144.85616896299999</c:v>
                </c:pt>
                <c:pt idx="83">
                  <c:v>145.28048663499999</c:v>
                </c:pt>
                <c:pt idx="84">
                  <c:v>141.91292585799999</c:v>
                </c:pt>
                <c:pt idx="85">
                  <c:v>144.21473206100001</c:v>
                </c:pt>
                <c:pt idx="86">
                  <c:v>147.371184387</c:v>
                </c:pt>
                <c:pt idx="87">
                  <c:v>150.37078279799999</c:v>
                </c:pt>
                <c:pt idx="88">
                  <c:v>148.62602329200001</c:v>
                </c:pt>
                <c:pt idx="89">
                  <c:v>148.421190749</c:v>
                </c:pt>
                <c:pt idx="90">
                  <c:v>149.71531773500001</c:v>
                </c:pt>
                <c:pt idx="91">
                  <c:v>153.55880358799999</c:v>
                </c:pt>
                <c:pt idx="92">
                  <c:v>146.800605284</c:v>
                </c:pt>
                <c:pt idx="93">
                  <c:v>146.774270769</c:v>
                </c:pt>
                <c:pt idx="94">
                  <c:v>147.209662635</c:v>
                </c:pt>
                <c:pt idx="95">
                  <c:v>151.586363439</c:v>
                </c:pt>
                <c:pt idx="96">
                  <c:v>151.521265193</c:v>
                </c:pt>
                <c:pt idx="97">
                  <c:v>155.67422371399999</c:v>
                </c:pt>
                <c:pt idx="98">
                  <c:v>158.738298286</c:v>
                </c:pt>
                <c:pt idx="99">
                  <c:v>163.896793777</c:v>
                </c:pt>
                <c:pt idx="100">
                  <c:v>168.32147416500001</c:v>
                </c:pt>
              </c:numCache>
            </c:numRef>
          </c:yVal>
          <c:smooth val="1"/>
        </c:ser>
        <c:ser>
          <c:idx val="81"/>
          <c:order val="81"/>
          <c:tx>
            <c:strRef>
              <c:f>S_plus!$CP$1</c:f>
              <c:strCache>
                <c:ptCount val="1"/>
                <c:pt idx="0">
                  <c:v>Sim82</c:v>
                </c:pt>
              </c:strCache>
            </c:strRef>
          </c:tx>
          <c:marker>
            <c:symbol val="none"/>
          </c:marker>
          <c:xVal>
            <c:numRef>
              <c:f>S_plus!$L$2:$L$102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S_plus!$CP$2:$CP$102</c:f>
              <c:numCache>
                <c:formatCode>General</c:formatCode>
                <c:ptCount val="101"/>
                <c:pt idx="0">
                  <c:v>100</c:v>
                </c:pt>
                <c:pt idx="1">
                  <c:v>98.829003885000006</c:v>
                </c:pt>
                <c:pt idx="2">
                  <c:v>99.900735048300007</c:v>
                </c:pt>
                <c:pt idx="3">
                  <c:v>103.209847701</c:v>
                </c:pt>
                <c:pt idx="4">
                  <c:v>103.82974050999999</c:v>
                </c:pt>
                <c:pt idx="5">
                  <c:v>107.050312608</c:v>
                </c:pt>
                <c:pt idx="6">
                  <c:v>107.62567534999999</c:v>
                </c:pt>
                <c:pt idx="7">
                  <c:v>105.601082439</c:v>
                </c:pt>
                <c:pt idx="8">
                  <c:v>99.1683949146</c:v>
                </c:pt>
                <c:pt idx="9">
                  <c:v>97.907067206999997</c:v>
                </c:pt>
                <c:pt idx="10">
                  <c:v>100.905865373</c:v>
                </c:pt>
                <c:pt idx="11">
                  <c:v>105.25988087499999</c:v>
                </c:pt>
                <c:pt idx="12">
                  <c:v>108.347581549</c:v>
                </c:pt>
                <c:pt idx="13">
                  <c:v>103.676556969</c:v>
                </c:pt>
                <c:pt idx="14">
                  <c:v>106.371484356</c:v>
                </c:pt>
                <c:pt idx="15">
                  <c:v>107.57676410000001</c:v>
                </c:pt>
                <c:pt idx="16">
                  <c:v>108.47052267799999</c:v>
                </c:pt>
                <c:pt idx="17">
                  <c:v>108.08805532300001</c:v>
                </c:pt>
                <c:pt idx="18">
                  <c:v>106.276824522</c:v>
                </c:pt>
                <c:pt idx="19">
                  <c:v>105.692071454</c:v>
                </c:pt>
                <c:pt idx="20">
                  <c:v>104.57378169</c:v>
                </c:pt>
                <c:pt idx="21">
                  <c:v>104.39796343</c:v>
                </c:pt>
                <c:pt idx="22">
                  <c:v>103.61008016700001</c:v>
                </c:pt>
                <c:pt idx="23">
                  <c:v>101.117239368</c:v>
                </c:pt>
                <c:pt idx="24">
                  <c:v>98.124163891600006</c:v>
                </c:pt>
                <c:pt idx="25">
                  <c:v>97.802168117899996</c:v>
                </c:pt>
                <c:pt idx="26">
                  <c:v>94.334347718399997</c:v>
                </c:pt>
                <c:pt idx="27">
                  <c:v>92.706491303500002</c:v>
                </c:pt>
                <c:pt idx="28">
                  <c:v>93.713501078500002</c:v>
                </c:pt>
                <c:pt idx="29">
                  <c:v>95.847872287300007</c:v>
                </c:pt>
                <c:pt idx="30">
                  <c:v>96.076450169300003</c:v>
                </c:pt>
                <c:pt idx="31">
                  <c:v>98.563534011499996</c:v>
                </c:pt>
                <c:pt idx="32">
                  <c:v>96.936628962399993</c:v>
                </c:pt>
                <c:pt idx="33">
                  <c:v>95.380882756099993</c:v>
                </c:pt>
                <c:pt idx="34">
                  <c:v>94.367515062600006</c:v>
                </c:pt>
                <c:pt idx="35">
                  <c:v>89.571953560099999</c:v>
                </c:pt>
                <c:pt idx="36">
                  <c:v>90.265197392100006</c:v>
                </c:pt>
                <c:pt idx="37">
                  <c:v>91.039169400800006</c:v>
                </c:pt>
                <c:pt idx="38">
                  <c:v>87.826906861300003</c:v>
                </c:pt>
                <c:pt idx="39">
                  <c:v>89.286024130300007</c:v>
                </c:pt>
                <c:pt idx="40">
                  <c:v>88.142712671599995</c:v>
                </c:pt>
                <c:pt idx="41">
                  <c:v>92.936446753400006</c:v>
                </c:pt>
                <c:pt idx="42">
                  <c:v>90.726529522600003</c:v>
                </c:pt>
                <c:pt idx="43">
                  <c:v>91.975476786000002</c:v>
                </c:pt>
                <c:pt idx="44">
                  <c:v>87.503379598999999</c:v>
                </c:pt>
                <c:pt idx="45">
                  <c:v>86.789775697300001</c:v>
                </c:pt>
                <c:pt idx="46">
                  <c:v>85.639755313600006</c:v>
                </c:pt>
                <c:pt idx="47">
                  <c:v>84.301759794399999</c:v>
                </c:pt>
                <c:pt idx="48">
                  <c:v>84.116401335000006</c:v>
                </c:pt>
                <c:pt idx="49">
                  <c:v>82.9637070685</c:v>
                </c:pt>
                <c:pt idx="50">
                  <c:v>82.849429822499999</c:v>
                </c:pt>
                <c:pt idx="51">
                  <c:v>79.311948308599995</c:v>
                </c:pt>
                <c:pt idx="52">
                  <c:v>80.274093028099998</c:v>
                </c:pt>
                <c:pt idx="53">
                  <c:v>79.289944623400004</c:v>
                </c:pt>
                <c:pt idx="54">
                  <c:v>80.407945627100005</c:v>
                </c:pt>
                <c:pt idx="55">
                  <c:v>81.161865109600001</c:v>
                </c:pt>
                <c:pt idx="56">
                  <c:v>82.222816158900002</c:v>
                </c:pt>
                <c:pt idx="57">
                  <c:v>81.865284387299994</c:v>
                </c:pt>
                <c:pt idx="58">
                  <c:v>82.226895739</c:v>
                </c:pt>
                <c:pt idx="59">
                  <c:v>84.149372378099997</c:v>
                </c:pt>
                <c:pt idx="60">
                  <c:v>86.668953010400003</c:v>
                </c:pt>
                <c:pt idx="61">
                  <c:v>86.366424973799994</c:v>
                </c:pt>
                <c:pt idx="62">
                  <c:v>89.177341803600001</c:v>
                </c:pt>
                <c:pt idx="63">
                  <c:v>92.951297006800004</c:v>
                </c:pt>
                <c:pt idx="64">
                  <c:v>90.802041991400003</c:v>
                </c:pt>
                <c:pt idx="65">
                  <c:v>90.9559591915</c:v>
                </c:pt>
                <c:pt idx="66">
                  <c:v>92.277954407600006</c:v>
                </c:pt>
                <c:pt idx="67">
                  <c:v>92.849814232699998</c:v>
                </c:pt>
                <c:pt idx="68">
                  <c:v>91.260289284400002</c:v>
                </c:pt>
                <c:pt idx="69">
                  <c:v>88.640894308300005</c:v>
                </c:pt>
                <c:pt idx="70">
                  <c:v>89.842498290400002</c:v>
                </c:pt>
                <c:pt idx="71">
                  <c:v>89.1449278029</c:v>
                </c:pt>
                <c:pt idx="72">
                  <c:v>87.989039074900006</c:v>
                </c:pt>
                <c:pt idx="73">
                  <c:v>87.353527836699996</c:v>
                </c:pt>
                <c:pt idx="74">
                  <c:v>86.497750118400006</c:v>
                </c:pt>
                <c:pt idx="75">
                  <c:v>88.129879743900005</c:v>
                </c:pt>
                <c:pt idx="76">
                  <c:v>89.587729941000006</c:v>
                </c:pt>
                <c:pt idx="77">
                  <c:v>87.077846192500004</c:v>
                </c:pt>
                <c:pt idx="78">
                  <c:v>86.381627979800001</c:v>
                </c:pt>
                <c:pt idx="79">
                  <c:v>83.8632859362</c:v>
                </c:pt>
                <c:pt idx="80">
                  <c:v>84.009453746299997</c:v>
                </c:pt>
                <c:pt idx="81">
                  <c:v>84.893667685699995</c:v>
                </c:pt>
                <c:pt idx="82">
                  <c:v>84.953773170000005</c:v>
                </c:pt>
                <c:pt idx="83">
                  <c:v>83.8828428124</c:v>
                </c:pt>
                <c:pt idx="84">
                  <c:v>83.855517002100001</c:v>
                </c:pt>
                <c:pt idx="85">
                  <c:v>84.695293598299997</c:v>
                </c:pt>
                <c:pt idx="86">
                  <c:v>85.625650284100004</c:v>
                </c:pt>
                <c:pt idx="87">
                  <c:v>87.599286281999994</c:v>
                </c:pt>
                <c:pt idx="88">
                  <c:v>87.841047257499994</c:v>
                </c:pt>
                <c:pt idx="89">
                  <c:v>85.982807056699997</c:v>
                </c:pt>
                <c:pt idx="90">
                  <c:v>86.3173362486</c:v>
                </c:pt>
                <c:pt idx="91">
                  <c:v>88.1448829343</c:v>
                </c:pt>
                <c:pt idx="92">
                  <c:v>86.414861589899999</c:v>
                </c:pt>
                <c:pt idx="93">
                  <c:v>84.041235736800004</c:v>
                </c:pt>
                <c:pt idx="94">
                  <c:v>82.417548874199994</c:v>
                </c:pt>
                <c:pt idx="95">
                  <c:v>83.343509412299994</c:v>
                </c:pt>
                <c:pt idx="96">
                  <c:v>84.083371438399993</c:v>
                </c:pt>
                <c:pt idx="97">
                  <c:v>84.669733101800006</c:v>
                </c:pt>
                <c:pt idx="98">
                  <c:v>86.406831314800002</c:v>
                </c:pt>
                <c:pt idx="99">
                  <c:v>88.258847757300003</c:v>
                </c:pt>
                <c:pt idx="100">
                  <c:v>86.032819421300005</c:v>
                </c:pt>
              </c:numCache>
            </c:numRef>
          </c:yVal>
          <c:smooth val="1"/>
        </c:ser>
        <c:ser>
          <c:idx val="82"/>
          <c:order val="82"/>
          <c:tx>
            <c:strRef>
              <c:f>S_plus!$CQ$1</c:f>
              <c:strCache>
                <c:ptCount val="1"/>
                <c:pt idx="0">
                  <c:v>Sim83</c:v>
                </c:pt>
              </c:strCache>
            </c:strRef>
          </c:tx>
          <c:marker>
            <c:symbol val="none"/>
          </c:marker>
          <c:xVal>
            <c:numRef>
              <c:f>S_plus!$L$2:$L$102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S_plus!$CQ$2:$CQ$102</c:f>
              <c:numCache>
                <c:formatCode>General</c:formatCode>
                <c:ptCount val="101"/>
                <c:pt idx="0">
                  <c:v>100</c:v>
                </c:pt>
                <c:pt idx="1">
                  <c:v>99.261262503400005</c:v>
                </c:pt>
                <c:pt idx="2">
                  <c:v>99.0569444594</c:v>
                </c:pt>
                <c:pt idx="3">
                  <c:v>100.42675846500001</c:v>
                </c:pt>
                <c:pt idx="4">
                  <c:v>99.869232856699995</c:v>
                </c:pt>
                <c:pt idx="5">
                  <c:v>99.078675386100002</c:v>
                </c:pt>
                <c:pt idx="6">
                  <c:v>102.60788812200001</c:v>
                </c:pt>
                <c:pt idx="7">
                  <c:v>97.9397103007</c:v>
                </c:pt>
                <c:pt idx="8">
                  <c:v>100.744076458</c:v>
                </c:pt>
                <c:pt idx="9">
                  <c:v>101.987520162</c:v>
                </c:pt>
                <c:pt idx="10">
                  <c:v>105.884300788</c:v>
                </c:pt>
                <c:pt idx="11">
                  <c:v>104.881673732</c:v>
                </c:pt>
                <c:pt idx="12">
                  <c:v>105.118116129</c:v>
                </c:pt>
                <c:pt idx="13">
                  <c:v>105.29386644</c:v>
                </c:pt>
                <c:pt idx="14">
                  <c:v>110.927403273</c:v>
                </c:pt>
                <c:pt idx="15">
                  <c:v>116.54603205799999</c:v>
                </c:pt>
                <c:pt idx="16">
                  <c:v>117.80942638</c:v>
                </c:pt>
                <c:pt idx="17">
                  <c:v>115.486843756</c:v>
                </c:pt>
                <c:pt idx="18">
                  <c:v>112.621698284</c:v>
                </c:pt>
                <c:pt idx="19">
                  <c:v>114.78025171500001</c:v>
                </c:pt>
                <c:pt idx="20">
                  <c:v>113.900458644</c:v>
                </c:pt>
                <c:pt idx="21">
                  <c:v>112.122172647</c:v>
                </c:pt>
                <c:pt idx="22">
                  <c:v>110.869834164</c:v>
                </c:pt>
                <c:pt idx="23">
                  <c:v>108.721122614</c:v>
                </c:pt>
                <c:pt idx="24">
                  <c:v>109.611357525</c:v>
                </c:pt>
                <c:pt idx="25">
                  <c:v>104.67025148099999</c:v>
                </c:pt>
                <c:pt idx="26">
                  <c:v>103.67718315099999</c:v>
                </c:pt>
                <c:pt idx="27">
                  <c:v>103.362337672</c:v>
                </c:pt>
                <c:pt idx="28">
                  <c:v>101.88638558300001</c:v>
                </c:pt>
                <c:pt idx="29">
                  <c:v>100.609684712</c:v>
                </c:pt>
                <c:pt idx="30">
                  <c:v>99.534107233100002</c:v>
                </c:pt>
                <c:pt idx="31">
                  <c:v>94.820882622699997</c:v>
                </c:pt>
                <c:pt idx="32">
                  <c:v>98.866875245700001</c:v>
                </c:pt>
                <c:pt idx="33">
                  <c:v>102.54691946200001</c:v>
                </c:pt>
                <c:pt idx="34">
                  <c:v>101.526955058</c:v>
                </c:pt>
                <c:pt idx="35">
                  <c:v>102.864257514</c:v>
                </c:pt>
                <c:pt idx="36">
                  <c:v>104.565317858</c:v>
                </c:pt>
                <c:pt idx="37">
                  <c:v>101.296374742</c:v>
                </c:pt>
                <c:pt idx="38">
                  <c:v>104.598832296</c:v>
                </c:pt>
                <c:pt idx="39">
                  <c:v>102.377140329</c:v>
                </c:pt>
                <c:pt idx="40">
                  <c:v>103.743098875</c:v>
                </c:pt>
                <c:pt idx="41">
                  <c:v>103.818453713</c:v>
                </c:pt>
                <c:pt idx="42">
                  <c:v>105.81012777399999</c:v>
                </c:pt>
                <c:pt idx="43">
                  <c:v>109.139630075</c:v>
                </c:pt>
                <c:pt idx="44">
                  <c:v>106.20713371399999</c:v>
                </c:pt>
                <c:pt idx="45">
                  <c:v>109.421977419</c:v>
                </c:pt>
                <c:pt idx="46">
                  <c:v>105.91838054599999</c:v>
                </c:pt>
                <c:pt idx="47">
                  <c:v>107.28341523</c:v>
                </c:pt>
                <c:pt idx="48">
                  <c:v>102.435519269</c:v>
                </c:pt>
                <c:pt idx="49">
                  <c:v>101.96211244</c:v>
                </c:pt>
                <c:pt idx="50">
                  <c:v>100.10214462</c:v>
                </c:pt>
                <c:pt idx="51">
                  <c:v>98.382528573000002</c:v>
                </c:pt>
                <c:pt idx="52">
                  <c:v>98.794600592500004</c:v>
                </c:pt>
                <c:pt idx="53">
                  <c:v>98.406144002600001</c:v>
                </c:pt>
                <c:pt idx="54">
                  <c:v>97.020164790999999</c:v>
                </c:pt>
                <c:pt idx="55">
                  <c:v>94.788659834699999</c:v>
                </c:pt>
                <c:pt idx="56">
                  <c:v>92.776921242699999</c:v>
                </c:pt>
                <c:pt idx="57">
                  <c:v>91.399052516699996</c:v>
                </c:pt>
                <c:pt idx="58">
                  <c:v>92.531100193300006</c:v>
                </c:pt>
                <c:pt idx="59">
                  <c:v>93.479029813899999</c:v>
                </c:pt>
                <c:pt idx="60">
                  <c:v>93.835064971400001</c:v>
                </c:pt>
                <c:pt idx="61">
                  <c:v>93.797405442900001</c:v>
                </c:pt>
                <c:pt idx="62">
                  <c:v>92.522876819399997</c:v>
                </c:pt>
                <c:pt idx="63">
                  <c:v>88.755460849200006</c:v>
                </c:pt>
                <c:pt idx="64">
                  <c:v>88.214887661099993</c:v>
                </c:pt>
                <c:pt idx="65">
                  <c:v>86.716479463799999</c:v>
                </c:pt>
                <c:pt idx="66">
                  <c:v>86.381984089400007</c:v>
                </c:pt>
                <c:pt idx="67">
                  <c:v>85.083721297400004</c:v>
                </c:pt>
                <c:pt idx="68">
                  <c:v>88.049234953099997</c:v>
                </c:pt>
                <c:pt idx="69">
                  <c:v>89.441955685400004</c:v>
                </c:pt>
                <c:pt idx="70">
                  <c:v>91.285318442399998</c:v>
                </c:pt>
                <c:pt idx="71">
                  <c:v>88.457310838799998</c:v>
                </c:pt>
                <c:pt idx="72">
                  <c:v>88.066225631600005</c:v>
                </c:pt>
                <c:pt idx="73">
                  <c:v>86.035904485200007</c:v>
                </c:pt>
                <c:pt idx="74">
                  <c:v>85.423827956300002</c:v>
                </c:pt>
                <c:pt idx="75">
                  <c:v>87.269822050000002</c:v>
                </c:pt>
                <c:pt idx="76">
                  <c:v>85.548754813900004</c:v>
                </c:pt>
                <c:pt idx="77">
                  <c:v>84.885721664800002</c:v>
                </c:pt>
                <c:pt idx="78">
                  <c:v>83.285844733800005</c:v>
                </c:pt>
                <c:pt idx="79">
                  <c:v>82.030031079799997</c:v>
                </c:pt>
                <c:pt idx="80">
                  <c:v>82.547926426999993</c:v>
                </c:pt>
                <c:pt idx="81">
                  <c:v>82.9242841322</c:v>
                </c:pt>
                <c:pt idx="82">
                  <c:v>82.088608020999999</c:v>
                </c:pt>
                <c:pt idx="83">
                  <c:v>83.119000229299999</c:v>
                </c:pt>
                <c:pt idx="84">
                  <c:v>81.7973876991</c:v>
                </c:pt>
                <c:pt idx="85">
                  <c:v>86.036558025600002</c:v>
                </c:pt>
                <c:pt idx="86">
                  <c:v>85.372257021500005</c:v>
                </c:pt>
                <c:pt idx="87">
                  <c:v>86.996262305499997</c:v>
                </c:pt>
                <c:pt idx="88">
                  <c:v>85.893800172300004</c:v>
                </c:pt>
                <c:pt idx="89">
                  <c:v>86.671653843200005</c:v>
                </c:pt>
                <c:pt idx="90">
                  <c:v>88.811751591100005</c:v>
                </c:pt>
                <c:pt idx="91">
                  <c:v>88.135877835200006</c:v>
                </c:pt>
                <c:pt idx="92">
                  <c:v>86.914361881600001</c:v>
                </c:pt>
                <c:pt idx="93">
                  <c:v>89.741930179099995</c:v>
                </c:pt>
                <c:pt idx="94">
                  <c:v>89.462703387399998</c:v>
                </c:pt>
                <c:pt idx="95">
                  <c:v>89.604825574200007</c:v>
                </c:pt>
                <c:pt idx="96">
                  <c:v>88.311870268199996</c:v>
                </c:pt>
                <c:pt idx="97">
                  <c:v>89.362223548900005</c:v>
                </c:pt>
                <c:pt idx="98">
                  <c:v>92.576900734600002</c:v>
                </c:pt>
                <c:pt idx="99">
                  <c:v>95.883000031199998</c:v>
                </c:pt>
                <c:pt idx="100">
                  <c:v>96.961474263900001</c:v>
                </c:pt>
              </c:numCache>
            </c:numRef>
          </c:yVal>
          <c:smooth val="1"/>
        </c:ser>
        <c:ser>
          <c:idx val="83"/>
          <c:order val="83"/>
          <c:tx>
            <c:strRef>
              <c:f>S_plus!$CR$1</c:f>
              <c:strCache>
                <c:ptCount val="1"/>
                <c:pt idx="0">
                  <c:v>Sim84</c:v>
                </c:pt>
              </c:strCache>
            </c:strRef>
          </c:tx>
          <c:marker>
            <c:symbol val="none"/>
          </c:marker>
          <c:xVal>
            <c:numRef>
              <c:f>S_plus!$L$2:$L$102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S_plus!$CR$2:$CR$102</c:f>
              <c:numCache>
                <c:formatCode>General</c:formatCode>
                <c:ptCount val="101"/>
                <c:pt idx="0">
                  <c:v>100</c:v>
                </c:pt>
                <c:pt idx="1">
                  <c:v>99.033008787699998</c:v>
                </c:pt>
                <c:pt idx="2">
                  <c:v>97.8924017561</c:v>
                </c:pt>
                <c:pt idx="3">
                  <c:v>95.652837659900001</c:v>
                </c:pt>
                <c:pt idx="4">
                  <c:v>98.087025113199999</c:v>
                </c:pt>
                <c:pt idx="5">
                  <c:v>98.308301532200005</c:v>
                </c:pt>
                <c:pt idx="6">
                  <c:v>102.134019061</c:v>
                </c:pt>
                <c:pt idx="7">
                  <c:v>101.327580274</c:v>
                </c:pt>
                <c:pt idx="8">
                  <c:v>99.208332394799996</c:v>
                </c:pt>
                <c:pt idx="9">
                  <c:v>101.74524809499999</c:v>
                </c:pt>
                <c:pt idx="10">
                  <c:v>104.203021304</c:v>
                </c:pt>
                <c:pt idx="11">
                  <c:v>104.499545314</c:v>
                </c:pt>
                <c:pt idx="12">
                  <c:v>99.9746119136</c:v>
                </c:pt>
                <c:pt idx="13">
                  <c:v>99.068097573700001</c:v>
                </c:pt>
                <c:pt idx="14">
                  <c:v>103.931799849</c:v>
                </c:pt>
                <c:pt idx="15">
                  <c:v>104.19126740599999</c:v>
                </c:pt>
                <c:pt idx="16">
                  <c:v>101.99200747899999</c:v>
                </c:pt>
                <c:pt idx="17">
                  <c:v>103.10619586999999</c:v>
                </c:pt>
                <c:pt idx="18">
                  <c:v>102.96525794599999</c:v>
                </c:pt>
                <c:pt idx="19">
                  <c:v>101.642149597</c:v>
                </c:pt>
                <c:pt idx="20">
                  <c:v>101.094175018</c:v>
                </c:pt>
                <c:pt idx="21">
                  <c:v>103.538659376</c:v>
                </c:pt>
                <c:pt idx="22">
                  <c:v>106.013992534</c:v>
                </c:pt>
                <c:pt idx="23">
                  <c:v>105.400716941</c:v>
                </c:pt>
                <c:pt idx="24">
                  <c:v>106.48335379300001</c:v>
                </c:pt>
                <c:pt idx="25">
                  <c:v>104.74496135</c:v>
                </c:pt>
                <c:pt idx="26">
                  <c:v>101.296665053</c:v>
                </c:pt>
                <c:pt idx="27">
                  <c:v>100.360675861</c:v>
                </c:pt>
                <c:pt idx="28">
                  <c:v>102.42483267599999</c:v>
                </c:pt>
                <c:pt idx="29">
                  <c:v>102.067139693</c:v>
                </c:pt>
                <c:pt idx="30">
                  <c:v>101.733484996</c:v>
                </c:pt>
                <c:pt idx="31">
                  <c:v>101.914462324</c:v>
                </c:pt>
                <c:pt idx="32">
                  <c:v>100.46261873100001</c:v>
                </c:pt>
                <c:pt idx="33">
                  <c:v>101.32312004800001</c:v>
                </c:pt>
                <c:pt idx="34">
                  <c:v>103.465919841</c:v>
                </c:pt>
                <c:pt idx="35">
                  <c:v>102.696172703</c:v>
                </c:pt>
                <c:pt idx="36">
                  <c:v>103.597360982</c:v>
                </c:pt>
                <c:pt idx="37">
                  <c:v>101.31801448</c:v>
                </c:pt>
                <c:pt idx="38">
                  <c:v>100.453104466</c:v>
                </c:pt>
                <c:pt idx="39">
                  <c:v>101.238779775</c:v>
                </c:pt>
                <c:pt idx="40">
                  <c:v>105.27774981500001</c:v>
                </c:pt>
                <c:pt idx="41">
                  <c:v>102.995135804</c:v>
                </c:pt>
                <c:pt idx="42">
                  <c:v>105.052741023</c:v>
                </c:pt>
                <c:pt idx="43">
                  <c:v>104.794577168</c:v>
                </c:pt>
                <c:pt idx="44">
                  <c:v>99.835856117099993</c:v>
                </c:pt>
                <c:pt idx="45">
                  <c:v>102.258960849</c:v>
                </c:pt>
                <c:pt idx="46">
                  <c:v>101.527481362</c:v>
                </c:pt>
                <c:pt idx="47">
                  <c:v>104.01128576799999</c:v>
                </c:pt>
                <c:pt idx="48">
                  <c:v>103.66502823</c:v>
                </c:pt>
                <c:pt idx="49">
                  <c:v>102.838368755</c:v>
                </c:pt>
                <c:pt idx="50">
                  <c:v>99.798563467899996</c:v>
                </c:pt>
                <c:pt idx="51">
                  <c:v>102.917767074</c:v>
                </c:pt>
                <c:pt idx="52">
                  <c:v>99.299717298700003</c:v>
                </c:pt>
                <c:pt idx="53">
                  <c:v>102.21447045799999</c:v>
                </c:pt>
                <c:pt idx="54">
                  <c:v>104.115894017</c:v>
                </c:pt>
                <c:pt idx="55">
                  <c:v>101.73562271</c:v>
                </c:pt>
                <c:pt idx="56">
                  <c:v>101.655396638</c:v>
                </c:pt>
                <c:pt idx="57">
                  <c:v>102.585139408</c:v>
                </c:pt>
                <c:pt idx="58">
                  <c:v>102.224531106</c:v>
                </c:pt>
                <c:pt idx="59">
                  <c:v>101.740958236</c:v>
                </c:pt>
                <c:pt idx="60">
                  <c:v>107.24734919799999</c:v>
                </c:pt>
                <c:pt idx="61">
                  <c:v>109.12421412</c:v>
                </c:pt>
                <c:pt idx="62">
                  <c:v>110.538210744</c:v>
                </c:pt>
                <c:pt idx="63">
                  <c:v>110.652238139</c:v>
                </c:pt>
                <c:pt idx="64">
                  <c:v>109.611883793</c:v>
                </c:pt>
                <c:pt idx="65">
                  <c:v>107.99146803399999</c:v>
                </c:pt>
                <c:pt idx="66">
                  <c:v>105.533657058</c:v>
                </c:pt>
                <c:pt idx="67">
                  <c:v>106.176802862</c:v>
                </c:pt>
                <c:pt idx="68">
                  <c:v>106.151772698</c:v>
                </c:pt>
                <c:pt idx="69">
                  <c:v>107.832158585</c:v>
                </c:pt>
                <c:pt idx="70">
                  <c:v>104.622408612</c:v>
                </c:pt>
                <c:pt idx="71">
                  <c:v>108.12529521499999</c:v>
                </c:pt>
                <c:pt idx="72">
                  <c:v>103.183617572</c:v>
                </c:pt>
                <c:pt idx="73">
                  <c:v>99.524737622700002</c:v>
                </c:pt>
                <c:pt idx="74">
                  <c:v>97.516076877399996</c:v>
                </c:pt>
                <c:pt idx="75">
                  <c:v>94.612205144300006</c:v>
                </c:pt>
                <c:pt idx="76">
                  <c:v>94.580517705600002</c:v>
                </c:pt>
                <c:pt idx="77">
                  <c:v>94.236927084800001</c:v>
                </c:pt>
                <c:pt idx="78">
                  <c:v>94.700449624900003</c:v>
                </c:pt>
                <c:pt idx="79">
                  <c:v>96.276251963799993</c:v>
                </c:pt>
                <c:pt idx="80">
                  <c:v>94.937900760700003</c:v>
                </c:pt>
                <c:pt idx="81">
                  <c:v>95.461219409799995</c:v>
                </c:pt>
                <c:pt idx="82">
                  <c:v>92.752998175499997</c:v>
                </c:pt>
                <c:pt idx="83">
                  <c:v>93.238146722899998</c:v>
                </c:pt>
                <c:pt idx="84">
                  <c:v>92.2069927565</c:v>
                </c:pt>
                <c:pt idx="85">
                  <c:v>93.323641711500002</c:v>
                </c:pt>
                <c:pt idx="86">
                  <c:v>95.340865810400004</c:v>
                </c:pt>
                <c:pt idx="87">
                  <c:v>95.796697119100003</c:v>
                </c:pt>
                <c:pt idx="88">
                  <c:v>93.267009488300005</c:v>
                </c:pt>
                <c:pt idx="89">
                  <c:v>96.333185018600005</c:v>
                </c:pt>
                <c:pt idx="90">
                  <c:v>96.536440626399994</c:v>
                </c:pt>
                <c:pt idx="91">
                  <c:v>98.170531848699994</c:v>
                </c:pt>
                <c:pt idx="92">
                  <c:v>99.170795689800002</c:v>
                </c:pt>
                <c:pt idx="93">
                  <c:v>101.007632802</c:v>
                </c:pt>
                <c:pt idx="94">
                  <c:v>103.586829357</c:v>
                </c:pt>
                <c:pt idx="95">
                  <c:v>102.61901767400001</c:v>
                </c:pt>
                <c:pt idx="96">
                  <c:v>103.92379315300001</c:v>
                </c:pt>
                <c:pt idx="97">
                  <c:v>103.53140360800001</c:v>
                </c:pt>
                <c:pt idx="98">
                  <c:v>103.32848879300001</c:v>
                </c:pt>
                <c:pt idx="99">
                  <c:v>104.029785426</c:v>
                </c:pt>
                <c:pt idx="100">
                  <c:v>105.059358675</c:v>
                </c:pt>
              </c:numCache>
            </c:numRef>
          </c:yVal>
          <c:smooth val="1"/>
        </c:ser>
        <c:ser>
          <c:idx val="84"/>
          <c:order val="84"/>
          <c:tx>
            <c:strRef>
              <c:f>S_plus!$CS$1</c:f>
              <c:strCache>
                <c:ptCount val="1"/>
                <c:pt idx="0">
                  <c:v>Sim85</c:v>
                </c:pt>
              </c:strCache>
            </c:strRef>
          </c:tx>
          <c:marker>
            <c:symbol val="none"/>
          </c:marker>
          <c:xVal>
            <c:numRef>
              <c:f>S_plus!$L$2:$L$102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S_plus!$CS$2:$CS$102</c:f>
              <c:numCache>
                <c:formatCode>General</c:formatCode>
                <c:ptCount val="101"/>
                <c:pt idx="0">
                  <c:v>100</c:v>
                </c:pt>
                <c:pt idx="1">
                  <c:v>101.201249656</c:v>
                </c:pt>
                <c:pt idx="2">
                  <c:v>101.30567973799999</c:v>
                </c:pt>
                <c:pt idx="3">
                  <c:v>100.849849275</c:v>
                </c:pt>
                <c:pt idx="4">
                  <c:v>101.575252667</c:v>
                </c:pt>
                <c:pt idx="5">
                  <c:v>102.53140374900001</c:v>
                </c:pt>
                <c:pt idx="6">
                  <c:v>104.072375221</c:v>
                </c:pt>
                <c:pt idx="7">
                  <c:v>103.02293808899999</c:v>
                </c:pt>
                <c:pt idx="8">
                  <c:v>103.668583673</c:v>
                </c:pt>
                <c:pt idx="9">
                  <c:v>104.466799275</c:v>
                </c:pt>
                <c:pt idx="10">
                  <c:v>106.16499858</c:v>
                </c:pt>
                <c:pt idx="11">
                  <c:v>106.926755288</c:v>
                </c:pt>
                <c:pt idx="12">
                  <c:v>106.43644844799999</c:v>
                </c:pt>
                <c:pt idx="13">
                  <c:v>108.805739114</c:v>
                </c:pt>
                <c:pt idx="14">
                  <c:v>111.055884562</c:v>
                </c:pt>
                <c:pt idx="15">
                  <c:v>115.26444808799999</c:v>
                </c:pt>
                <c:pt idx="16">
                  <c:v>114.408278305</c:v>
                </c:pt>
                <c:pt idx="17">
                  <c:v>113.24120392</c:v>
                </c:pt>
                <c:pt idx="18">
                  <c:v>111.470597482</c:v>
                </c:pt>
                <c:pt idx="19">
                  <c:v>108.11655214699999</c:v>
                </c:pt>
                <c:pt idx="20">
                  <c:v>104.044299932</c:v>
                </c:pt>
                <c:pt idx="21">
                  <c:v>106.906692964</c:v>
                </c:pt>
                <c:pt idx="22">
                  <c:v>107.086565131</c:v>
                </c:pt>
                <c:pt idx="23">
                  <c:v>108.976075921</c:v>
                </c:pt>
                <c:pt idx="24">
                  <c:v>110.22806919999999</c:v>
                </c:pt>
                <c:pt idx="25">
                  <c:v>109.786820943</c:v>
                </c:pt>
                <c:pt idx="26">
                  <c:v>106.757166571</c:v>
                </c:pt>
                <c:pt idx="27">
                  <c:v>105.05890872000001</c:v>
                </c:pt>
                <c:pt idx="28">
                  <c:v>106.917666724</c:v>
                </c:pt>
                <c:pt idx="29">
                  <c:v>108.04472005300001</c:v>
                </c:pt>
                <c:pt idx="30">
                  <c:v>105.03787501399999</c:v>
                </c:pt>
                <c:pt idx="31">
                  <c:v>103.854050922</c:v>
                </c:pt>
                <c:pt idx="32">
                  <c:v>103.232842015</c:v>
                </c:pt>
                <c:pt idx="33">
                  <c:v>103.941820822</c:v>
                </c:pt>
                <c:pt idx="34">
                  <c:v>105.341827278</c:v>
                </c:pt>
                <c:pt idx="35">
                  <c:v>104.768499482</c:v>
                </c:pt>
                <c:pt idx="36">
                  <c:v>107.172209655</c:v>
                </c:pt>
                <c:pt idx="37">
                  <c:v>106.309463489</c:v>
                </c:pt>
                <c:pt idx="38">
                  <c:v>104.61584624</c:v>
                </c:pt>
                <c:pt idx="39">
                  <c:v>105.65899591500001</c:v>
                </c:pt>
                <c:pt idx="40">
                  <c:v>104.133282036</c:v>
                </c:pt>
                <c:pt idx="41">
                  <c:v>105.117179119</c:v>
                </c:pt>
                <c:pt idx="42">
                  <c:v>104.22293923399999</c:v>
                </c:pt>
                <c:pt idx="43">
                  <c:v>100.973441416</c:v>
                </c:pt>
                <c:pt idx="44">
                  <c:v>101.927804389</c:v>
                </c:pt>
                <c:pt idx="45">
                  <c:v>100.790243758</c:v>
                </c:pt>
                <c:pt idx="46">
                  <c:v>101.57464164300001</c:v>
                </c:pt>
                <c:pt idx="47">
                  <c:v>101.110239772</c:v>
                </c:pt>
                <c:pt idx="48">
                  <c:v>102.316780837</c:v>
                </c:pt>
                <c:pt idx="49">
                  <c:v>105.549590873</c:v>
                </c:pt>
                <c:pt idx="50">
                  <c:v>105.64941163899999</c:v>
                </c:pt>
                <c:pt idx="51">
                  <c:v>103.906785765</c:v>
                </c:pt>
                <c:pt idx="52">
                  <c:v>105.72332373499999</c:v>
                </c:pt>
                <c:pt idx="53">
                  <c:v>101.10140112099999</c:v>
                </c:pt>
                <c:pt idx="54">
                  <c:v>98.522618643300007</c:v>
                </c:pt>
                <c:pt idx="55">
                  <c:v>100.29968291900001</c:v>
                </c:pt>
                <c:pt idx="56">
                  <c:v>99.766128163700003</c:v>
                </c:pt>
                <c:pt idx="57">
                  <c:v>101.26967701700001</c:v>
                </c:pt>
                <c:pt idx="58">
                  <c:v>100.92459619500001</c:v>
                </c:pt>
                <c:pt idx="59">
                  <c:v>98.596941924800007</c:v>
                </c:pt>
                <c:pt idx="60">
                  <c:v>97.492159771800004</c:v>
                </c:pt>
                <c:pt idx="61">
                  <c:v>95.879184345499993</c:v>
                </c:pt>
                <c:pt idx="62">
                  <c:v>96.392145535599994</c:v>
                </c:pt>
                <c:pt idx="63">
                  <c:v>97.509140224500001</c:v>
                </c:pt>
                <c:pt idx="64">
                  <c:v>94.9180018168</c:v>
                </c:pt>
                <c:pt idx="65">
                  <c:v>97.456499483000002</c:v>
                </c:pt>
                <c:pt idx="66">
                  <c:v>98.657787223699998</c:v>
                </c:pt>
                <c:pt idx="67">
                  <c:v>97.598086311299994</c:v>
                </c:pt>
                <c:pt idx="68">
                  <c:v>96.707912756599995</c:v>
                </c:pt>
                <c:pt idx="69">
                  <c:v>94.691864297699993</c:v>
                </c:pt>
                <c:pt idx="70">
                  <c:v>98.288117487600005</c:v>
                </c:pt>
                <c:pt idx="71">
                  <c:v>98.385203993499999</c:v>
                </c:pt>
                <c:pt idx="72">
                  <c:v>98.600232970999997</c:v>
                </c:pt>
                <c:pt idx="73">
                  <c:v>97.971528940599995</c:v>
                </c:pt>
                <c:pt idx="74">
                  <c:v>97.086122491099999</c:v>
                </c:pt>
                <c:pt idx="75">
                  <c:v>98.1565651847</c:v>
                </c:pt>
                <c:pt idx="76">
                  <c:v>97.107116791600006</c:v>
                </c:pt>
                <c:pt idx="77">
                  <c:v>97.792584266099993</c:v>
                </c:pt>
                <c:pt idx="78">
                  <c:v>95.382383803699994</c:v>
                </c:pt>
                <c:pt idx="79">
                  <c:v>94.502335611500001</c:v>
                </c:pt>
                <c:pt idx="80">
                  <c:v>94.839661320100006</c:v>
                </c:pt>
                <c:pt idx="81">
                  <c:v>94.137417135999996</c:v>
                </c:pt>
                <c:pt idx="82">
                  <c:v>93.575435580000004</c:v>
                </c:pt>
                <c:pt idx="83">
                  <c:v>93.566884641599998</c:v>
                </c:pt>
                <c:pt idx="84">
                  <c:v>94.572133460800003</c:v>
                </c:pt>
                <c:pt idx="85">
                  <c:v>92.596017764400003</c:v>
                </c:pt>
                <c:pt idx="86">
                  <c:v>93.300727419699996</c:v>
                </c:pt>
                <c:pt idx="87">
                  <c:v>95.727807725100007</c:v>
                </c:pt>
                <c:pt idx="88">
                  <c:v>95.071435144700004</c:v>
                </c:pt>
                <c:pt idx="89">
                  <c:v>93.154881411900007</c:v>
                </c:pt>
                <c:pt idx="90">
                  <c:v>93.195060583499995</c:v>
                </c:pt>
                <c:pt idx="91">
                  <c:v>94.275079982700007</c:v>
                </c:pt>
                <c:pt idx="92">
                  <c:v>93.664535555800001</c:v>
                </c:pt>
                <c:pt idx="93">
                  <c:v>95.018961934800004</c:v>
                </c:pt>
                <c:pt idx="94">
                  <c:v>93.316119306199994</c:v>
                </c:pt>
                <c:pt idx="95">
                  <c:v>89.283764415600004</c:v>
                </c:pt>
                <c:pt idx="96">
                  <c:v>84.878826549500005</c:v>
                </c:pt>
                <c:pt idx="97">
                  <c:v>86.250756071699996</c:v>
                </c:pt>
                <c:pt idx="98">
                  <c:v>86.325187969400005</c:v>
                </c:pt>
                <c:pt idx="99">
                  <c:v>85.857223932799997</c:v>
                </c:pt>
                <c:pt idx="100">
                  <c:v>83.351295963499993</c:v>
                </c:pt>
              </c:numCache>
            </c:numRef>
          </c:yVal>
          <c:smooth val="1"/>
        </c:ser>
        <c:ser>
          <c:idx val="85"/>
          <c:order val="85"/>
          <c:tx>
            <c:strRef>
              <c:f>S_plus!$CT$1</c:f>
              <c:strCache>
                <c:ptCount val="1"/>
                <c:pt idx="0">
                  <c:v>Sim86</c:v>
                </c:pt>
              </c:strCache>
            </c:strRef>
          </c:tx>
          <c:marker>
            <c:symbol val="none"/>
          </c:marker>
          <c:xVal>
            <c:numRef>
              <c:f>S_plus!$L$2:$L$102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S_plus!$CT$2:$CT$102</c:f>
              <c:numCache>
                <c:formatCode>General</c:formatCode>
                <c:ptCount val="101"/>
                <c:pt idx="0">
                  <c:v>100</c:v>
                </c:pt>
                <c:pt idx="1">
                  <c:v>99.090717843700006</c:v>
                </c:pt>
                <c:pt idx="2">
                  <c:v>100.93639906</c:v>
                </c:pt>
                <c:pt idx="3">
                  <c:v>98.497769716899995</c:v>
                </c:pt>
                <c:pt idx="4">
                  <c:v>100.51882423399999</c:v>
                </c:pt>
                <c:pt idx="5">
                  <c:v>100.73138955899999</c:v>
                </c:pt>
                <c:pt idx="6">
                  <c:v>100.334787995</c:v>
                </c:pt>
                <c:pt idx="7">
                  <c:v>101.889962008</c:v>
                </c:pt>
                <c:pt idx="8">
                  <c:v>103.255682945</c:v>
                </c:pt>
                <c:pt idx="9">
                  <c:v>105.42832469</c:v>
                </c:pt>
                <c:pt idx="10">
                  <c:v>102.401433422</c:v>
                </c:pt>
                <c:pt idx="11">
                  <c:v>105.957232217</c:v>
                </c:pt>
                <c:pt idx="12">
                  <c:v>105.519869844</c:v>
                </c:pt>
                <c:pt idx="13">
                  <c:v>105.32562385200001</c:v>
                </c:pt>
                <c:pt idx="14">
                  <c:v>109.361497649</c:v>
                </c:pt>
                <c:pt idx="15">
                  <c:v>110.815407335</c:v>
                </c:pt>
                <c:pt idx="16">
                  <c:v>110.34429933</c:v>
                </c:pt>
                <c:pt idx="17">
                  <c:v>110.09126871799999</c:v>
                </c:pt>
                <c:pt idx="18">
                  <c:v>107.12734351100001</c:v>
                </c:pt>
                <c:pt idx="19">
                  <c:v>106.032059766</c:v>
                </c:pt>
                <c:pt idx="20">
                  <c:v>107.45786127700001</c:v>
                </c:pt>
                <c:pt idx="21">
                  <c:v>110.637110771</c:v>
                </c:pt>
                <c:pt idx="22">
                  <c:v>113.132189036</c:v>
                </c:pt>
                <c:pt idx="23">
                  <c:v>114.154516065</c:v>
                </c:pt>
                <c:pt idx="24">
                  <c:v>115.27443476000001</c:v>
                </c:pt>
                <c:pt idx="25">
                  <c:v>111.564384127</c:v>
                </c:pt>
                <c:pt idx="26">
                  <c:v>108.984520342</c:v>
                </c:pt>
                <c:pt idx="27">
                  <c:v>110.14841366900001</c:v>
                </c:pt>
                <c:pt idx="28">
                  <c:v>110.901787349</c:v>
                </c:pt>
                <c:pt idx="29">
                  <c:v>109.27783784499999</c:v>
                </c:pt>
                <c:pt idx="30">
                  <c:v>107.05159176700001</c:v>
                </c:pt>
                <c:pt idx="31">
                  <c:v>108.879295505</c:v>
                </c:pt>
                <c:pt idx="32">
                  <c:v>106.400453696</c:v>
                </c:pt>
                <c:pt idx="33">
                  <c:v>103.720403778</c:v>
                </c:pt>
                <c:pt idx="34">
                  <c:v>103.546688785</c:v>
                </c:pt>
                <c:pt idx="35">
                  <c:v>103.448766107</c:v>
                </c:pt>
                <c:pt idx="36">
                  <c:v>105.311406881</c:v>
                </c:pt>
                <c:pt idx="37">
                  <c:v>103.473801142</c:v>
                </c:pt>
                <c:pt idx="38">
                  <c:v>103.562137361</c:v>
                </c:pt>
                <c:pt idx="39">
                  <c:v>104.62372881500001</c:v>
                </c:pt>
                <c:pt idx="40">
                  <c:v>107.72488231</c:v>
                </c:pt>
                <c:pt idx="41">
                  <c:v>111.010265949</c:v>
                </c:pt>
                <c:pt idx="42">
                  <c:v>107.47861994</c:v>
                </c:pt>
                <c:pt idx="43">
                  <c:v>109.66523763799999</c:v>
                </c:pt>
                <c:pt idx="44">
                  <c:v>111.206978222</c:v>
                </c:pt>
                <c:pt idx="45">
                  <c:v>112.63131242999999</c:v>
                </c:pt>
                <c:pt idx="46">
                  <c:v>114.162241674</c:v>
                </c:pt>
                <c:pt idx="47">
                  <c:v>118.52939173599999</c:v>
                </c:pt>
                <c:pt idx="48">
                  <c:v>114.20673605099999</c:v>
                </c:pt>
                <c:pt idx="49">
                  <c:v>118.28008015499999</c:v>
                </c:pt>
                <c:pt idx="50">
                  <c:v>118.88905648799999</c:v>
                </c:pt>
                <c:pt idx="51">
                  <c:v>119.399151453</c:v>
                </c:pt>
                <c:pt idx="52">
                  <c:v>117.488192392</c:v>
                </c:pt>
                <c:pt idx="53">
                  <c:v>114.38940337299999</c:v>
                </c:pt>
                <c:pt idx="54">
                  <c:v>116.995811862</c:v>
                </c:pt>
                <c:pt idx="55">
                  <c:v>119.403341023</c:v>
                </c:pt>
                <c:pt idx="56">
                  <c:v>120.55297073</c:v>
                </c:pt>
                <c:pt idx="57">
                  <c:v>125.836788834</c:v>
                </c:pt>
                <c:pt idx="58">
                  <c:v>128.36056701000001</c:v>
                </c:pt>
                <c:pt idx="59">
                  <c:v>133.94287718199999</c:v>
                </c:pt>
                <c:pt idx="60">
                  <c:v>135.86442446300001</c:v>
                </c:pt>
                <c:pt idx="61">
                  <c:v>130.372616462</c:v>
                </c:pt>
                <c:pt idx="62">
                  <c:v>134.5896458</c:v>
                </c:pt>
                <c:pt idx="63">
                  <c:v>134.207094971</c:v>
                </c:pt>
                <c:pt idx="64">
                  <c:v>131.57318827200001</c:v>
                </c:pt>
                <c:pt idx="65">
                  <c:v>129.59981493199999</c:v>
                </c:pt>
                <c:pt idx="66">
                  <c:v>129.574660368</c:v>
                </c:pt>
                <c:pt idx="67">
                  <c:v>127.56479905899999</c:v>
                </c:pt>
                <c:pt idx="68">
                  <c:v>125.34907228599999</c:v>
                </c:pt>
                <c:pt idx="69">
                  <c:v>125.184921692</c:v>
                </c:pt>
                <c:pt idx="70">
                  <c:v>124.802959124</c:v>
                </c:pt>
                <c:pt idx="71">
                  <c:v>126.528522154</c:v>
                </c:pt>
                <c:pt idx="72">
                  <c:v>126.93961591599999</c:v>
                </c:pt>
                <c:pt idx="73">
                  <c:v>126.58246040900001</c:v>
                </c:pt>
                <c:pt idx="74">
                  <c:v>126.279525701</c:v>
                </c:pt>
                <c:pt idx="75">
                  <c:v>128.695412205</c:v>
                </c:pt>
                <c:pt idx="76">
                  <c:v>127.117338499</c:v>
                </c:pt>
                <c:pt idx="77">
                  <c:v>132.87070736300001</c:v>
                </c:pt>
                <c:pt idx="78">
                  <c:v>129.14503260800001</c:v>
                </c:pt>
                <c:pt idx="79">
                  <c:v>127.94517438299999</c:v>
                </c:pt>
                <c:pt idx="80">
                  <c:v>130.70915275900001</c:v>
                </c:pt>
                <c:pt idx="81">
                  <c:v>129.090910318</c:v>
                </c:pt>
                <c:pt idx="82">
                  <c:v>127.24104542000001</c:v>
                </c:pt>
                <c:pt idx="83">
                  <c:v>124.617473824</c:v>
                </c:pt>
                <c:pt idx="84">
                  <c:v>124.61828602</c:v>
                </c:pt>
                <c:pt idx="85">
                  <c:v>124.716000761</c:v>
                </c:pt>
                <c:pt idx="86">
                  <c:v>119.866472598</c:v>
                </c:pt>
                <c:pt idx="87">
                  <c:v>123.490204881</c:v>
                </c:pt>
                <c:pt idx="88">
                  <c:v>122.790371859</c:v>
                </c:pt>
                <c:pt idx="89">
                  <c:v>127.526330585</c:v>
                </c:pt>
                <c:pt idx="90">
                  <c:v>127.41086180800001</c:v>
                </c:pt>
                <c:pt idx="91">
                  <c:v>125.867580933</c:v>
                </c:pt>
                <c:pt idx="92">
                  <c:v>125.806131069</c:v>
                </c:pt>
                <c:pt idx="93">
                  <c:v>124.61629379599999</c:v>
                </c:pt>
                <c:pt idx="94">
                  <c:v>125.09749805</c:v>
                </c:pt>
                <c:pt idx="95">
                  <c:v>125.632726836</c:v>
                </c:pt>
                <c:pt idx="96">
                  <c:v>126.310987048</c:v>
                </c:pt>
                <c:pt idx="97">
                  <c:v>124.070107592</c:v>
                </c:pt>
                <c:pt idx="98">
                  <c:v>119.78666044800001</c:v>
                </c:pt>
                <c:pt idx="99">
                  <c:v>120.617858188</c:v>
                </c:pt>
                <c:pt idx="100">
                  <c:v>119.17341175200001</c:v>
                </c:pt>
              </c:numCache>
            </c:numRef>
          </c:yVal>
          <c:smooth val="1"/>
        </c:ser>
        <c:ser>
          <c:idx val="86"/>
          <c:order val="86"/>
          <c:tx>
            <c:strRef>
              <c:f>S_plus!$CU$1</c:f>
              <c:strCache>
                <c:ptCount val="1"/>
                <c:pt idx="0">
                  <c:v>Sim87</c:v>
                </c:pt>
              </c:strCache>
            </c:strRef>
          </c:tx>
          <c:marker>
            <c:symbol val="none"/>
          </c:marker>
          <c:xVal>
            <c:numRef>
              <c:f>S_plus!$L$2:$L$102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S_plus!$CU$2:$CU$102</c:f>
              <c:numCache>
                <c:formatCode>General</c:formatCode>
                <c:ptCount val="101"/>
                <c:pt idx="0">
                  <c:v>100</c:v>
                </c:pt>
                <c:pt idx="1">
                  <c:v>97.737090221700001</c:v>
                </c:pt>
                <c:pt idx="2">
                  <c:v>99.734138364900005</c:v>
                </c:pt>
                <c:pt idx="3">
                  <c:v>100.263967314</c:v>
                </c:pt>
                <c:pt idx="4">
                  <c:v>99.385984875899993</c:v>
                </c:pt>
                <c:pt idx="5">
                  <c:v>98.362225828199996</c:v>
                </c:pt>
                <c:pt idx="6">
                  <c:v>102.34579300999999</c:v>
                </c:pt>
                <c:pt idx="7">
                  <c:v>103.53579702499999</c:v>
                </c:pt>
                <c:pt idx="8">
                  <c:v>104.618147482</c:v>
                </c:pt>
                <c:pt idx="9">
                  <c:v>104.430325344</c:v>
                </c:pt>
                <c:pt idx="10">
                  <c:v>101.476023004</c:v>
                </c:pt>
                <c:pt idx="11">
                  <c:v>103.461629698</c:v>
                </c:pt>
                <c:pt idx="12">
                  <c:v>103.249943558</c:v>
                </c:pt>
                <c:pt idx="13">
                  <c:v>100.128975083</c:v>
                </c:pt>
                <c:pt idx="14">
                  <c:v>102.185062671</c:v>
                </c:pt>
                <c:pt idx="15">
                  <c:v>99.370696780000003</c:v>
                </c:pt>
                <c:pt idx="16">
                  <c:v>101.879052667</c:v>
                </c:pt>
                <c:pt idx="17">
                  <c:v>99.328608496399994</c:v>
                </c:pt>
                <c:pt idx="18">
                  <c:v>101.37752383599999</c:v>
                </c:pt>
                <c:pt idx="19">
                  <c:v>99.601260954099999</c:v>
                </c:pt>
                <c:pt idx="20">
                  <c:v>99.872447230099993</c:v>
                </c:pt>
                <c:pt idx="21">
                  <c:v>99.2830294436</c:v>
                </c:pt>
                <c:pt idx="22">
                  <c:v>100.372371625</c:v>
                </c:pt>
                <c:pt idx="23">
                  <c:v>98.659962242399999</c:v>
                </c:pt>
                <c:pt idx="24">
                  <c:v>97.246709260900005</c:v>
                </c:pt>
                <c:pt idx="25">
                  <c:v>98.702320998800005</c:v>
                </c:pt>
                <c:pt idx="26">
                  <c:v>98.621547607599993</c:v>
                </c:pt>
                <c:pt idx="27">
                  <c:v>99.804774088299993</c:v>
                </c:pt>
                <c:pt idx="28">
                  <c:v>100.929126838</c:v>
                </c:pt>
                <c:pt idx="29">
                  <c:v>99.713103864000004</c:v>
                </c:pt>
                <c:pt idx="30">
                  <c:v>99.969872876500006</c:v>
                </c:pt>
                <c:pt idx="31">
                  <c:v>101.75949627</c:v>
                </c:pt>
                <c:pt idx="32">
                  <c:v>101.08090481399999</c:v>
                </c:pt>
                <c:pt idx="33">
                  <c:v>101.96244047099999</c:v>
                </c:pt>
                <c:pt idx="34">
                  <c:v>102.248838148</c:v>
                </c:pt>
                <c:pt idx="35">
                  <c:v>102.79830851200001</c:v>
                </c:pt>
                <c:pt idx="36">
                  <c:v>104.767825652</c:v>
                </c:pt>
                <c:pt idx="37">
                  <c:v>106.07576416000001</c:v>
                </c:pt>
                <c:pt idx="38">
                  <c:v>107.207230266</c:v>
                </c:pt>
                <c:pt idx="39">
                  <c:v>106.690548913</c:v>
                </c:pt>
                <c:pt idx="40">
                  <c:v>106.24232588300001</c:v>
                </c:pt>
                <c:pt idx="41">
                  <c:v>106.520018556</c:v>
                </c:pt>
                <c:pt idx="42">
                  <c:v>108.15001353700001</c:v>
                </c:pt>
                <c:pt idx="43">
                  <c:v>106.961254756</c:v>
                </c:pt>
                <c:pt idx="44">
                  <c:v>106.105336029</c:v>
                </c:pt>
                <c:pt idx="45">
                  <c:v>108.71523686499999</c:v>
                </c:pt>
                <c:pt idx="46">
                  <c:v>104.344886817</c:v>
                </c:pt>
                <c:pt idx="47">
                  <c:v>102.216799864</c:v>
                </c:pt>
                <c:pt idx="48">
                  <c:v>101.902449186</c:v>
                </c:pt>
                <c:pt idx="49">
                  <c:v>101.50788048</c:v>
                </c:pt>
                <c:pt idx="50">
                  <c:v>100.821274117</c:v>
                </c:pt>
                <c:pt idx="51">
                  <c:v>96.994715925400001</c:v>
                </c:pt>
                <c:pt idx="52">
                  <c:v>99.566696712899997</c:v>
                </c:pt>
                <c:pt idx="53">
                  <c:v>100.658378869</c:v>
                </c:pt>
                <c:pt idx="54">
                  <c:v>99.924630874000002</c:v>
                </c:pt>
                <c:pt idx="55">
                  <c:v>104.02366393</c:v>
                </c:pt>
                <c:pt idx="56">
                  <c:v>104.541077007</c:v>
                </c:pt>
                <c:pt idx="57">
                  <c:v>103.595860186</c:v>
                </c:pt>
                <c:pt idx="58">
                  <c:v>102.281898575</c:v>
                </c:pt>
                <c:pt idx="59">
                  <c:v>103.59060579600001</c:v>
                </c:pt>
                <c:pt idx="60">
                  <c:v>105.284414916</c:v>
                </c:pt>
                <c:pt idx="61">
                  <c:v>103.982916014</c:v>
                </c:pt>
                <c:pt idx="62">
                  <c:v>106.218012249</c:v>
                </c:pt>
                <c:pt idx="63">
                  <c:v>107.437592861</c:v>
                </c:pt>
                <c:pt idx="64">
                  <c:v>105.80059728400001</c:v>
                </c:pt>
                <c:pt idx="65">
                  <c:v>103.63815268899999</c:v>
                </c:pt>
                <c:pt idx="66">
                  <c:v>103.91764791600001</c:v>
                </c:pt>
                <c:pt idx="67">
                  <c:v>106.546869582</c:v>
                </c:pt>
                <c:pt idx="68">
                  <c:v>108.16470117199999</c:v>
                </c:pt>
                <c:pt idx="69">
                  <c:v>111.437753433</c:v>
                </c:pt>
                <c:pt idx="70">
                  <c:v>112.509318595</c:v>
                </c:pt>
                <c:pt idx="71">
                  <c:v>113.622091998</c:v>
                </c:pt>
                <c:pt idx="72">
                  <c:v>115.463228339</c:v>
                </c:pt>
                <c:pt idx="73">
                  <c:v>112.85073964599999</c:v>
                </c:pt>
                <c:pt idx="74">
                  <c:v>110.279267448</c:v>
                </c:pt>
                <c:pt idx="75">
                  <c:v>110.84829396000001</c:v>
                </c:pt>
                <c:pt idx="76">
                  <c:v>113.192362444</c:v>
                </c:pt>
                <c:pt idx="77">
                  <c:v>115.111216349</c:v>
                </c:pt>
                <c:pt idx="78">
                  <c:v>115.845442917</c:v>
                </c:pt>
                <c:pt idx="79">
                  <c:v>117.054302429</c:v>
                </c:pt>
                <c:pt idx="80">
                  <c:v>117.85320811</c:v>
                </c:pt>
                <c:pt idx="81">
                  <c:v>113.334451074</c:v>
                </c:pt>
                <c:pt idx="82">
                  <c:v>114.610562878</c:v>
                </c:pt>
                <c:pt idx="83">
                  <c:v>116.416782549</c:v>
                </c:pt>
                <c:pt idx="84">
                  <c:v>116.96350581</c:v>
                </c:pt>
                <c:pt idx="85">
                  <c:v>115.11455640600001</c:v>
                </c:pt>
                <c:pt idx="86">
                  <c:v>119.09028696</c:v>
                </c:pt>
                <c:pt idx="87">
                  <c:v>118.36138259000001</c:v>
                </c:pt>
                <c:pt idx="88">
                  <c:v>122.509055428</c:v>
                </c:pt>
                <c:pt idx="89">
                  <c:v>120.860677126</c:v>
                </c:pt>
                <c:pt idx="90">
                  <c:v>117.52716962300001</c:v>
                </c:pt>
                <c:pt idx="91">
                  <c:v>116.04466415500001</c:v>
                </c:pt>
                <c:pt idx="92">
                  <c:v>118.286363181</c:v>
                </c:pt>
                <c:pt idx="93">
                  <c:v>120.693212246</c:v>
                </c:pt>
                <c:pt idx="94">
                  <c:v>122.495317503</c:v>
                </c:pt>
                <c:pt idx="95">
                  <c:v>123.46185266099999</c:v>
                </c:pt>
                <c:pt idx="96">
                  <c:v>126.717266279</c:v>
                </c:pt>
                <c:pt idx="97">
                  <c:v>127.68965001799999</c:v>
                </c:pt>
                <c:pt idx="98">
                  <c:v>129.88356510200001</c:v>
                </c:pt>
                <c:pt idx="99">
                  <c:v>125.951820842</c:v>
                </c:pt>
                <c:pt idx="100">
                  <c:v>126.824008652</c:v>
                </c:pt>
              </c:numCache>
            </c:numRef>
          </c:yVal>
          <c:smooth val="1"/>
        </c:ser>
        <c:ser>
          <c:idx val="87"/>
          <c:order val="87"/>
          <c:tx>
            <c:strRef>
              <c:f>S_plus!$CV$1</c:f>
              <c:strCache>
                <c:ptCount val="1"/>
                <c:pt idx="0">
                  <c:v>Sim88</c:v>
                </c:pt>
              </c:strCache>
            </c:strRef>
          </c:tx>
          <c:marker>
            <c:symbol val="none"/>
          </c:marker>
          <c:xVal>
            <c:numRef>
              <c:f>S_plus!$L$2:$L$102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S_plus!$CV$2:$CV$102</c:f>
              <c:numCache>
                <c:formatCode>General</c:formatCode>
                <c:ptCount val="101"/>
                <c:pt idx="0">
                  <c:v>100</c:v>
                </c:pt>
                <c:pt idx="1">
                  <c:v>101.891222118</c:v>
                </c:pt>
                <c:pt idx="2">
                  <c:v>102.306162904</c:v>
                </c:pt>
                <c:pt idx="3">
                  <c:v>102.91019197599999</c:v>
                </c:pt>
                <c:pt idx="4">
                  <c:v>100.38410079800001</c:v>
                </c:pt>
                <c:pt idx="5">
                  <c:v>100.52759994</c:v>
                </c:pt>
                <c:pt idx="6">
                  <c:v>101.373781944</c:v>
                </c:pt>
                <c:pt idx="7">
                  <c:v>104.38848177</c:v>
                </c:pt>
                <c:pt idx="8">
                  <c:v>108.43423522099999</c:v>
                </c:pt>
                <c:pt idx="9">
                  <c:v>106.856897996</c:v>
                </c:pt>
                <c:pt idx="10">
                  <c:v>107.004213847</c:v>
                </c:pt>
                <c:pt idx="11">
                  <c:v>106.845664822</c:v>
                </c:pt>
                <c:pt idx="12">
                  <c:v>105.97657418199999</c:v>
                </c:pt>
                <c:pt idx="13">
                  <c:v>107.325118816</c:v>
                </c:pt>
                <c:pt idx="14">
                  <c:v>108.78025144</c:v>
                </c:pt>
                <c:pt idx="15">
                  <c:v>113.060097277</c:v>
                </c:pt>
                <c:pt idx="16">
                  <c:v>110.26882221300001</c:v>
                </c:pt>
                <c:pt idx="17">
                  <c:v>110.15309184100001</c:v>
                </c:pt>
                <c:pt idx="18">
                  <c:v>108.93119958699999</c:v>
                </c:pt>
                <c:pt idx="19">
                  <c:v>103.88013666099999</c:v>
                </c:pt>
                <c:pt idx="20">
                  <c:v>100.295117315</c:v>
                </c:pt>
                <c:pt idx="21">
                  <c:v>97.901876171200001</c:v>
                </c:pt>
                <c:pt idx="22">
                  <c:v>96.380462287599997</c:v>
                </c:pt>
                <c:pt idx="23">
                  <c:v>94.2068551168</c:v>
                </c:pt>
                <c:pt idx="24">
                  <c:v>93.059786994000007</c:v>
                </c:pt>
                <c:pt idx="25">
                  <c:v>90.137920378999993</c:v>
                </c:pt>
                <c:pt idx="26">
                  <c:v>85.586554512600003</c:v>
                </c:pt>
                <c:pt idx="27">
                  <c:v>86.216174646400006</c:v>
                </c:pt>
                <c:pt idx="28">
                  <c:v>85.000403660399996</c:v>
                </c:pt>
                <c:pt idx="29">
                  <c:v>85.714594656299994</c:v>
                </c:pt>
                <c:pt idx="30">
                  <c:v>87.333505025099996</c:v>
                </c:pt>
                <c:pt idx="31">
                  <c:v>83.589808299300003</c:v>
                </c:pt>
                <c:pt idx="32">
                  <c:v>83.533305088700004</c:v>
                </c:pt>
                <c:pt idx="33">
                  <c:v>83.911562618700003</c:v>
                </c:pt>
                <c:pt idx="34">
                  <c:v>82.873390716800003</c:v>
                </c:pt>
                <c:pt idx="35">
                  <c:v>80.935765041600007</c:v>
                </c:pt>
                <c:pt idx="36">
                  <c:v>82.393452217900006</c:v>
                </c:pt>
                <c:pt idx="37">
                  <c:v>80.684531573399994</c:v>
                </c:pt>
                <c:pt idx="38">
                  <c:v>80.474931700900001</c:v>
                </c:pt>
                <c:pt idx="39">
                  <c:v>80.348387790700002</c:v>
                </c:pt>
                <c:pt idx="40">
                  <c:v>82.895986942600004</c:v>
                </c:pt>
                <c:pt idx="41">
                  <c:v>83.374523396900003</c:v>
                </c:pt>
                <c:pt idx="42">
                  <c:v>86.980455650099998</c:v>
                </c:pt>
                <c:pt idx="43">
                  <c:v>86.639195819500003</c:v>
                </c:pt>
                <c:pt idx="44">
                  <c:v>88.556638310799997</c:v>
                </c:pt>
                <c:pt idx="45">
                  <c:v>88.063998551899999</c:v>
                </c:pt>
                <c:pt idx="46">
                  <c:v>91.213549493200006</c:v>
                </c:pt>
                <c:pt idx="47">
                  <c:v>93.708892537200001</c:v>
                </c:pt>
                <c:pt idx="48">
                  <c:v>95.101334425399997</c:v>
                </c:pt>
                <c:pt idx="49">
                  <c:v>98.527571765199994</c:v>
                </c:pt>
                <c:pt idx="50">
                  <c:v>100.92228014</c:v>
                </c:pt>
                <c:pt idx="51">
                  <c:v>98.625269978299997</c:v>
                </c:pt>
                <c:pt idx="52">
                  <c:v>99.254013255999993</c:v>
                </c:pt>
                <c:pt idx="53">
                  <c:v>97.769396180699999</c:v>
                </c:pt>
                <c:pt idx="54">
                  <c:v>97.034528217299993</c:v>
                </c:pt>
                <c:pt idx="55">
                  <c:v>95.3956309581</c:v>
                </c:pt>
                <c:pt idx="56">
                  <c:v>92.321844491299998</c:v>
                </c:pt>
                <c:pt idx="57">
                  <c:v>90.6246913775</c:v>
                </c:pt>
                <c:pt idx="58">
                  <c:v>90.650936008000002</c:v>
                </c:pt>
                <c:pt idx="59">
                  <c:v>89.390796256399994</c:v>
                </c:pt>
                <c:pt idx="60">
                  <c:v>90.082024094600001</c:v>
                </c:pt>
                <c:pt idx="61">
                  <c:v>86.294667673399999</c:v>
                </c:pt>
                <c:pt idx="62">
                  <c:v>84.554963325700001</c:v>
                </c:pt>
                <c:pt idx="63">
                  <c:v>82.286098099100002</c:v>
                </c:pt>
                <c:pt idx="64">
                  <c:v>83.368325075200005</c:v>
                </c:pt>
                <c:pt idx="65">
                  <c:v>80.326857526300003</c:v>
                </c:pt>
                <c:pt idx="66">
                  <c:v>79.623011424300003</c:v>
                </c:pt>
                <c:pt idx="67">
                  <c:v>79.549728376999994</c:v>
                </c:pt>
                <c:pt idx="68">
                  <c:v>81.989155423300005</c:v>
                </c:pt>
                <c:pt idx="69">
                  <c:v>82.563108024800002</c:v>
                </c:pt>
                <c:pt idx="70">
                  <c:v>83.152838257799999</c:v>
                </c:pt>
                <c:pt idx="71">
                  <c:v>85.976215207400003</c:v>
                </c:pt>
                <c:pt idx="72">
                  <c:v>80.128627958600006</c:v>
                </c:pt>
                <c:pt idx="73">
                  <c:v>83.8412968632</c:v>
                </c:pt>
                <c:pt idx="74">
                  <c:v>84.874238704600003</c:v>
                </c:pt>
                <c:pt idx="75">
                  <c:v>84.9317875861</c:v>
                </c:pt>
                <c:pt idx="76">
                  <c:v>84.756489559399995</c:v>
                </c:pt>
                <c:pt idx="77">
                  <c:v>82.343007631999996</c:v>
                </c:pt>
                <c:pt idx="78">
                  <c:v>79.383530560400004</c:v>
                </c:pt>
                <c:pt idx="79">
                  <c:v>80.047003110600002</c:v>
                </c:pt>
                <c:pt idx="80">
                  <c:v>81.079633537099994</c:v>
                </c:pt>
                <c:pt idx="81">
                  <c:v>81.108128330599996</c:v>
                </c:pt>
                <c:pt idx="82">
                  <c:v>82.021406537499999</c:v>
                </c:pt>
                <c:pt idx="83">
                  <c:v>79.326188232899995</c:v>
                </c:pt>
                <c:pt idx="84">
                  <c:v>77.686096065200005</c:v>
                </c:pt>
                <c:pt idx="85">
                  <c:v>79.961672223099995</c:v>
                </c:pt>
                <c:pt idx="86">
                  <c:v>79.467754773099998</c:v>
                </c:pt>
                <c:pt idx="87">
                  <c:v>77.7564952436</c:v>
                </c:pt>
                <c:pt idx="88">
                  <c:v>80.357883317800002</c:v>
                </c:pt>
                <c:pt idx="89">
                  <c:v>80.347193001299999</c:v>
                </c:pt>
                <c:pt idx="90">
                  <c:v>80.1860980493</c:v>
                </c:pt>
                <c:pt idx="91">
                  <c:v>82.317946200899996</c:v>
                </c:pt>
                <c:pt idx="92">
                  <c:v>82.325603385600004</c:v>
                </c:pt>
                <c:pt idx="93">
                  <c:v>79.123397939399993</c:v>
                </c:pt>
                <c:pt idx="94">
                  <c:v>79.552097790800005</c:v>
                </c:pt>
                <c:pt idx="95">
                  <c:v>79.781922607799999</c:v>
                </c:pt>
                <c:pt idx="96">
                  <c:v>83.767564436599997</c:v>
                </c:pt>
                <c:pt idx="97">
                  <c:v>85.055463486799994</c:v>
                </c:pt>
                <c:pt idx="98">
                  <c:v>86.200354258800004</c:v>
                </c:pt>
                <c:pt idx="99">
                  <c:v>84.597998090700003</c:v>
                </c:pt>
                <c:pt idx="100">
                  <c:v>84.245290261799994</c:v>
                </c:pt>
              </c:numCache>
            </c:numRef>
          </c:yVal>
          <c:smooth val="1"/>
        </c:ser>
        <c:ser>
          <c:idx val="88"/>
          <c:order val="88"/>
          <c:tx>
            <c:strRef>
              <c:f>S_plus!$CW$1</c:f>
              <c:strCache>
                <c:ptCount val="1"/>
                <c:pt idx="0">
                  <c:v>Sim89</c:v>
                </c:pt>
              </c:strCache>
            </c:strRef>
          </c:tx>
          <c:marker>
            <c:symbol val="none"/>
          </c:marker>
          <c:xVal>
            <c:numRef>
              <c:f>S_plus!$L$2:$L$102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S_plus!$CW$2:$CW$102</c:f>
              <c:numCache>
                <c:formatCode>General</c:formatCode>
                <c:ptCount val="101"/>
                <c:pt idx="0">
                  <c:v>100</c:v>
                </c:pt>
                <c:pt idx="1">
                  <c:v>99.209627272299997</c:v>
                </c:pt>
                <c:pt idx="2">
                  <c:v>98.423099355100007</c:v>
                </c:pt>
                <c:pt idx="3">
                  <c:v>100.501216255</c:v>
                </c:pt>
                <c:pt idx="4">
                  <c:v>99.198626153800006</c:v>
                </c:pt>
                <c:pt idx="5">
                  <c:v>100.045778615</c:v>
                </c:pt>
                <c:pt idx="6">
                  <c:v>99.769944820899994</c:v>
                </c:pt>
                <c:pt idx="7">
                  <c:v>98.547504504000003</c:v>
                </c:pt>
                <c:pt idx="8">
                  <c:v>98.270393979000005</c:v>
                </c:pt>
                <c:pt idx="9">
                  <c:v>100.928727424</c:v>
                </c:pt>
                <c:pt idx="10">
                  <c:v>102.746313406</c:v>
                </c:pt>
                <c:pt idx="11">
                  <c:v>105.237595852</c:v>
                </c:pt>
                <c:pt idx="12">
                  <c:v>103.96225943499999</c:v>
                </c:pt>
                <c:pt idx="13">
                  <c:v>104.55267333099999</c:v>
                </c:pt>
                <c:pt idx="14">
                  <c:v>106.762002704</c:v>
                </c:pt>
                <c:pt idx="15">
                  <c:v>108.91374852200001</c:v>
                </c:pt>
                <c:pt idx="16">
                  <c:v>108.88535082200001</c:v>
                </c:pt>
                <c:pt idx="17">
                  <c:v>109.135925388</c:v>
                </c:pt>
                <c:pt idx="18">
                  <c:v>110.588666809</c:v>
                </c:pt>
                <c:pt idx="19">
                  <c:v>109.645244342</c:v>
                </c:pt>
                <c:pt idx="20">
                  <c:v>111.499193832</c:v>
                </c:pt>
                <c:pt idx="21">
                  <c:v>112.55882744199999</c:v>
                </c:pt>
                <c:pt idx="22">
                  <c:v>111.071833309</c:v>
                </c:pt>
                <c:pt idx="23">
                  <c:v>118.78683789</c:v>
                </c:pt>
                <c:pt idx="24">
                  <c:v>120.27588653799999</c:v>
                </c:pt>
                <c:pt idx="25">
                  <c:v>116.366897395</c:v>
                </c:pt>
                <c:pt idx="26">
                  <c:v>112.632801821</c:v>
                </c:pt>
                <c:pt idx="27">
                  <c:v>112.53144308900001</c:v>
                </c:pt>
                <c:pt idx="28">
                  <c:v>110.71407878799999</c:v>
                </c:pt>
                <c:pt idx="29">
                  <c:v>107.988748965</c:v>
                </c:pt>
                <c:pt idx="30">
                  <c:v>109.182713232</c:v>
                </c:pt>
                <c:pt idx="31">
                  <c:v>111.73761136500001</c:v>
                </c:pt>
                <c:pt idx="32">
                  <c:v>111.123246292</c:v>
                </c:pt>
                <c:pt idx="33">
                  <c:v>110.45638071499999</c:v>
                </c:pt>
                <c:pt idx="34">
                  <c:v>115.325806817</c:v>
                </c:pt>
                <c:pt idx="35">
                  <c:v>113.515841911</c:v>
                </c:pt>
                <c:pt idx="36">
                  <c:v>113.15556550700001</c:v>
                </c:pt>
                <c:pt idx="37">
                  <c:v>116.475185919</c:v>
                </c:pt>
                <c:pt idx="38">
                  <c:v>114.865977946</c:v>
                </c:pt>
                <c:pt idx="39">
                  <c:v>114.534156419</c:v>
                </c:pt>
                <c:pt idx="40">
                  <c:v>113.052537063</c:v>
                </c:pt>
                <c:pt idx="41">
                  <c:v>110.238304211</c:v>
                </c:pt>
                <c:pt idx="42">
                  <c:v>110.08572863099999</c:v>
                </c:pt>
                <c:pt idx="43">
                  <c:v>114.307153859</c:v>
                </c:pt>
                <c:pt idx="44">
                  <c:v>116.777679838</c:v>
                </c:pt>
                <c:pt idx="45">
                  <c:v>112.041037342</c:v>
                </c:pt>
                <c:pt idx="46">
                  <c:v>110.185364804</c:v>
                </c:pt>
                <c:pt idx="47">
                  <c:v>107.71019081599999</c:v>
                </c:pt>
                <c:pt idx="48">
                  <c:v>105.99845720499999</c:v>
                </c:pt>
                <c:pt idx="49">
                  <c:v>106.73946803600001</c:v>
                </c:pt>
                <c:pt idx="50">
                  <c:v>108.946580888</c:v>
                </c:pt>
                <c:pt idx="51">
                  <c:v>108.361971963</c:v>
                </c:pt>
                <c:pt idx="52">
                  <c:v>113.13955072</c:v>
                </c:pt>
                <c:pt idx="53">
                  <c:v>112.29310785200001</c:v>
                </c:pt>
                <c:pt idx="54">
                  <c:v>108.95530652799999</c:v>
                </c:pt>
                <c:pt idx="55">
                  <c:v>103.644963467</c:v>
                </c:pt>
                <c:pt idx="56">
                  <c:v>105.25402278200001</c:v>
                </c:pt>
                <c:pt idx="57">
                  <c:v>106.331801111</c:v>
                </c:pt>
                <c:pt idx="58">
                  <c:v>105.55181096699999</c:v>
                </c:pt>
                <c:pt idx="59">
                  <c:v>105.89816526</c:v>
                </c:pt>
                <c:pt idx="60">
                  <c:v>105.78435422699999</c:v>
                </c:pt>
                <c:pt idx="61">
                  <c:v>107.378794746</c:v>
                </c:pt>
                <c:pt idx="62">
                  <c:v>105.006821968</c:v>
                </c:pt>
                <c:pt idx="63">
                  <c:v>102.92428386900001</c:v>
                </c:pt>
                <c:pt idx="64">
                  <c:v>102.506883801</c:v>
                </c:pt>
                <c:pt idx="65">
                  <c:v>104.42512201700001</c:v>
                </c:pt>
                <c:pt idx="66">
                  <c:v>106.60545464099999</c:v>
                </c:pt>
                <c:pt idx="67">
                  <c:v>109.254059634</c:v>
                </c:pt>
                <c:pt idx="68">
                  <c:v>109.88974741200001</c:v>
                </c:pt>
                <c:pt idx="69">
                  <c:v>104.651745138</c:v>
                </c:pt>
                <c:pt idx="70">
                  <c:v>104.99648626</c:v>
                </c:pt>
                <c:pt idx="71">
                  <c:v>105.57756116199999</c:v>
                </c:pt>
                <c:pt idx="72">
                  <c:v>107.370356284</c:v>
                </c:pt>
                <c:pt idx="73">
                  <c:v>103.583938231</c:v>
                </c:pt>
                <c:pt idx="74">
                  <c:v>102.872370331</c:v>
                </c:pt>
                <c:pt idx="75">
                  <c:v>103.604589738</c:v>
                </c:pt>
                <c:pt idx="76">
                  <c:v>103.08243137300001</c:v>
                </c:pt>
                <c:pt idx="77">
                  <c:v>102.391312094</c:v>
                </c:pt>
                <c:pt idx="78">
                  <c:v>105.95304704599999</c:v>
                </c:pt>
                <c:pt idx="79">
                  <c:v>107.561620225</c:v>
                </c:pt>
                <c:pt idx="80">
                  <c:v>108.163217514</c:v>
                </c:pt>
                <c:pt idx="81">
                  <c:v>109.05873355200001</c:v>
                </c:pt>
                <c:pt idx="82">
                  <c:v>106.06553025700001</c:v>
                </c:pt>
                <c:pt idx="83">
                  <c:v>106.289219105</c:v>
                </c:pt>
                <c:pt idx="84">
                  <c:v>109.66360631400001</c:v>
                </c:pt>
                <c:pt idx="85">
                  <c:v>108.66792325599999</c:v>
                </c:pt>
                <c:pt idx="86">
                  <c:v>111.91790607199999</c:v>
                </c:pt>
                <c:pt idx="87">
                  <c:v>107.7432203</c:v>
                </c:pt>
                <c:pt idx="88">
                  <c:v>108.594516824</c:v>
                </c:pt>
                <c:pt idx="89">
                  <c:v>105.327586735</c:v>
                </c:pt>
                <c:pt idx="90">
                  <c:v>102.883243753</c:v>
                </c:pt>
                <c:pt idx="91">
                  <c:v>102.60163174</c:v>
                </c:pt>
                <c:pt idx="92">
                  <c:v>101.464901219</c:v>
                </c:pt>
                <c:pt idx="93">
                  <c:v>104.862142799</c:v>
                </c:pt>
                <c:pt idx="94">
                  <c:v>107.243087292</c:v>
                </c:pt>
                <c:pt idx="95">
                  <c:v>106.394893545</c:v>
                </c:pt>
                <c:pt idx="96">
                  <c:v>102.853142121</c:v>
                </c:pt>
                <c:pt idx="97">
                  <c:v>99.623639606099999</c:v>
                </c:pt>
                <c:pt idx="98">
                  <c:v>104.16226892900001</c:v>
                </c:pt>
                <c:pt idx="99">
                  <c:v>105.747871047</c:v>
                </c:pt>
                <c:pt idx="100">
                  <c:v>103.874753871</c:v>
                </c:pt>
              </c:numCache>
            </c:numRef>
          </c:yVal>
          <c:smooth val="1"/>
        </c:ser>
        <c:ser>
          <c:idx val="89"/>
          <c:order val="89"/>
          <c:tx>
            <c:strRef>
              <c:f>S_plus!$CX$1</c:f>
              <c:strCache>
                <c:ptCount val="1"/>
                <c:pt idx="0">
                  <c:v>Sim90</c:v>
                </c:pt>
              </c:strCache>
            </c:strRef>
          </c:tx>
          <c:marker>
            <c:symbol val="none"/>
          </c:marker>
          <c:xVal>
            <c:numRef>
              <c:f>S_plus!$L$2:$L$102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S_plus!$CX$2:$CX$102</c:f>
              <c:numCache>
                <c:formatCode>General</c:formatCode>
                <c:ptCount val="101"/>
                <c:pt idx="0">
                  <c:v>100</c:v>
                </c:pt>
                <c:pt idx="1">
                  <c:v>100.83687302</c:v>
                </c:pt>
                <c:pt idx="2">
                  <c:v>98.996416503700004</c:v>
                </c:pt>
                <c:pt idx="3">
                  <c:v>100.694315711</c:v>
                </c:pt>
                <c:pt idx="4">
                  <c:v>99.951403599399995</c:v>
                </c:pt>
                <c:pt idx="5">
                  <c:v>100.535280731</c:v>
                </c:pt>
                <c:pt idx="6">
                  <c:v>98.971807443499998</c:v>
                </c:pt>
                <c:pt idx="7">
                  <c:v>103.005738104</c:v>
                </c:pt>
                <c:pt idx="8">
                  <c:v>103.42354378500001</c:v>
                </c:pt>
                <c:pt idx="9">
                  <c:v>105.084737463</c:v>
                </c:pt>
                <c:pt idx="10">
                  <c:v>106.51897372099999</c:v>
                </c:pt>
                <c:pt idx="11">
                  <c:v>106.046319522</c:v>
                </c:pt>
                <c:pt idx="12">
                  <c:v>106.11088310700001</c:v>
                </c:pt>
                <c:pt idx="13">
                  <c:v>108.55056514</c:v>
                </c:pt>
                <c:pt idx="14">
                  <c:v>104.605481432</c:v>
                </c:pt>
                <c:pt idx="15">
                  <c:v>106.346385087</c:v>
                </c:pt>
                <c:pt idx="16">
                  <c:v>108.815638987</c:v>
                </c:pt>
                <c:pt idx="17">
                  <c:v>109.55253729099999</c:v>
                </c:pt>
                <c:pt idx="18">
                  <c:v>110.85670987899999</c:v>
                </c:pt>
                <c:pt idx="19">
                  <c:v>109.47375495999999</c:v>
                </c:pt>
                <c:pt idx="20">
                  <c:v>111.449086651</c:v>
                </c:pt>
                <c:pt idx="21">
                  <c:v>113.45844818800001</c:v>
                </c:pt>
                <c:pt idx="22">
                  <c:v>113.580642232</c:v>
                </c:pt>
                <c:pt idx="23">
                  <c:v>112.431661605</c:v>
                </c:pt>
                <c:pt idx="24">
                  <c:v>113.703415096</c:v>
                </c:pt>
                <c:pt idx="25">
                  <c:v>113.726393515</c:v>
                </c:pt>
                <c:pt idx="26">
                  <c:v>113.72267796600001</c:v>
                </c:pt>
                <c:pt idx="27">
                  <c:v>113.545108356</c:v>
                </c:pt>
                <c:pt idx="28">
                  <c:v>114.90129378</c:v>
                </c:pt>
                <c:pt idx="29">
                  <c:v>115.67971402400001</c:v>
                </c:pt>
                <c:pt idx="30">
                  <c:v>116.491024232</c:v>
                </c:pt>
                <c:pt idx="31">
                  <c:v>115.737100998</c:v>
                </c:pt>
                <c:pt idx="32">
                  <c:v>117.130050931</c:v>
                </c:pt>
                <c:pt idx="33">
                  <c:v>115.62042544800001</c:v>
                </c:pt>
                <c:pt idx="34">
                  <c:v>113.45509516600001</c:v>
                </c:pt>
                <c:pt idx="35">
                  <c:v>114.156861947</c:v>
                </c:pt>
                <c:pt idx="36">
                  <c:v>111.92161697100001</c:v>
                </c:pt>
                <c:pt idx="37">
                  <c:v>109.06116585700001</c:v>
                </c:pt>
                <c:pt idx="38">
                  <c:v>112.987433767</c:v>
                </c:pt>
                <c:pt idx="39">
                  <c:v>112.17555147900001</c:v>
                </c:pt>
                <c:pt idx="40">
                  <c:v>116.06561659499999</c:v>
                </c:pt>
                <c:pt idx="41">
                  <c:v>117.699408546</c:v>
                </c:pt>
                <c:pt idx="42">
                  <c:v>118.35939375</c:v>
                </c:pt>
                <c:pt idx="43">
                  <c:v>120.410624012</c:v>
                </c:pt>
                <c:pt idx="44">
                  <c:v>123.778670672</c:v>
                </c:pt>
                <c:pt idx="45">
                  <c:v>124.60071855699999</c:v>
                </c:pt>
                <c:pt idx="46">
                  <c:v>124.50545511</c:v>
                </c:pt>
                <c:pt idx="47">
                  <c:v>120.950889706</c:v>
                </c:pt>
                <c:pt idx="48">
                  <c:v>125.754084318</c:v>
                </c:pt>
                <c:pt idx="49">
                  <c:v>125.570263411</c:v>
                </c:pt>
                <c:pt idx="50">
                  <c:v>128.75841411900001</c:v>
                </c:pt>
                <c:pt idx="51">
                  <c:v>129.16429427400001</c:v>
                </c:pt>
                <c:pt idx="52">
                  <c:v>129.29543700299999</c:v>
                </c:pt>
                <c:pt idx="53">
                  <c:v>131.012992986</c:v>
                </c:pt>
                <c:pt idx="54">
                  <c:v>129.31902882599999</c:v>
                </c:pt>
                <c:pt idx="55">
                  <c:v>131.389913345</c:v>
                </c:pt>
                <c:pt idx="56">
                  <c:v>130.860584308</c:v>
                </c:pt>
                <c:pt idx="57">
                  <c:v>128.72002450299999</c:v>
                </c:pt>
                <c:pt idx="58">
                  <c:v>124.98086337300001</c:v>
                </c:pt>
                <c:pt idx="59">
                  <c:v>126.15267059</c:v>
                </c:pt>
                <c:pt idx="60">
                  <c:v>126.63514823600001</c:v>
                </c:pt>
                <c:pt idx="61">
                  <c:v>126.025653092</c:v>
                </c:pt>
                <c:pt idx="62">
                  <c:v>125.638778624</c:v>
                </c:pt>
                <c:pt idx="63">
                  <c:v>124.30931433400001</c:v>
                </c:pt>
                <c:pt idx="64">
                  <c:v>122.00642006699999</c:v>
                </c:pt>
                <c:pt idx="65">
                  <c:v>121.089451145</c:v>
                </c:pt>
                <c:pt idx="66">
                  <c:v>121.001564542</c:v>
                </c:pt>
                <c:pt idx="67">
                  <c:v>121.636642055</c:v>
                </c:pt>
                <c:pt idx="68">
                  <c:v>123.049686157</c:v>
                </c:pt>
                <c:pt idx="69">
                  <c:v>126.53603434999999</c:v>
                </c:pt>
                <c:pt idx="70">
                  <c:v>125.913776548</c:v>
                </c:pt>
                <c:pt idx="71">
                  <c:v>129.27684941300001</c:v>
                </c:pt>
                <c:pt idx="72">
                  <c:v>130.648877481</c:v>
                </c:pt>
                <c:pt idx="73">
                  <c:v>129.38961720899999</c:v>
                </c:pt>
                <c:pt idx="74">
                  <c:v>132.05054393699999</c:v>
                </c:pt>
                <c:pt idx="75">
                  <c:v>136.153698109</c:v>
                </c:pt>
                <c:pt idx="76">
                  <c:v>140.600602915</c:v>
                </c:pt>
                <c:pt idx="77">
                  <c:v>134.90872112100001</c:v>
                </c:pt>
                <c:pt idx="78">
                  <c:v>134.198377249</c:v>
                </c:pt>
                <c:pt idx="79">
                  <c:v>131.29536332800001</c:v>
                </c:pt>
                <c:pt idx="80">
                  <c:v>128.842107341</c:v>
                </c:pt>
                <c:pt idx="81">
                  <c:v>127.206287737</c:v>
                </c:pt>
                <c:pt idx="82">
                  <c:v>126.853063769</c:v>
                </c:pt>
                <c:pt idx="83">
                  <c:v>126.028798366</c:v>
                </c:pt>
                <c:pt idx="84">
                  <c:v>125.11586833200001</c:v>
                </c:pt>
                <c:pt idx="85">
                  <c:v>123.128232608</c:v>
                </c:pt>
                <c:pt idx="86">
                  <c:v>125.078310622</c:v>
                </c:pt>
                <c:pt idx="87">
                  <c:v>119.065260896</c:v>
                </c:pt>
                <c:pt idx="88">
                  <c:v>117.137367273</c:v>
                </c:pt>
                <c:pt idx="89">
                  <c:v>119.740337328</c:v>
                </c:pt>
                <c:pt idx="90">
                  <c:v>122.60007591999999</c:v>
                </c:pt>
                <c:pt idx="91">
                  <c:v>120.722015394</c:v>
                </c:pt>
                <c:pt idx="92">
                  <c:v>116.808780312</c:v>
                </c:pt>
                <c:pt idx="93">
                  <c:v>116.736282196</c:v>
                </c:pt>
                <c:pt idx="94">
                  <c:v>118.02340860299999</c:v>
                </c:pt>
                <c:pt idx="95">
                  <c:v>120.034915739</c:v>
                </c:pt>
                <c:pt idx="96">
                  <c:v>120.427015701</c:v>
                </c:pt>
                <c:pt idx="97">
                  <c:v>119.87762395599999</c:v>
                </c:pt>
                <c:pt idx="98">
                  <c:v>120.435386482</c:v>
                </c:pt>
                <c:pt idx="99">
                  <c:v>123.7768449</c:v>
                </c:pt>
                <c:pt idx="100">
                  <c:v>126.21362697799999</c:v>
                </c:pt>
              </c:numCache>
            </c:numRef>
          </c:yVal>
          <c:smooth val="1"/>
        </c:ser>
        <c:ser>
          <c:idx val="90"/>
          <c:order val="90"/>
          <c:tx>
            <c:strRef>
              <c:f>S_plus!$CY$1</c:f>
              <c:strCache>
                <c:ptCount val="1"/>
                <c:pt idx="0">
                  <c:v>Sim91</c:v>
                </c:pt>
              </c:strCache>
            </c:strRef>
          </c:tx>
          <c:marker>
            <c:symbol val="none"/>
          </c:marker>
          <c:xVal>
            <c:numRef>
              <c:f>S_plus!$L$2:$L$102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S_plus!$CY$2:$CY$102</c:f>
              <c:numCache>
                <c:formatCode>General</c:formatCode>
                <c:ptCount val="101"/>
                <c:pt idx="0">
                  <c:v>100</c:v>
                </c:pt>
                <c:pt idx="1">
                  <c:v>104.69196050399999</c:v>
                </c:pt>
                <c:pt idx="2">
                  <c:v>104.155787043</c:v>
                </c:pt>
                <c:pt idx="3">
                  <c:v>104.11511475899999</c:v>
                </c:pt>
                <c:pt idx="4">
                  <c:v>99.105172940200006</c:v>
                </c:pt>
                <c:pt idx="5">
                  <c:v>101.252029765</c:v>
                </c:pt>
                <c:pt idx="6">
                  <c:v>101.232179418</c:v>
                </c:pt>
                <c:pt idx="7">
                  <c:v>98.698683754200005</c:v>
                </c:pt>
                <c:pt idx="8">
                  <c:v>96.664199270400005</c:v>
                </c:pt>
                <c:pt idx="9">
                  <c:v>95.800011108299998</c:v>
                </c:pt>
                <c:pt idx="10">
                  <c:v>96.613079034799995</c:v>
                </c:pt>
                <c:pt idx="11">
                  <c:v>97.547254677599994</c:v>
                </c:pt>
                <c:pt idx="12">
                  <c:v>97.355794655300002</c:v>
                </c:pt>
                <c:pt idx="13">
                  <c:v>99.449853629700002</c:v>
                </c:pt>
                <c:pt idx="14">
                  <c:v>104.150431475</c:v>
                </c:pt>
                <c:pt idx="15">
                  <c:v>102.931747782</c:v>
                </c:pt>
                <c:pt idx="16">
                  <c:v>105.35226328100001</c:v>
                </c:pt>
                <c:pt idx="17">
                  <c:v>102.29091418199999</c:v>
                </c:pt>
                <c:pt idx="18">
                  <c:v>102.135844009</c:v>
                </c:pt>
                <c:pt idx="19">
                  <c:v>100.94734525</c:v>
                </c:pt>
                <c:pt idx="20">
                  <c:v>101.39541003799999</c:v>
                </c:pt>
                <c:pt idx="21">
                  <c:v>99.696554133399999</c:v>
                </c:pt>
                <c:pt idx="22">
                  <c:v>101.65637686399999</c:v>
                </c:pt>
                <c:pt idx="23">
                  <c:v>102.592110873</c:v>
                </c:pt>
                <c:pt idx="24">
                  <c:v>103.168729414</c:v>
                </c:pt>
                <c:pt idx="25">
                  <c:v>100.530595637</c:v>
                </c:pt>
                <c:pt idx="26">
                  <c:v>101.904717684</c:v>
                </c:pt>
                <c:pt idx="27">
                  <c:v>99.150999992799996</c:v>
                </c:pt>
                <c:pt idx="28">
                  <c:v>100.697435309</c:v>
                </c:pt>
                <c:pt idx="29">
                  <c:v>101.39206894100001</c:v>
                </c:pt>
                <c:pt idx="30">
                  <c:v>101.08719751300001</c:v>
                </c:pt>
                <c:pt idx="31">
                  <c:v>98.056349640700006</c:v>
                </c:pt>
                <c:pt idx="32">
                  <c:v>97.495844713699995</c:v>
                </c:pt>
                <c:pt idx="33">
                  <c:v>98.119954562999993</c:v>
                </c:pt>
                <c:pt idx="34">
                  <c:v>96.928687239200002</c:v>
                </c:pt>
                <c:pt idx="35">
                  <c:v>97.030649372400006</c:v>
                </c:pt>
                <c:pt idx="36">
                  <c:v>100.55510423699999</c:v>
                </c:pt>
                <c:pt idx="37">
                  <c:v>104.582360581</c:v>
                </c:pt>
                <c:pt idx="38">
                  <c:v>104.80228420100001</c:v>
                </c:pt>
                <c:pt idx="39">
                  <c:v>104.25366280999999</c:v>
                </c:pt>
                <c:pt idx="40">
                  <c:v>106.11930567500001</c:v>
                </c:pt>
                <c:pt idx="41">
                  <c:v>106.917518761</c:v>
                </c:pt>
                <c:pt idx="42">
                  <c:v>107.52475948599999</c:v>
                </c:pt>
                <c:pt idx="43">
                  <c:v>107.149463455</c:v>
                </c:pt>
                <c:pt idx="44">
                  <c:v>105.979258762</c:v>
                </c:pt>
                <c:pt idx="45">
                  <c:v>107.70155992399999</c:v>
                </c:pt>
                <c:pt idx="46">
                  <c:v>106.12997005299999</c:v>
                </c:pt>
                <c:pt idx="47">
                  <c:v>107.480706181</c:v>
                </c:pt>
                <c:pt idx="48">
                  <c:v>108.895338478</c:v>
                </c:pt>
                <c:pt idx="49">
                  <c:v>107.236959386</c:v>
                </c:pt>
                <c:pt idx="50">
                  <c:v>106.148764388</c:v>
                </c:pt>
                <c:pt idx="51">
                  <c:v>105.737781254</c:v>
                </c:pt>
                <c:pt idx="52">
                  <c:v>107.633257761</c:v>
                </c:pt>
                <c:pt idx="53">
                  <c:v>108.110454199</c:v>
                </c:pt>
                <c:pt idx="54">
                  <c:v>107.413947405</c:v>
                </c:pt>
                <c:pt idx="55">
                  <c:v>111.762592047</c:v>
                </c:pt>
                <c:pt idx="56">
                  <c:v>110.24444744100001</c:v>
                </c:pt>
                <c:pt idx="57">
                  <c:v>113.659617393</c:v>
                </c:pt>
                <c:pt idx="58">
                  <c:v>112.159051402</c:v>
                </c:pt>
                <c:pt idx="59">
                  <c:v>111.454570418</c:v>
                </c:pt>
                <c:pt idx="60">
                  <c:v>111.025587726</c:v>
                </c:pt>
                <c:pt idx="61">
                  <c:v>114.57196397</c:v>
                </c:pt>
                <c:pt idx="62">
                  <c:v>114.056535729</c:v>
                </c:pt>
                <c:pt idx="63">
                  <c:v>113.939479263</c:v>
                </c:pt>
                <c:pt idx="64">
                  <c:v>113.152948478</c:v>
                </c:pt>
                <c:pt idx="65">
                  <c:v>115.232613065</c:v>
                </c:pt>
                <c:pt idx="66">
                  <c:v>114.80214555800001</c:v>
                </c:pt>
                <c:pt idx="67">
                  <c:v>118.16626447100001</c:v>
                </c:pt>
                <c:pt idx="68">
                  <c:v>121.484574137</c:v>
                </c:pt>
                <c:pt idx="69">
                  <c:v>120.562887089</c:v>
                </c:pt>
                <c:pt idx="70">
                  <c:v>122.73898326699999</c:v>
                </c:pt>
                <c:pt idx="71">
                  <c:v>123.807297863</c:v>
                </c:pt>
                <c:pt idx="72">
                  <c:v>121.59902732099999</c:v>
                </c:pt>
                <c:pt idx="73">
                  <c:v>122.07377142199999</c:v>
                </c:pt>
                <c:pt idx="74">
                  <c:v>121.62331019200001</c:v>
                </c:pt>
                <c:pt idx="75">
                  <c:v>120.830776026</c:v>
                </c:pt>
                <c:pt idx="76">
                  <c:v>127.910629261</c:v>
                </c:pt>
                <c:pt idx="77">
                  <c:v>126.376894053</c:v>
                </c:pt>
                <c:pt idx="78">
                  <c:v>123.976685641</c:v>
                </c:pt>
                <c:pt idx="79">
                  <c:v>118.603107893</c:v>
                </c:pt>
                <c:pt idx="80">
                  <c:v>122.24908952</c:v>
                </c:pt>
                <c:pt idx="81">
                  <c:v>126.77309940400001</c:v>
                </c:pt>
                <c:pt idx="82">
                  <c:v>125.27613670700001</c:v>
                </c:pt>
                <c:pt idx="83">
                  <c:v>128.52727001599999</c:v>
                </c:pt>
                <c:pt idx="84">
                  <c:v>130.41359645099999</c:v>
                </c:pt>
                <c:pt idx="85">
                  <c:v>129.82866176499999</c:v>
                </c:pt>
                <c:pt idx="86">
                  <c:v>126.95195128</c:v>
                </c:pt>
                <c:pt idx="87">
                  <c:v>125.715203034</c:v>
                </c:pt>
                <c:pt idx="88">
                  <c:v>125.591831048</c:v>
                </c:pt>
                <c:pt idx="89">
                  <c:v>124.47711826299999</c:v>
                </c:pt>
                <c:pt idx="90">
                  <c:v>122.241163821</c:v>
                </c:pt>
                <c:pt idx="91">
                  <c:v>120.51529259900001</c:v>
                </c:pt>
                <c:pt idx="92">
                  <c:v>118.133049484</c:v>
                </c:pt>
                <c:pt idx="93">
                  <c:v>113.46062087999999</c:v>
                </c:pt>
                <c:pt idx="94">
                  <c:v>110.31459833</c:v>
                </c:pt>
                <c:pt idx="95">
                  <c:v>108.597343407</c:v>
                </c:pt>
                <c:pt idx="96">
                  <c:v>103.76749899399999</c:v>
                </c:pt>
                <c:pt idx="97">
                  <c:v>105.39330020600001</c:v>
                </c:pt>
                <c:pt idx="98">
                  <c:v>104.932021725</c:v>
                </c:pt>
                <c:pt idx="99">
                  <c:v>102.316372298</c:v>
                </c:pt>
                <c:pt idx="100">
                  <c:v>101.183465994</c:v>
                </c:pt>
              </c:numCache>
            </c:numRef>
          </c:yVal>
          <c:smooth val="1"/>
        </c:ser>
        <c:ser>
          <c:idx val="91"/>
          <c:order val="91"/>
          <c:tx>
            <c:strRef>
              <c:f>S_plus!$CZ$1</c:f>
              <c:strCache>
                <c:ptCount val="1"/>
                <c:pt idx="0">
                  <c:v>Sim92</c:v>
                </c:pt>
              </c:strCache>
            </c:strRef>
          </c:tx>
          <c:marker>
            <c:symbol val="none"/>
          </c:marker>
          <c:xVal>
            <c:numRef>
              <c:f>S_plus!$L$2:$L$102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S_plus!$CZ$2:$CZ$102</c:f>
              <c:numCache>
                <c:formatCode>General</c:formatCode>
                <c:ptCount val="101"/>
                <c:pt idx="0">
                  <c:v>100</c:v>
                </c:pt>
                <c:pt idx="1">
                  <c:v>101.99320369</c:v>
                </c:pt>
                <c:pt idx="2">
                  <c:v>99.8082095587</c:v>
                </c:pt>
                <c:pt idx="3">
                  <c:v>99.196154354399994</c:v>
                </c:pt>
                <c:pt idx="4">
                  <c:v>99.799493839799993</c:v>
                </c:pt>
                <c:pt idx="5">
                  <c:v>103.227171016</c:v>
                </c:pt>
                <c:pt idx="6">
                  <c:v>103.65211062100001</c:v>
                </c:pt>
                <c:pt idx="7">
                  <c:v>104.989614188</c:v>
                </c:pt>
                <c:pt idx="8">
                  <c:v>104.065033978</c:v>
                </c:pt>
                <c:pt idx="9">
                  <c:v>102.504253472</c:v>
                </c:pt>
                <c:pt idx="10">
                  <c:v>101.12911206299999</c:v>
                </c:pt>
                <c:pt idx="11">
                  <c:v>101.41529081199999</c:v>
                </c:pt>
                <c:pt idx="12">
                  <c:v>103.158845906</c:v>
                </c:pt>
                <c:pt idx="13">
                  <c:v>102.942848705</c:v>
                </c:pt>
                <c:pt idx="14">
                  <c:v>104.465117073</c:v>
                </c:pt>
                <c:pt idx="15">
                  <c:v>103.81810700299999</c:v>
                </c:pt>
                <c:pt idx="16">
                  <c:v>101.675678652</c:v>
                </c:pt>
                <c:pt idx="17">
                  <c:v>100.46982059</c:v>
                </c:pt>
                <c:pt idx="18">
                  <c:v>99.931536893300006</c:v>
                </c:pt>
                <c:pt idx="19">
                  <c:v>102.21122582300001</c:v>
                </c:pt>
                <c:pt idx="20">
                  <c:v>102.292646658</c:v>
                </c:pt>
                <c:pt idx="21">
                  <c:v>103.398518247</c:v>
                </c:pt>
                <c:pt idx="22">
                  <c:v>105.316610126</c:v>
                </c:pt>
                <c:pt idx="23">
                  <c:v>103.99381133599999</c:v>
                </c:pt>
                <c:pt idx="24">
                  <c:v>103.039861339</c:v>
                </c:pt>
                <c:pt idx="25">
                  <c:v>107.114342217</c:v>
                </c:pt>
                <c:pt idx="26">
                  <c:v>109.320337376</c:v>
                </c:pt>
                <c:pt idx="27">
                  <c:v>107.824741206</c:v>
                </c:pt>
                <c:pt idx="28">
                  <c:v>104.58942066199999</c:v>
                </c:pt>
                <c:pt idx="29">
                  <c:v>106.185050687</c:v>
                </c:pt>
                <c:pt idx="30">
                  <c:v>106.940855431</c:v>
                </c:pt>
                <c:pt idx="31">
                  <c:v>109.628008419</c:v>
                </c:pt>
                <c:pt idx="32">
                  <c:v>108.989138591</c:v>
                </c:pt>
                <c:pt idx="33">
                  <c:v>106.72636118600001</c:v>
                </c:pt>
                <c:pt idx="34">
                  <c:v>103.60874646800001</c:v>
                </c:pt>
                <c:pt idx="35">
                  <c:v>101.752158181</c:v>
                </c:pt>
                <c:pt idx="36">
                  <c:v>102.287769682</c:v>
                </c:pt>
                <c:pt idx="37">
                  <c:v>101.242045034</c:v>
                </c:pt>
                <c:pt idx="38">
                  <c:v>103.79763578799999</c:v>
                </c:pt>
                <c:pt idx="39">
                  <c:v>104.243280133</c:v>
                </c:pt>
                <c:pt idx="40">
                  <c:v>109.033337577</c:v>
                </c:pt>
                <c:pt idx="41">
                  <c:v>109.78774005</c:v>
                </c:pt>
                <c:pt idx="42">
                  <c:v>106.21934539</c:v>
                </c:pt>
                <c:pt idx="43">
                  <c:v>106.72042554399999</c:v>
                </c:pt>
                <c:pt idx="44">
                  <c:v>108.41019878199999</c:v>
                </c:pt>
                <c:pt idx="45">
                  <c:v>105.939511013</c:v>
                </c:pt>
                <c:pt idx="46">
                  <c:v>107.951532024</c:v>
                </c:pt>
                <c:pt idx="47">
                  <c:v>106.75699798300001</c:v>
                </c:pt>
                <c:pt idx="48">
                  <c:v>109.54030687700001</c:v>
                </c:pt>
                <c:pt idx="49">
                  <c:v>110.880899697</c:v>
                </c:pt>
                <c:pt idx="50">
                  <c:v>113.62246143199999</c:v>
                </c:pt>
                <c:pt idx="51">
                  <c:v>112.969643205</c:v>
                </c:pt>
                <c:pt idx="52">
                  <c:v>113.13246942400001</c:v>
                </c:pt>
                <c:pt idx="53">
                  <c:v>116.384048804</c:v>
                </c:pt>
                <c:pt idx="54">
                  <c:v>113.203602008</c:v>
                </c:pt>
                <c:pt idx="55">
                  <c:v>117.63206271</c:v>
                </c:pt>
                <c:pt idx="56">
                  <c:v>122.658665816</c:v>
                </c:pt>
                <c:pt idx="57">
                  <c:v>117.08238066</c:v>
                </c:pt>
                <c:pt idx="58">
                  <c:v>115.969452352</c:v>
                </c:pt>
                <c:pt idx="59">
                  <c:v>113.316223541</c:v>
                </c:pt>
                <c:pt idx="60">
                  <c:v>111.386568322</c:v>
                </c:pt>
                <c:pt idx="61">
                  <c:v>110.95335526700001</c:v>
                </c:pt>
                <c:pt idx="62">
                  <c:v>113.785399148</c:v>
                </c:pt>
                <c:pt idx="63">
                  <c:v>114.960308942</c:v>
                </c:pt>
                <c:pt idx="64">
                  <c:v>114.667177223</c:v>
                </c:pt>
                <c:pt idx="65">
                  <c:v>112.956994266</c:v>
                </c:pt>
                <c:pt idx="66">
                  <c:v>110.954191358</c:v>
                </c:pt>
                <c:pt idx="67">
                  <c:v>106.653756464</c:v>
                </c:pt>
                <c:pt idx="68">
                  <c:v>107.451420631</c:v>
                </c:pt>
                <c:pt idx="69">
                  <c:v>110.26271774999999</c:v>
                </c:pt>
                <c:pt idx="70">
                  <c:v>110.054042291</c:v>
                </c:pt>
                <c:pt idx="71">
                  <c:v>105.987737658</c:v>
                </c:pt>
                <c:pt idx="72">
                  <c:v>107.574211748</c:v>
                </c:pt>
                <c:pt idx="73">
                  <c:v>108.709220735</c:v>
                </c:pt>
                <c:pt idx="74">
                  <c:v>106.74793216400001</c:v>
                </c:pt>
                <c:pt idx="75">
                  <c:v>107.97614978999999</c:v>
                </c:pt>
                <c:pt idx="76">
                  <c:v>105.480046794</c:v>
                </c:pt>
                <c:pt idx="77">
                  <c:v>105.774820757</c:v>
                </c:pt>
                <c:pt idx="78">
                  <c:v>106.092988326</c:v>
                </c:pt>
                <c:pt idx="79">
                  <c:v>105.49708908700001</c:v>
                </c:pt>
                <c:pt idx="80">
                  <c:v>106.439637385</c:v>
                </c:pt>
                <c:pt idx="81">
                  <c:v>106.389605077</c:v>
                </c:pt>
                <c:pt idx="82">
                  <c:v>104.641809104</c:v>
                </c:pt>
                <c:pt idx="83">
                  <c:v>106.494181806</c:v>
                </c:pt>
                <c:pt idx="84">
                  <c:v>107.595105523</c:v>
                </c:pt>
                <c:pt idx="85">
                  <c:v>107.69846439600001</c:v>
                </c:pt>
                <c:pt idx="86">
                  <c:v>111.304718706</c:v>
                </c:pt>
                <c:pt idx="87">
                  <c:v>114.319709477</c:v>
                </c:pt>
                <c:pt idx="88">
                  <c:v>116.234359056</c:v>
                </c:pt>
                <c:pt idx="89">
                  <c:v>114.223265763</c:v>
                </c:pt>
                <c:pt idx="90">
                  <c:v>119.423870167</c:v>
                </c:pt>
                <c:pt idx="91">
                  <c:v>117.788839044</c:v>
                </c:pt>
                <c:pt idx="92">
                  <c:v>119.943554394</c:v>
                </c:pt>
                <c:pt idx="93">
                  <c:v>120.115108354</c:v>
                </c:pt>
                <c:pt idx="94">
                  <c:v>116.17354745</c:v>
                </c:pt>
                <c:pt idx="95">
                  <c:v>117.725424119</c:v>
                </c:pt>
                <c:pt idx="96">
                  <c:v>115.153355272</c:v>
                </c:pt>
                <c:pt idx="97">
                  <c:v>118.256547466</c:v>
                </c:pt>
                <c:pt idx="98">
                  <c:v>118.50500570200001</c:v>
                </c:pt>
                <c:pt idx="99">
                  <c:v>119.981076613</c:v>
                </c:pt>
                <c:pt idx="100">
                  <c:v>118.53526859500001</c:v>
                </c:pt>
              </c:numCache>
            </c:numRef>
          </c:yVal>
          <c:smooth val="1"/>
        </c:ser>
        <c:ser>
          <c:idx val="92"/>
          <c:order val="92"/>
          <c:tx>
            <c:strRef>
              <c:f>S_plus!$DA$1</c:f>
              <c:strCache>
                <c:ptCount val="1"/>
                <c:pt idx="0">
                  <c:v>Sim93</c:v>
                </c:pt>
              </c:strCache>
            </c:strRef>
          </c:tx>
          <c:marker>
            <c:symbol val="none"/>
          </c:marker>
          <c:xVal>
            <c:numRef>
              <c:f>S_plus!$L$2:$L$102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S_plus!$DA$2:$DA$102</c:f>
              <c:numCache>
                <c:formatCode>General</c:formatCode>
                <c:ptCount val="101"/>
                <c:pt idx="0">
                  <c:v>100</c:v>
                </c:pt>
                <c:pt idx="1">
                  <c:v>100.270231776</c:v>
                </c:pt>
                <c:pt idx="2">
                  <c:v>97.904361231400003</c:v>
                </c:pt>
                <c:pt idx="3">
                  <c:v>97.908888131599994</c:v>
                </c:pt>
                <c:pt idx="4">
                  <c:v>97.712084075999996</c:v>
                </c:pt>
                <c:pt idx="5">
                  <c:v>96.728455525499996</c:v>
                </c:pt>
                <c:pt idx="6">
                  <c:v>93.545948437000007</c:v>
                </c:pt>
                <c:pt idx="7">
                  <c:v>93.278416914100006</c:v>
                </c:pt>
                <c:pt idx="8">
                  <c:v>95.895226384200001</c:v>
                </c:pt>
                <c:pt idx="9">
                  <c:v>94.197436945899994</c:v>
                </c:pt>
                <c:pt idx="10">
                  <c:v>95.473515572400004</c:v>
                </c:pt>
                <c:pt idx="11">
                  <c:v>94.775969481499999</c:v>
                </c:pt>
                <c:pt idx="12">
                  <c:v>96.309392842500003</c:v>
                </c:pt>
                <c:pt idx="13">
                  <c:v>98.053626190900005</c:v>
                </c:pt>
                <c:pt idx="14">
                  <c:v>100.954210641</c:v>
                </c:pt>
                <c:pt idx="15">
                  <c:v>103.246802883</c:v>
                </c:pt>
                <c:pt idx="16">
                  <c:v>103.344870507</c:v>
                </c:pt>
                <c:pt idx="17">
                  <c:v>104.356366034</c:v>
                </c:pt>
                <c:pt idx="18">
                  <c:v>108.090540801</c:v>
                </c:pt>
                <c:pt idx="19">
                  <c:v>105.652393249</c:v>
                </c:pt>
                <c:pt idx="20">
                  <c:v>110.757667994</c:v>
                </c:pt>
                <c:pt idx="21">
                  <c:v>112.116384998</c:v>
                </c:pt>
                <c:pt idx="22">
                  <c:v>113.523858262</c:v>
                </c:pt>
                <c:pt idx="23">
                  <c:v>114.625331617</c:v>
                </c:pt>
                <c:pt idx="24">
                  <c:v>118.198084825</c:v>
                </c:pt>
                <c:pt idx="25">
                  <c:v>114.80709718999999</c:v>
                </c:pt>
                <c:pt idx="26">
                  <c:v>112.86385373900001</c:v>
                </c:pt>
                <c:pt idx="27">
                  <c:v>114.510887712</c:v>
                </c:pt>
                <c:pt idx="28">
                  <c:v>116.18544486</c:v>
                </c:pt>
                <c:pt idx="29">
                  <c:v>110.578504404</c:v>
                </c:pt>
                <c:pt idx="30">
                  <c:v>111.650101056</c:v>
                </c:pt>
                <c:pt idx="31">
                  <c:v>113.607211815</c:v>
                </c:pt>
                <c:pt idx="32">
                  <c:v>118.058262591</c:v>
                </c:pt>
                <c:pt idx="33">
                  <c:v>118.024382583</c:v>
                </c:pt>
                <c:pt idx="34">
                  <c:v>119.998046148</c:v>
                </c:pt>
                <c:pt idx="35">
                  <c:v>120.23591095499999</c:v>
                </c:pt>
                <c:pt idx="36">
                  <c:v>115.546024014</c:v>
                </c:pt>
                <c:pt idx="37">
                  <c:v>118.51130220500001</c:v>
                </c:pt>
                <c:pt idx="38">
                  <c:v>117.552032157</c:v>
                </c:pt>
                <c:pt idx="39">
                  <c:v>119.159490187</c:v>
                </c:pt>
                <c:pt idx="40">
                  <c:v>118.393256689</c:v>
                </c:pt>
                <c:pt idx="41">
                  <c:v>119.90878036399999</c:v>
                </c:pt>
                <c:pt idx="42">
                  <c:v>120.65521892700001</c:v>
                </c:pt>
                <c:pt idx="43">
                  <c:v>120.51477348100001</c:v>
                </c:pt>
                <c:pt idx="44">
                  <c:v>120.25861163</c:v>
                </c:pt>
                <c:pt idx="45">
                  <c:v>121.489417864</c:v>
                </c:pt>
                <c:pt idx="46">
                  <c:v>119.628703105</c:v>
                </c:pt>
                <c:pt idx="47">
                  <c:v>119.742748925</c:v>
                </c:pt>
                <c:pt idx="48">
                  <c:v>119.708166135</c:v>
                </c:pt>
                <c:pt idx="49">
                  <c:v>122.335084088</c:v>
                </c:pt>
                <c:pt idx="50">
                  <c:v>121.343306732</c:v>
                </c:pt>
                <c:pt idx="51">
                  <c:v>122.015405438</c:v>
                </c:pt>
                <c:pt idx="52">
                  <c:v>121.88379004799999</c:v>
                </c:pt>
                <c:pt idx="53">
                  <c:v>123.08101205600001</c:v>
                </c:pt>
                <c:pt idx="54">
                  <c:v>126.586127688</c:v>
                </c:pt>
                <c:pt idx="55">
                  <c:v>124.719444053</c:v>
                </c:pt>
                <c:pt idx="56">
                  <c:v>124.517642962</c:v>
                </c:pt>
                <c:pt idx="57">
                  <c:v>127.073811819</c:v>
                </c:pt>
                <c:pt idx="58">
                  <c:v>127.393004667</c:v>
                </c:pt>
                <c:pt idx="59">
                  <c:v>127.390416332</c:v>
                </c:pt>
                <c:pt idx="60">
                  <c:v>126.515014605</c:v>
                </c:pt>
                <c:pt idx="61">
                  <c:v>124.71555496000001</c:v>
                </c:pt>
                <c:pt idx="62">
                  <c:v>122.63015680700001</c:v>
                </c:pt>
                <c:pt idx="63">
                  <c:v>123.56211328000001</c:v>
                </c:pt>
                <c:pt idx="64">
                  <c:v>126.275223521</c:v>
                </c:pt>
                <c:pt idx="65">
                  <c:v>126.96781697999999</c:v>
                </c:pt>
                <c:pt idx="66">
                  <c:v>129.638106806</c:v>
                </c:pt>
                <c:pt idx="67">
                  <c:v>128.532298223</c:v>
                </c:pt>
                <c:pt idx="68">
                  <c:v>129.086563794</c:v>
                </c:pt>
                <c:pt idx="69">
                  <c:v>126.92234460500001</c:v>
                </c:pt>
                <c:pt idx="70">
                  <c:v>127.55152694900001</c:v>
                </c:pt>
                <c:pt idx="71">
                  <c:v>122.09482236700001</c:v>
                </c:pt>
                <c:pt idx="72">
                  <c:v>125.103110409</c:v>
                </c:pt>
                <c:pt idx="73">
                  <c:v>126.51278610599999</c:v>
                </c:pt>
                <c:pt idx="74">
                  <c:v>129.108659004</c:v>
                </c:pt>
                <c:pt idx="75">
                  <c:v>128.95622304700001</c:v>
                </c:pt>
                <c:pt idx="76">
                  <c:v>123.07414066</c:v>
                </c:pt>
                <c:pt idx="77">
                  <c:v>122.312176806</c:v>
                </c:pt>
                <c:pt idx="78">
                  <c:v>117.838690251</c:v>
                </c:pt>
                <c:pt idx="79">
                  <c:v>118.842284961</c:v>
                </c:pt>
                <c:pt idx="80">
                  <c:v>119.32266713</c:v>
                </c:pt>
                <c:pt idx="81">
                  <c:v>116.610268328</c:v>
                </c:pt>
                <c:pt idx="82">
                  <c:v>117.269524878</c:v>
                </c:pt>
                <c:pt idx="83">
                  <c:v>114.831306549</c:v>
                </c:pt>
                <c:pt idx="84">
                  <c:v>116.260522374</c:v>
                </c:pt>
                <c:pt idx="85">
                  <c:v>115.867269691</c:v>
                </c:pt>
                <c:pt idx="86">
                  <c:v>114.436844482</c:v>
                </c:pt>
                <c:pt idx="87">
                  <c:v>118.75057582700001</c:v>
                </c:pt>
                <c:pt idx="88">
                  <c:v>112.97042307700001</c:v>
                </c:pt>
                <c:pt idx="89">
                  <c:v>108.254345349</c:v>
                </c:pt>
                <c:pt idx="90">
                  <c:v>106.302000494</c:v>
                </c:pt>
                <c:pt idx="91">
                  <c:v>103.63806596000001</c:v>
                </c:pt>
                <c:pt idx="92">
                  <c:v>103.47193944</c:v>
                </c:pt>
                <c:pt idx="93">
                  <c:v>100.862748435</c:v>
                </c:pt>
                <c:pt idx="94">
                  <c:v>97.944879883699997</c:v>
                </c:pt>
                <c:pt idx="95">
                  <c:v>98.0051221712</c:v>
                </c:pt>
                <c:pt idx="96">
                  <c:v>98.827815949500007</c:v>
                </c:pt>
                <c:pt idx="97">
                  <c:v>101.369480149</c:v>
                </c:pt>
                <c:pt idx="98">
                  <c:v>103.12417538699999</c:v>
                </c:pt>
                <c:pt idx="99">
                  <c:v>101.49744853999999</c:v>
                </c:pt>
                <c:pt idx="100">
                  <c:v>103.940819592</c:v>
                </c:pt>
              </c:numCache>
            </c:numRef>
          </c:yVal>
          <c:smooth val="1"/>
        </c:ser>
        <c:ser>
          <c:idx val="93"/>
          <c:order val="93"/>
          <c:tx>
            <c:strRef>
              <c:f>S_plus!$DB$1</c:f>
              <c:strCache>
                <c:ptCount val="1"/>
                <c:pt idx="0">
                  <c:v>Sim94</c:v>
                </c:pt>
              </c:strCache>
            </c:strRef>
          </c:tx>
          <c:marker>
            <c:symbol val="none"/>
          </c:marker>
          <c:xVal>
            <c:numRef>
              <c:f>S_plus!$L$2:$L$102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S_plus!$DB$2:$DB$102</c:f>
              <c:numCache>
                <c:formatCode>General</c:formatCode>
                <c:ptCount val="101"/>
                <c:pt idx="0">
                  <c:v>100</c:v>
                </c:pt>
                <c:pt idx="1">
                  <c:v>95.799304029799998</c:v>
                </c:pt>
                <c:pt idx="2">
                  <c:v>96.2859162803</c:v>
                </c:pt>
                <c:pt idx="3">
                  <c:v>100.167720973</c:v>
                </c:pt>
                <c:pt idx="4">
                  <c:v>101.586168028</c:v>
                </c:pt>
                <c:pt idx="5">
                  <c:v>100.67704210300001</c:v>
                </c:pt>
                <c:pt idx="6">
                  <c:v>100.75509393900001</c:v>
                </c:pt>
                <c:pt idx="7">
                  <c:v>103.313898765</c:v>
                </c:pt>
                <c:pt idx="8">
                  <c:v>108.612394905</c:v>
                </c:pt>
                <c:pt idx="9">
                  <c:v>107.37883237200001</c:v>
                </c:pt>
                <c:pt idx="10">
                  <c:v>106.134728514</c:v>
                </c:pt>
                <c:pt idx="11">
                  <c:v>107.78902948699999</c:v>
                </c:pt>
                <c:pt idx="12">
                  <c:v>108.089445681</c:v>
                </c:pt>
                <c:pt idx="13">
                  <c:v>107.31887177999999</c:v>
                </c:pt>
                <c:pt idx="14">
                  <c:v>102.399578805</c:v>
                </c:pt>
                <c:pt idx="15">
                  <c:v>103.21391561</c:v>
                </c:pt>
                <c:pt idx="16">
                  <c:v>103.72096095800001</c:v>
                </c:pt>
                <c:pt idx="17">
                  <c:v>100.548341705</c:v>
                </c:pt>
                <c:pt idx="18">
                  <c:v>99.5352312208</c:v>
                </c:pt>
                <c:pt idx="19">
                  <c:v>98.777039800799997</c:v>
                </c:pt>
                <c:pt idx="20">
                  <c:v>96.503816097799998</c:v>
                </c:pt>
                <c:pt idx="21">
                  <c:v>97.496932886799996</c:v>
                </c:pt>
                <c:pt idx="22">
                  <c:v>92.958540263299994</c:v>
                </c:pt>
                <c:pt idx="23">
                  <c:v>91.006610675199994</c:v>
                </c:pt>
                <c:pt idx="24">
                  <c:v>87.936323287500002</c:v>
                </c:pt>
                <c:pt idx="25">
                  <c:v>83.688982274500006</c:v>
                </c:pt>
                <c:pt idx="26">
                  <c:v>85.595609380300004</c:v>
                </c:pt>
                <c:pt idx="27">
                  <c:v>84.331443528899996</c:v>
                </c:pt>
                <c:pt idx="28">
                  <c:v>81.020892756400002</c:v>
                </c:pt>
                <c:pt idx="29">
                  <c:v>80.822634203600003</c:v>
                </c:pt>
                <c:pt idx="30">
                  <c:v>80.776146709800003</c:v>
                </c:pt>
                <c:pt idx="31">
                  <c:v>80.109311200400001</c:v>
                </c:pt>
                <c:pt idx="32">
                  <c:v>82.328030625300002</c:v>
                </c:pt>
                <c:pt idx="33">
                  <c:v>82.077940802499995</c:v>
                </c:pt>
                <c:pt idx="34">
                  <c:v>81.113320078100003</c:v>
                </c:pt>
                <c:pt idx="35">
                  <c:v>80.566577624800004</c:v>
                </c:pt>
                <c:pt idx="36">
                  <c:v>80.286472098999994</c:v>
                </c:pt>
                <c:pt idx="37">
                  <c:v>77.955390412900002</c:v>
                </c:pt>
                <c:pt idx="38">
                  <c:v>81.022691111300006</c:v>
                </c:pt>
                <c:pt idx="39">
                  <c:v>83.557575177700002</c:v>
                </c:pt>
                <c:pt idx="40">
                  <c:v>80.6691734467</c:v>
                </c:pt>
                <c:pt idx="41">
                  <c:v>79.788660680299998</c:v>
                </c:pt>
                <c:pt idx="42">
                  <c:v>79.410859189099995</c:v>
                </c:pt>
                <c:pt idx="43">
                  <c:v>79.533848056699995</c:v>
                </c:pt>
                <c:pt idx="44">
                  <c:v>78.887537644800005</c:v>
                </c:pt>
                <c:pt idx="45">
                  <c:v>79.072120849699999</c:v>
                </c:pt>
                <c:pt idx="46">
                  <c:v>81.161805285200003</c:v>
                </c:pt>
                <c:pt idx="47">
                  <c:v>79.600575000199996</c:v>
                </c:pt>
                <c:pt idx="48">
                  <c:v>79.822178759300002</c:v>
                </c:pt>
                <c:pt idx="49">
                  <c:v>78.308892569400001</c:v>
                </c:pt>
                <c:pt idx="50">
                  <c:v>79.265138951699996</c:v>
                </c:pt>
                <c:pt idx="51">
                  <c:v>80.581880389000005</c:v>
                </c:pt>
                <c:pt idx="52">
                  <c:v>78.757233141100002</c:v>
                </c:pt>
                <c:pt idx="53">
                  <c:v>77.523834002800001</c:v>
                </c:pt>
                <c:pt idx="54">
                  <c:v>78.493840795099999</c:v>
                </c:pt>
                <c:pt idx="55">
                  <c:v>78.576020548599999</c:v>
                </c:pt>
                <c:pt idx="56">
                  <c:v>79.146372981100001</c:v>
                </c:pt>
                <c:pt idx="57">
                  <c:v>79.378359920700007</c:v>
                </c:pt>
                <c:pt idx="58">
                  <c:v>78.842057471000004</c:v>
                </c:pt>
                <c:pt idx="59">
                  <c:v>78.281567103300006</c:v>
                </c:pt>
                <c:pt idx="60">
                  <c:v>78.422951116799993</c:v>
                </c:pt>
                <c:pt idx="61">
                  <c:v>78.139855927200003</c:v>
                </c:pt>
                <c:pt idx="62">
                  <c:v>77.926664285200005</c:v>
                </c:pt>
                <c:pt idx="63">
                  <c:v>77.164250350200007</c:v>
                </c:pt>
                <c:pt idx="64">
                  <c:v>77.578297318599994</c:v>
                </c:pt>
                <c:pt idx="65">
                  <c:v>77.972666808200003</c:v>
                </c:pt>
                <c:pt idx="66">
                  <c:v>76.178705430899996</c:v>
                </c:pt>
                <c:pt idx="67">
                  <c:v>76.215078566700001</c:v>
                </c:pt>
                <c:pt idx="68">
                  <c:v>78.687468834300006</c:v>
                </c:pt>
                <c:pt idx="69">
                  <c:v>79.274679260599996</c:v>
                </c:pt>
                <c:pt idx="70">
                  <c:v>77.247090766100001</c:v>
                </c:pt>
                <c:pt idx="71">
                  <c:v>75.451760268100003</c:v>
                </c:pt>
                <c:pt idx="72">
                  <c:v>75.938501197099995</c:v>
                </c:pt>
                <c:pt idx="73">
                  <c:v>78.403106891799993</c:v>
                </c:pt>
                <c:pt idx="74">
                  <c:v>79.659889223500002</c:v>
                </c:pt>
                <c:pt idx="75">
                  <c:v>78.514218518199996</c:v>
                </c:pt>
                <c:pt idx="76">
                  <c:v>75.929061076300002</c:v>
                </c:pt>
                <c:pt idx="77">
                  <c:v>73.754552213599993</c:v>
                </c:pt>
                <c:pt idx="78">
                  <c:v>74.283867497399996</c:v>
                </c:pt>
                <c:pt idx="79">
                  <c:v>72.644740043400006</c:v>
                </c:pt>
                <c:pt idx="80">
                  <c:v>72.741670155799994</c:v>
                </c:pt>
                <c:pt idx="81">
                  <c:v>75.140380255500006</c:v>
                </c:pt>
                <c:pt idx="82">
                  <c:v>76.173287851699996</c:v>
                </c:pt>
                <c:pt idx="83">
                  <c:v>78.033960059999998</c:v>
                </c:pt>
                <c:pt idx="84">
                  <c:v>77.677047595299996</c:v>
                </c:pt>
                <c:pt idx="85">
                  <c:v>76.774640630999997</c:v>
                </c:pt>
                <c:pt idx="86">
                  <c:v>78.783861637100003</c:v>
                </c:pt>
                <c:pt idx="87">
                  <c:v>77.494656295499993</c:v>
                </c:pt>
                <c:pt idx="88">
                  <c:v>79.328537482300007</c:v>
                </c:pt>
                <c:pt idx="89">
                  <c:v>79.599889205899999</c:v>
                </c:pt>
                <c:pt idx="90">
                  <c:v>80.025796966800002</c:v>
                </c:pt>
                <c:pt idx="91">
                  <c:v>79.470098433000004</c:v>
                </c:pt>
                <c:pt idx="92">
                  <c:v>79.660231081700005</c:v>
                </c:pt>
                <c:pt idx="93">
                  <c:v>79.1255613127</c:v>
                </c:pt>
                <c:pt idx="94">
                  <c:v>79.480208964400006</c:v>
                </c:pt>
                <c:pt idx="95">
                  <c:v>76.651559864500001</c:v>
                </c:pt>
                <c:pt idx="96">
                  <c:v>76.105996505799993</c:v>
                </c:pt>
                <c:pt idx="97">
                  <c:v>73.3215374392</c:v>
                </c:pt>
                <c:pt idx="98">
                  <c:v>72.554209449799998</c:v>
                </c:pt>
                <c:pt idx="99">
                  <c:v>71.301833200600001</c:v>
                </c:pt>
                <c:pt idx="100">
                  <c:v>69.120721688299994</c:v>
                </c:pt>
              </c:numCache>
            </c:numRef>
          </c:yVal>
          <c:smooth val="1"/>
        </c:ser>
        <c:ser>
          <c:idx val="94"/>
          <c:order val="94"/>
          <c:tx>
            <c:strRef>
              <c:f>S_plus!$DC$1</c:f>
              <c:strCache>
                <c:ptCount val="1"/>
                <c:pt idx="0">
                  <c:v>Sim95</c:v>
                </c:pt>
              </c:strCache>
            </c:strRef>
          </c:tx>
          <c:marker>
            <c:symbol val="none"/>
          </c:marker>
          <c:xVal>
            <c:numRef>
              <c:f>S_plus!$L$2:$L$102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S_plus!$DC$2:$DC$102</c:f>
              <c:numCache>
                <c:formatCode>General</c:formatCode>
                <c:ptCount val="101"/>
                <c:pt idx="0">
                  <c:v>100</c:v>
                </c:pt>
                <c:pt idx="1">
                  <c:v>98.453915108199993</c:v>
                </c:pt>
                <c:pt idx="2">
                  <c:v>96.348602932099993</c:v>
                </c:pt>
                <c:pt idx="3">
                  <c:v>98.1531625545</c:v>
                </c:pt>
                <c:pt idx="4">
                  <c:v>97.893871553899999</c:v>
                </c:pt>
                <c:pt idx="5">
                  <c:v>98.329765269399999</c:v>
                </c:pt>
                <c:pt idx="6">
                  <c:v>98.518934344000002</c:v>
                </c:pt>
                <c:pt idx="7">
                  <c:v>99.125992163099994</c:v>
                </c:pt>
                <c:pt idx="8">
                  <c:v>95.283070341599995</c:v>
                </c:pt>
                <c:pt idx="9">
                  <c:v>99.757983425000006</c:v>
                </c:pt>
                <c:pt idx="10">
                  <c:v>102.228344241</c:v>
                </c:pt>
                <c:pt idx="11">
                  <c:v>100.569129983</c:v>
                </c:pt>
                <c:pt idx="12">
                  <c:v>101.095830623</c:v>
                </c:pt>
                <c:pt idx="13">
                  <c:v>96.672296420099997</c:v>
                </c:pt>
                <c:pt idx="14">
                  <c:v>97.876407708900004</c:v>
                </c:pt>
                <c:pt idx="15">
                  <c:v>99.825604194099995</c:v>
                </c:pt>
                <c:pt idx="16">
                  <c:v>98.834236544199996</c:v>
                </c:pt>
                <c:pt idx="17">
                  <c:v>102.50732774799999</c:v>
                </c:pt>
                <c:pt idx="18">
                  <c:v>105.346019231</c:v>
                </c:pt>
                <c:pt idx="19">
                  <c:v>105.255609377</c:v>
                </c:pt>
                <c:pt idx="20">
                  <c:v>106.45350877200001</c:v>
                </c:pt>
                <c:pt idx="21">
                  <c:v>107.899387949</c:v>
                </c:pt>
                <c:pt idx="22">
                  <c:v>106.650149587</c:v>
                </c:pt>
                <c:pt idx="23">
                  <c:v>104.333396552</c:v>
                </c:pt>
                <c:pt idx="24">
                  <c:v>102.09021609600001</c:v>
                </c:pt>
                <c:pt idx="25">
                  <c:v>99.289984451199999</c:v>
                </c:pt>
                <c:pt idx="26">
                  <c:v>99.638194483800007</c:v>
                </c:pt>
                <c:pt idx="27">
                  <c:v>97.838181275799997</c:v>
                </c:pt>
                <c:pt idx="28">
                  <c:v>98.625982529400005</c:v>
                </c:pt>
                <c:pt idx="29">
                  <c:v>97.941487033200005</c:v>
                </c:pt>
                <c:pt idx="30">
                  <c:v>99.120890427899994</c:v>
                </c:pt>
                <c:pt idx="31">
                  <c:v>98.122271452800007</c:v>
                </c:pt>
                <c:pt idx="32">
                  <c:v>99.206136168699999</c:v>
                </c:pt>
                <c:pt idx="33">
                  <c:v>100.24466878600001</c:v>
                </c:pt>
                <c:pt idx="34">
                  <c:v>102.03522981099999</c:v>
                </c:pt>
                <c:pt idx="35">
                  <c:v>103.27392544999999</c:v>
                </c:pt>
                <c:pt idx="36">
                  <c:v>102.535344239</c:v>
                </c:pt>
                <c:pt idx="37">
                  <c:v>103.424397523</c:v>
                </c:pt>
                <c:pt idx="38">
                  <c:v>102.57436092</c:v>
                </c:pt>
                <c:pt idx="39">
                  <c:v>99.631706569200006</c:v>
                </c:pt>
                <c:pt idx="40">
                  <c:v>99.6484434419</c:v>
                </c:pt>
                <c:pt idx="41">
                  <c:v>97.561628529700002</c:v>
                </c:pt>
                <c:pt idx="42">
                  <c:v>98.839296943999997</c:v>
                </c:pt>
                <c:pt idx="43">
                  <c:v>100.544371369</c:v>
                </c:pt>
                <c:pt idx="44">
                  <c:v>100.181839849</c:v>
                </c:pt>
                <c:pt idx="45">
                  <c:v>102.50916364299999</c:v>
                </c:pt>
                <c:pt idx="46">
                  <c:v>100.595702773</c:v>
                </c:pt>
                <c:pt idx="47">
                  <c:v>100.012752005</c:v>
                </c:pt>
                <c:pt idx="48">
                  <c:v>102.822917379</c:v>
                </c:pt>
                <c:pt idx="49">
                  <c:v>103.77577728</c:v>
                </c:pt>
                <c:pt idx="50">
                  <c:v>102.335931698</c:v>
                </c:pt>
                <c:pt idx="51">
                  <c:v>103.894253179</c:v>
                </c:pt>
                <c:pt idx="52">
                  <c:v>105.41023667</c:v>
                </c:pt>
                <c:pt idx="53">
                  <c:v>104.316121357</c:v>
                </c:pt>
                <c:pt idx="54">
                  <c:v>104.574892428</c:v>
                </c:pt>
                <c:pt idx="55">
                  <c:v>103.134899194</c:v>
                </c:pt>
                <c:pt idx="56">
                  <c:v>103.96633537300001</c:v>
                </c:pt>
                <c:pt idx="57">
                  <c:v>104.70926853100001</c:v>
                </c:pt>
                <c:pt idx="58">
                  <c:v>105.33031611200001</c:v>
                </c:pt>
                <c:pt idx="59">
                  <c:v>103.33782579299999</c:v>
                </c:pt>
                <c:pt idx="60">
                  <c:v>103.888910921</c:v>
                </c:pt>
                <c:pt idx="61">
                  <c:v>103.34914338</c:v>
                </c:pt>
                <c:pt idx="62">
                  <c:v>102.236637407</c:v>
                </c:pt>
                <c:pt idx="63">
                  <c:v>103.615517752</c:v>
                </c:pt>
                <c:pt idx="64">
                  <c:v>106.614386516</c:v>
                </c:pt>
                <c:pt idx="65">
                  <c:v>107.22235940500001</c:v>
                </c:pt>
                <c:pt idx="66">
                  <c:v>105.42833122499999</c:v>
                </c:pt>
                <c:pt idx="67">
                  <c:v>105.14374050799999</c:v>
                </c:pt>
                <c:pt idx="68">
                  <c:v>105.877053085</c:v>
                </c:pt>
                <c:pt idx="69">
                  <c:v>109.443316693</c:v>
                </c:pt>
                <c:pt idx="70">
                  <c:v>112.892556793</c:v>
                </c:pt>
                <c:pt idx="71">
                  <c:v>111.511816643</c:v>
                </c:pt>
                <c:pt idx="72">
                  <c:v>109.757164413</c:v>
                </c:pt>
                <c:pt idx="73">
                  <c:v>111.631511053</c:v>
                </c:pt>
                <c:pt idx="74">
                  <c:v>109.831993248</c:v>
                </c:pt>
                <c:pt idx="75">
                  <c:v>107.038566911</c:v>
                </c:pt>
                <c:pt idx="76">
                  <c:v>107.935878844</c:v>
                </c:pt>
                <c:pt idx="77">
                  <c:v>109.449924966</c:v>
                </c:pt>
                <c:pt idx="78">
                  <c:v>108.552428572</c:v>
                </c:pt>
                <c:pt idx="79">
                  <c:v>109.312975407</c:v>
                </c:pt>
                <c:pt idx="80">
                  <c:v>109.665492034</c:v>
                </c:pt>
                <c:pt idx="81">
                  <c:v>107.798235865</c:v>
                </c:pt>
                <c:pt idx="82">
                  <c:v>110.849993539</c:v>
                </c:pt>
                <c:pt idx="83">
                  <c:v>109.776850524</c:v>
                </c:pt>
                <c:pt idx="84">
                  <c:v>109.353564701</c:v>
                </c:pt>
                <c:pt idx="85">
                  <c:v>108.862137081</c:v>
                </c:pt>
                <c:pt idx="86">
                  <c:v>106.878311031</c:v>
                </c:pt>
                <c:pt idx="87">
                  <c:v>102.929314744</c:v>
                </c:pt>
                <c:pt idx="88">
                  <c:v>103.463218783</c:v>
                </c:pt>
                <c:pt idx="89">
                  <c:v>104.907992443</c:v>
                </c:pt>
                <c:pt idx="90">
                  <c:v>108.54517131999999</c:v>
                </c:pt>
                <c:pt idx="91">
                  <c:v>109.98741213300001</c:v>
                </c:pt>
                <c:pt idx="92">
                  <c:v>106.913416646</c:v>
                </c:pt>
                <c:pt idx="93">
                  <c:v>106.683049694</c:v>
                </c:pt>
                <c:pt idx="94">
                  <c:v>107.91187705999999</c:v>
                </c:pt>
                <c:pt idx="95">
                  <c:v>109.266235545</c:v>
                </c:pt>
                <c:pt idx="96">
                  <c:v>111.441003186</c:v>
                </c:pt>
                <c:pt idx="97">
                  <c:v>115.27882588999999</c:v>
                </c:pt>
                <c:pt idx="98">
                  <c:v>113.51295376100001</c:v>
                </c:pt>
                <c:pt idx="99">
                  <c:v>114.373704824</c:v>
                </c:pt>
                <c:pt idx="100">
                  <c:v>115.359499441</c:v>
                </c:pt>
              </c:numCache>
            </c:numRef>
          </c:yVal>
          <c:smooth val="1"/>
        </c:ser>
        <c:ser>
          <c:idx val="95"/>
          <c:order val="95"/>
          <c:tx>
            <c:strRef>
              <c:f>S_plus!$DD$1</c:f>
              <c:strCache>
                <c:ptCount val="1"/>
                <c:pt idx="0">
                  <c:v>Sim96</c:v>
                </c:pt>
              </c:strCache>
            </c:strRef>
          </c:tx>
          <c:marker>
            <c:symbol val="none"/>
          </c:marker>
          <c:xVal>
            <c:numRef>
              <c:f>S_plus!$L$2:$L$102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S_plus!$DD$2:$DD$102</c:f>
              <c:numCache>
                <c:formatCode>General</c:formatCode>
                <c:ptCount val="101"/>
                <c:pt idx="0">
                  <c:v>100</c:v>
                </c:pt>
                <c:pt idx="1">
                  <c:v>99.681054789599997</c:v>
                </c:pt>
                <c:pt idx="2">
                  <c:v>99.831590668499999</c:v>
                </c:pt>
                <c:pt idx="3">
                  <c:v>99.685075807600001</c:v>
                </c:pt>
                <c:pt idx="4">
                  <c:v>102.134687336</c:v>
                </c:pt>
                <c:pt idx="5">
                  <c:v>103.558727072</c:v>
                </c:pt>
                <c:pt idx="6">
                  <c:v>104.836809129</c:v>
                </c:pt>
                <c:pt idx="7">
                  <c:v>103.95806660700001</c:v>
                </c:pt>
                <c:pt idx="8">
                  <c:v>102.59444842000001</c:v>
                </c:pt>
                <c:pt idx="9">
                  <c:v>102.745900198</c:v>
                </c:pt>
                <c:pt idx="10">
                  <c:v>100.43940174700001</c:v>
                </c:pt>
                <c:pt idx="11">
                  <c:v>100.15065396999999</c:v>
                </c:pt>
                <c:pt idx="12">
                  <c:v>101.155761236</c:v>
                </c:pt>
                <c:pt idx="13">
                  <c:v>99.345626583699996</c:v>
                </c:pt>
                <c:pt idx="14">
                  <c:v>97.153556717100003</c:v>
                </c:pt>
                <c:pt idx="15">
                  <c:v>91.457281937499999</c:v>
                </c:pt>
                <c:pt idx="16">
                  <c:v>91.831985074599999</c:v>
                </c:pt>
                <c:pt idx="17">
                  <c:v>93.171491677399999</c:v>
                </c:pt>
                <c:pt idx="18">
                  <c:v>92.013979509099997</c:v>
                </c:pt>
                <c:pt idx="19">
                  <c:v>90.847745927000005</c:v>
                </c:pt>
                <c:pt idx="20">
                  <c:v>91.689869249500006</c:v>
                </c:pt>
                <c:pt idx="21">
                  <c:v>91.738703569099997</c:v>
                </c:pt>
                <c:pt idx="22">
                  <c:v>92.974473242200006</c:v>
                </c:pt>
                <c:pt idx="23">
                  <c:v>91.156704241300005</c:v>
                </c:pt>
                <c:pt idx="24">
                  <c:v>89.673238102900001</c:v>
                </c:pt>
                <c:pt idx="25">
                  <c:v>89.993563371799993</c:v>
                </c:pt>
                <c:pt idx="26">
                  <c:v>87.187635866600004</c:v>
                </c:pt>
                <c:pt idx="27">
                  <c:v>86.932076496799993</c:v>
                </c:pt>
                <c:pt idx="28">
                  <c:v>86.937077272600007</c:v>
                </c:pt>
                <c:pt idx="29">
                  <c:v>87.232971087400003</c:v>
                </c:pt>
                <c:pt idx="30">
                  <c:v>87.319991110999993</c:v>
                </c:pt>
                <c:pt idx="31">
                  <c:v>89.689017012700006</c:v>
                </c:pt>
                <c:pt idx="32">
                  <c:v>88.062082184999994</c:v>
                </c:pt>
                <c:pt idx="33">
                  <c:v>88.743312934399995</c:v>
                </c:pt>
                <c:pt idx="34">
                  <c:v>90.535210041100001</c:v>
                </c:pt>
                <c:pt idx="35">
                  <c:v>92.4969018699</c:v>
                </c:pt>
                <c:pt idx="36">
                  <c:v>91.725447582399994</c:v>
                </c:pt>
                <c:pt idx="37">
                  <c:v>88.606068033599996</c:v>
                </c:pt>
                <c:pt idx="38">
                  <c:v>83.804904241900005</c:v>
                </c:pt>
                <c:pt idx="39">
                  <c:v>83.568930909299993</c:v>
                </c:pt>
                <c:pt idx="40">
                  <c:v>86.831923120200003</c:v>
                </c:pt>
                <c:pt idx="41">
                  <c:v>87.942384870699996</c:v>
                </c:pt>
                <c:pt idx="42">
                  <c:v>86.5460080788</c:v>
                </c:pt>
                <c:pt idx="43">
                  <c:v>86.090216722400001</c:v>
                </c:pt>
                <c:pt idx="44">
                  <c:v>86.440630703899998</c:v>
                </c:pt>
                <c:pt idx="45">
                  <c:v>87.330974106100001</c:v>
                </c:pt>
                <c:pt idx="46">
                  <c:v>86.988396155100006</c:v>
                </c:pt>
                <c:pt idx="47">
                  <c:v>87.911486344899998</c:v>
                </c:pt>
                <c:pt idx="48">
                  <c:v>86.850695695599995</c:v>
                </c:pt>
                <c:pt idx="49">
                  <c:v>85.701191485400003</c:v>
                </c:pt>
                <c:pt idx="50">
                  <c:v>86.011486078299995</c:v>
                </c:pt>
                <c:pt idx="51">
                  <c:v>87.358525292300001</c:v>
                </c:pt>
                <c:pt idx="52">
                  <c:v>88.072707503800004</c:v>
                </c:pt>
                <c:pt idx="53">
                  <c:v>87.092314160399994</c:v>
                </c:pt>
                <c:pt idx="54">
                  <c:v>90.301298320200004</c:v>
                </c:pt>
                <c:pt idx="55">
                  <c:v>92.322232407399994</c:v>
                </c:pt>
                <c:pt idx="56">
                  <c:v>93.190882902300004</c:v>
                </c:pt>
                <c:pt idx="57">
                  <c:v>94.320628719200002</c:v>
                </c:pt>
                <c:pt idx="58">
                  <c:v>93.259488634999997</c:v>
                </c:pt>
                <c:pt idx="59">
                  <c:v>91.836243348400004</c:v>
                </c:pt>
                <c:pt idx="60">
                  <c:v>91.528456794899995</c:v>
                </c:pt>
                <c:pt idx="61">
                  <c:v>94.542986592899993</c:v>
                </c:pt>
                <c:pt idx="62">
                  <c:v>93.833777144600006</c:v>
                </c:pt>
                <c:pt idx="63">
                  <c:v>93.156824545600003</c:v>
                </c:pt>
                <c:pt idx="64">
                  <c:v>94.056532148299993</c:v>
                </c:pt>
                <c:pt idx="65">
                  <c:v>95.491666947200002</c:v>
                </c:pt>
                <c:pt idx="66">
                  <c:v>96.340625962499999</c:v>
                </c:pt>
                <c:pt idx="67">
                  <c:v>93.204122433699993</c:v>
                </c:pt>
                <c:pt idx="68">
                  <c:v>94.859589176</c:v>
                </c:pt>
                <c:pt idx="69">
                  <c:v>93.154699345300003</c:v>
                </c:pt>
                <c:pt idx="70">
                  <c:v>95.905349666299998</c:v>
                </c:pt>
                <c:pt idx="71">
                  <c:v>95.121939227400006</c:v>
                </c:pt>
                <c:pt idx="72">
                  <c:v>97.6906808122</c:v>
                </c:pt>
                <c:pt idx="73">
                  <c:v>98.779941557800001</c:v>
                </c:pt>
                <c:pt idx="74">
                  <c:v>99.102689172500007</c:v>
                </c:pt>
                <c:pt idx="75">
                  <c:v>102.339644666</c:v>
                </c:pt>
                <c:pt idx="76">
                  <c:v>100.545500566</c:v>
                </c:pt>
                <c:pt idx="77">
                  <c:v>101.74271400799999</c:v>
                </c:pt>
                <c:pt idx="78">
                  <c:v>99.104884191400004</c:v>
                </c:pt>
                <c:pt idx="79">
                  <c:v>101.941572353</c:v>
                </c:pt>
                <c:pt idx="80">
                  <c:v>99.789614542500004</c:v>
                </c:pt>
                <c:pt idx="81">
                  <c:v>103.138523792</c:v>
                </c:pt>
                <c:pt idx="82">
                  <c:v>106.21651070199999</c:v>
                </c:pt>
                <c:pt idx="83">
                  <c:v>105.626068549</c:v>
                </c:pt>
                <c:pt idx="84">
                  <c:v>105.943612183</c:v>
                </c:pt>
                <c:pt idx="85">
                  <c:v>105.060453787</c:v>
                </c:pt>
                <c:pt idx="86">
                  <c:v>107.978166774</c:v>
                </c:pt>
                <c:pt idx="87">
                  <c:v>107.456401595</c:v>
                </c:pt>
                <c:pt idx="88">
                  <c:v>109.291874038</c:v>
                </c:pt>
                <c:pt idx="89">
                  <c:v>107.562769137</c:v>
                </c:pt>
                <c:pt idx="90">
                  <c:v>107.52731959</c:v>
                </c:pt>
                <c:pt idx="91">
                  <c:v>108.981950528</c:v>
                </c:pt>
                <c:pt idx="92">
                  <c:v>105.50920264299999</c:v>
                </c:pt>
                <c:pt idx="93">
                  <c:v>103.45676941399999</c:v>
                </c:pt>
                <c:pt idx="94">
                  <c:v>104.22010526</c:v>
                </c:pt>
                <c:pt idx="95">
                  <c:v>107.194236211</c:v>
                </c:pt>
                <c:pt idx="96">
                  <c:v>103.937125255</c:v>
                </c:pt>
                <c:pt idx="97">
                  <c:v>105.499045169</c:v>
                </c:pt>
                <c:pt idx="98">
                  <c:v>102.288608197</c:v>
                </c:pt>
                <c:pt idx="99">
                  <c:v>99.868619085000006</c:v>
                </c:pt>
                <c:pt idx="100">
                  <c:v>102.116541286</c:v>
                </c:pt>
              </c:numCache>
            </c:numRef>
          </c:yVal>
          <c:smooth val="1"/>
        </c:ser>
        <c:ser>
          <c:idx val="96"/>
          <c:order val="96"/>
          <c:tx>
            <c:strRef>
              <c:f>S_plus!$DE$1</c:f>
              <c:strCache>
                <c:ptCount val="1"/>
                <c:pt idx="0">
                  <c:v>Sim97</c:v>
                </c:pt>
              </c:strCache>
            </c:strRef>
          </c:tx>
          <c:marker>
            <c:symbol val="none"/>
          </c:marker>
          <c:xVal>
            <c:numRef>
              <c:f>S_plus!$L$2:$L$102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S_plus!$DE$2:$DE$102</c:f>
              <c:numCache>
                <c:formatCode>General</c:formatCode>
                <c:ptCount val="101"/>
                <c:pt idx="0">
                  <c:v>100</c:v>
                </c:pt>
                <c:pt idx="1">
                  <c:v>98.977472693099998</c:v>
                </c:pt>
                <c:pt idx="2">
                  <c:v>99.975008927800005</c:v>
                </c:pt>
                <c:pt idx="3">
                  <c:v>99.689883362299994</c:v>
                </c:pt>
                <c:pt idx="4">
                  <c:v>101.82986015900001</c:v>
                </c:pt>
                <c:pt idx="5">
                  <c:v>103.273641375</c:v>
                </c:pt>
                <c:pt idx="6">
                  <c:v>102.90264631399999</c:v>
                </c:pt>
                <c:pt idx="7">
                  <c:v>104.97466497000001</c:v>
                </c:pt>
                <c:pt idx="8">
                  <c:v>102.54227717400001</c:v>
                </c:pt>
                <c:pt idx="9">
                  <c:v>102.528691721</c:v>
                </c:pt>
                <c:pt idx="10">
                  <c:v>102.226135762</c:v>
                </c:pt>
                <c:pt idx="11">
                  <c:v>101.823408122</c:v>
                </c:pt>
                <c:pt idx="12">
                  <c:v>101.61572091399999</c:v>
                </c:pt>
                <c:pt idx="13">
                  <c:v>102.010359878</c:v>
                </c:pt>
                <c:pt idx="14">
                  <c:v>104.780968777</c:v>
                </c:pt>
                <c:pt idx="15">
                  <c:v>107.32394675800001</c:v>
                </c:pt>
                <c:pt idx="16">
                  <c:v>104.392632464</c:v>
                </c:pt>
                <c:pt idx="17">
                  <c:v>107.34886118599999</c:v>
                </c:pt>
                <c:pt idx="18">
                  <c:v>106.48967219399999</c:v>
                </c:pt>
                <c:pt idx="19">
                  <c:v>107.448162052</c:v>
                </c:pt>
                <c:pt idx="20">
                  <c:v>105.518250431</c:v>
                </c:pt>
                <c:pt idx="21">
                  <c:v>103.75004592000001</c:v>
                </c:pt>
                <c:pt idx="22">
                  <c:v>105.770941455</c:v>
                </c:pt>
                <c:pt idx="23">
                  <c:v>103.922658184</c:v>
                </c:pt>
                <c:pt idx="24">
                  <c:v>107.023442614</c:v>
                </c:pt>
                <c:pt idx="25">
                  <c:v>106.396162277</c:v>
                </c:pt>
                <c:pt idx="26">
                  <c:v>103.850005129</c:v>
                </c:pt>
                <c:pt idx="27">
                  <c:v>104.663859375</c:v>
                </c:pt>
                <c:pt idx="28">
                  <c:v>102.562652715</c:v>
                </c:pt>
                <c:pt idx="29">
                  <c:v>104.47578033800001</c:v>
                </c:pt>
                <c:pt idx="30">
                  <c:v>107.68971028999999</c:v>
                </c:pt>
                <c:pt idx="31">
                  <c:v>108.785821816</c:v>
                </c:pt>
                <c:pt idx="32">
                  <c:v>106.87866228599999</c:v>
                </c:pt>
                <c:pt idx="33">
                  <c:v>107.93157576199999</c:v>
                </c:pt>
                <c:pt idx="34">
                  <c:v>110.797085146</c:v>
                </c:pt>
                <c:pt idx="35">
                  <c:v>107.865684735</c:v>
                </c:pt>
                <c:pt idx="36">
                  <c:v>106.198893129</c:v>
                </c:pt>
                <c:pt idx="37">
                  <c:v>102.479107124</c:v>
                </c:pt>
                <c:pt idx="38">
                  <c:v>106.817921126</c:v>
                </c:pt>
                <c:pt idx="39">
                  <c:v>108.866487053</c:v>
                </c:pt>
                <c:pt idx="40">
                  <c:v>108.91978553200001</c:v>
                </c:pt>
                <c:pt idx="41">
                  <c:v>105.327759688</c:v>
                </c:pt>
                <c:pt idx="42">
                  <c:v>104.94618059</c:v>
                </c:pt>
                <c:pt idx="43">
                  <c:v>103.3168852</c:v>
                </c:pt>
                <c:pt idx="44">
                  <c:v>106.960653308</c:v>
                </c:pt>
                <c:pt idx="45">
                  <c:v>107.138954083</c:v>
                </c:pt>
                <c:pt idx="46">
                  <c:v>103.92523393099999</c:v>
                </c:pt>
                <c:pt idx="47">
                  <c:v>105.988883546</c:v>
                </c:pt>
                <c:pt idx="48">
                  <c:v>106.586455837</c:v>
                </c:pt>
                <c:pt idx="49">
                  <c:v>102.908504167</c:v>
                </c:pt>
                <c:pt idx="50">
                  <c:v>103.506087397</c:v>
                </c:pt>
                <c:pt idx="51">
                  <c:v>100.80212490300001</c:v>
                </c:pt>
                <c:pt idx="52">
                  <c:v>96.136656194099999</c:v>
                </c:pt>
                <c:pt idx="53">
                  <c:v>96.744634740500004</c:v>
                </c:pt>
                <c:pt idx="54">
                  <c:v>98.211224361600003</c:v>
                </c:pt>
                <c:pt idx="55">
                  <c:v>101.046876137</c:v>
                </c:pt>
                <c:pt idx="56">
                  <c:v>96.767828525400006</c:v>
                </c:pt>
                <c:pt idx="57">
                  <c:v>97.375660787900003</c:v>
                </c:pt>
                <c:pt idx="58">
                  <c:v>96.073376567400004</c:v>
                </c:pt>
                <c:pt idx="59">
                  <c:v>94.088988286900005</c:v>
                </c:pt>
                <c:pt idx="60">
                  <c:v>94.585838637099997</c:v>
                </c:pt>
                <c:pt idx="61">
                  <c:v>94.659091779299999</c:v>
                </c:pt>
                <c:pt idx="62">
                  <c:v>96.198323035100003</c:v>
                </c:pt>
                <c:pt idx="63">
                  <c:v>96.491231388499997</c:v>
                </c:pt>
                <c:pt idx="64">
                  <c:v>97.862476510700006</c:v>
                </c:pt>
                <c:pt idx="65">
                  <c:v>97.882472086700005</c:v>
                </c:pt>
                <c:pt idx="66">
                  <c:v>99.822556722300007</c:v>
                </c:pt>
                <c:pt idx="67">
                  <c:v>104.730336103</c:v>
                </c:pt>
                <c:pt idx="68">
                  <c:v>107.573716793</c:v>
                </c:pt>
                <c:pt idx="69">
                  <c:v>106.900862772</c:v>
                </c:pt>
                <c:pt idx="70">
                  <c:v>110.687349213</c:v>
                </c:pt>
                <c:pt idx="71">
                  <c:v>106.91664395399999</c:v>
                </c:pt>
                <c:pt idx="72">
                  <c:v>104.04143356100001</c:v>
                </c:pt>
                <c:pt idx="73">
                  <c:v>103.434288678</c:v>
                </c:pt>
                <c:pt idx="74">
                  <c:v>106.050266167</c:v>
                </c:pt>
                <c:pt idx="75">
                  <c:v>107.938214536</c:v>
                </c:pt>
                <c:pt idx="76">
                  <c:v>106.940393333</c:v>
                </c:pt>
                <c:pt idx="77">
                  <c:v>106.30442566000001</c:v>
                </c:pt>
                <c:pt idx="78">
                  <c:v>106.590470724</c:v>
                </c:pt>
                <c:pt idx="79">
                  <c:v>106.397712433</c:v>
                </c:pt>
                <c:pt idx="80">
                  <c:v>107.75381654500001</c:v>
                </c:pt>
                <c:pt idx="81">
                  <c:v>105.388297732</c:v>
                </c:pt>
                <c:pt idx="82">
                  <c:v>108.21617683300001</c:v>
                </c:pt>
                <c:pt idx="83">
                  <c:v>105.87068652000001</c:v>
                </c:pt>
                <c:pt idx="84">
                  <c:v>105.609679302</c:v>
                </c:pt>
                <c:pt idx="85">
                  <c:v>103.99829714800001</c:v>
                </c:pt>
                <c:pt idx="86">
                  <c:v>105.337760269</c:v>
                </c:pt>
                <c:pt idx="87">
                  <c:v>102.503122639</c:v>
                </c:pt>
                <c:pt idx="88">
                  <c:v>103.241627584</c:v>
                </c:pt>
                <c:pt idx="89">
                  <c:v>106.14489773</c:v>
                </c:pt>
                <c:pt idx="90">
                  <c:v>103.25140221700001</c:v>
                </c:pt>
                <c:pt idx="91">
                  <c:v>98.295094724799995</c:v>
                </c:pt>
                <c:pt idx="92">
                  <c:v>98.530680241699997</c:v>
                </c:pt>
                <c:pt idx="93">
                  <c:v>101.335314293</c:v>
                </c:pt>
                <c:pt idx="94">
                  <c:v>103.71079318</c:v>
                </c:pt>
                <c:pt idx="95">
                  <c:v>103.771499421</c:v>
                </c:pt>
                <c:pt idx="96">
                  <c:v>101.567628271</c:v>
                </c:pt>
                <c:pt idx="97">
                  <c:v>102.07837295900001</c:v>
                </c:pt>
                <c:pt idx="98">
                  <c:v>104.174217109</c:v>
                </c:pt>
                <c:pt idx="99">
                  <c:v>103.94311752999999</c:v>
                </c:pt>
                <c:pt idx="100">
                  <c:v>103.35093806</c:v>
                </c:pt>
              </c:numCache>
            </c:numRef>
          </c:yVal>
          <c:smooth val="1"/>
        </c:ser>
        <c:ser>
          <c:idx val="97"/>
          <c:order val="97"/>
          <c:tx>
            <c:strRef>
              <c:f>S_plus!$DF$1</c:f>
              <c:strCache>
                <c:ptCount val="1"/>
                <c:pt idx="0">
                  <c:v>Sim98</c:v>
                </c:pt>
              </c:strCache>
            </c:strRef>
          </c:tx>
          <c:marker>
            <c:symbol val="none"/>
          </c:marker>
          <c:xVal>
            <c:numRef>
              <c:f>S_plus!$L$2:$L$102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S_plus!$DF$2:$DF$102</c:f>
              <c:numCache>
                <c:formatCode>General</c:formatCode>
                <c:ptCount val="101"/>
                <c:pt idx="0">
                  <c:v>100</c:v>
                </c:pt>
                <c:pt idx="1">
                  <c:v>100.105590064</c:v>
                </c:pt>
                <c:pt idx="2">
                  <c:v>102.136113603</c:v>
                </c:pt>
                <c:pt idx="3">
                  <c:v>101.480028194</c:v>
                </c:pt>
                <c:pt idx="4">
                  <c:v>102.31707454399999</c:v>
                </c:pt>
                <c:pt idx="5">
                  <c:v>103.081057683</c:v>
                </c:pt>
                <c:pt idx="6">
                  <c:v>103.451791179</c:v>
                </c:pt>
                <c:pt idx="7">
                  <c:v>105.180707748</c:v>
                </c:pt>
                <c:pt idx="8">
                  <c:v>104.37824199799999</c:v>
                </c:pt>
                <c:pt idx="9">
                  <c:v>104.802952545</c:v>
                </c:pt>
                <c:pt idx="10">
                  <c:v>101.394387838</c:v>
                </c:pt>
                <c:pt idx="11">
                  <c:v>98.354357839499997</c:v>
                </c:pt>
                <c:pt idx="12">
                  <c:v>99.4558066397</c:v>
                </c:pt>
                <c:pt idx="13">
                  <c:v>98.878061129599999</c:v>
                </c:pt>
                <c:pt idx="14">
                  <c:v>96.635931884300007</c:v>
                </c:pt>
                <c:pt idx="15">
                  <c:v>97.798780343999994</c:v>
                </c:pt>
                <c:pt idx="16">
                  <c:v>98.719833682000001</c:v>
                </c:pt>
                <c:pt idx="17">
                  <c:v>97.777478350400003</c:v>
                </c:pt>
                <c:pt idx="18">
                  <c:v>99.878711056900002</c:v>
                </c:pt>
                <c:pt idx="19">
                  <c:v>95.798875819399996</c:v>
                </c:pt>
                <c:pt idx="20">
                  <c:v>93.834027512500001</c:v>
                </c:pt>
                <c:pt idx="21">
                  <c:v>91.586451826800001</c:v>
                </c:pt>
                <c:pt idx="22">
                  <c:v>87.209960808000005</c:v>
                </c:pt>
                <c:pt idx="23">
                  <c:v>87.225567503099995</c:v>
                </c:pt>
                <c:pt idx="24">
                  <c:v>87.654451510599998</c:v>
                </c:pt>
                <c:pt idx="25">
                  <c:v>85.263633169800002</c:v>
                </c:pt>
                <c:pt idx="26">
                  <c:v>88.473563694500001</c:v>
                </c:pt>
                <c:pt idx="27">
                  <c:v>87.392014133900005</c:v>
                </c:pt>
                <c:pt idx="28">
                  <c:v>89.161459579300001</c:v>
                </c:pt>
                <c:pt idx="29">
                  <c:v>87.296091456100001</c:v>
                </c:pt>
                <c:pt idx="30">
                  <c:v>90.4720027332</c:v>
                </c:pt>
                <c:pt idx="31">
                  <c:v>89.745118853899996</c:v>
                </c:pt>
                <c:pt idx="32">
                  <c:v>88.408289906600004</c:v>
                </c:pt>
                <c:pt idx="33">
                  <c:v>87.080578792699995</c:v>
                </c:pt>
                <c:pt idx="34">
                  <c:v>87.710553377500005</c:v>
                </c:pt>
                <c:pt idx="35">
                  <c:v>88.541189643500005</c:v>
                </c:pt>
                <c:pt idx="36">
                  <c:v>87.425209724599995</c:v>
                </c:pt>
                <c:pt idx="37">
                  <c:v>87.019587998399999</c:v>
                </c:pt>
                <c:pt idx="38">
                  <c:v>87.183784265100002</c:v>
                </c:pt>
                <c:pt idx="39">
                  <c:v>85.831221537900007</c:v>
                </c:pt>
                <c:pt idx="40">
                  <c:v>84.506598251300005</c:v>
                </c:pt>
                <c:pt idx="41">
                  <c:v>85.891519298800006</c:v>
                </c:pt>
                <c:pt idx="42">
                  <c:v>85.570675717399993</c:v>
                </c:pt>
                <c:pt idx="43">
                  <c:v>83.549410282799997</c:v>
                </c:pt>
                <c:pt idx="44">
                  <c:v>81.927051457900006</c:v>
                </c:pt>
                <c:pt idx="45">
                  <c:v>80.970177533699996</c:v>
                </c:pt>
                <c:pt idx="46">
                  <c:v>80.444939548799994</c:v>
                </c:pt>
                <c:pt idx="47">
                  <c:v>82.246216799699994</c:v>
                </c:pt>
                <c:pt idx="48">
                  <c:v>81.612583405300001</c:v>
                </c:pt>
                <c:pt idx="49">
                  <c:v>81.328272621799997</c:v>
                </c:pt>
                <c:pt idx="50">
                  <c:v>83.968688233999998</c:v>
                </c:pt>
                <c:pt idx="51">
                  <c:v>87.097482664699996</c:v>
                </c:pt>
                <c:pt idx="52">
                  <c:v>86.823538677800002</c:v>
                </c:pt>
                <c:pt idx="53">
                  <c:v>84.437975828000006</c:v>
                </c:pt>
                <c:pt idx="54">
                  <c:v>83.909221282000004</c:v>
                </c:pt>
                <c:pt idx="55">
                  <c:v>82.765540230499994</c:v>
                </c:pt>
                <c:pt idx="56">
                  <c:v>82.646192480699995</c:v>
                </c:pt>
                <c:pt idx="57">
                  <c:v>84.345316625899997</c:v>
                </c:pt>
                <c:pt idx="58">
                  <c:v>81.365586246899994</c:v>
                </c:pt>
                <c:pt idx="59">
                  <c:v>82.609442232700005</c:v>
                </c:pt>
                <c:pt idx="60">
                  <c:v>80.503924605700007</c:v>
                </c:pt>
                <c:pt idx="61">
                  <c:v>80.521634181699994</c:v>
                </c:pt>
                <c:pt idx="62">
                  <c:v>80.212297632800002</c:v>
                </c:pt>
                <c:pt idx="63">
                  <c:v>79.002902219000006</c:v>
                </c:pt>
                <c:pt idx="64">
                  <c:v>78.862132514899997</c:v>
                </c:pt>
                <c:pt idx="65">
                  <c:v>77.474589798899999</c:v>
                </c:pt>
                <c:pt idx="66">
                  <c:v>75.374105865499999</c:v>
                </c:pt>
                <c:pt idx="67">
                  <c:v>73.608711715599995</c:v>
                </c:pt>
                <c:pt idx="68">
                  <c:v>73.717041059699994</c:v>
                </c:pt>
                <c:pt idx="69">
                  <c:v>71.874755832399998</c:v>
                </c:pt>
                <c:pt idx="70">
                  <c:v>74.772762395499996</c:v>
                </c:pt>
                <c:pt idx="71">
                  <c:v>75.315713468599995</c:v>
                </c:pt>
                <c:pt idx="72">
                  <c:v>76.701475108500006</c:v>
                </c:pt>
                <c:pt idx="73">
                  <c:v>77.904125629999996</c:v>
                </c:pt>
                <c:pt idx="74">
                  <c:v>78.389096820199995</c:v>
                </c:pt>
                <c:pt idx="75">
                  <c:v>79.813348118600004</c:v>
                </c:pt>
                <c:pt idx="76">
                  <c:v>81.116651810799993</c:v>
                </c:pt>
                <c:pt idx="77">
                  <c:v>79.052620246900005</c:v>
                </c:pt>
                <c:pt idx="78">
                  <c:v>79.547239678500006</c:v>
                </c:pt>
                <c:pt idx="79">
                  <c:v>80.365406523399997</c:v>
                </c:pt>
                <c:pt idx="80">
                  <c:v>79.207128687299999</c:v>
                </c:pt>
                <c:pt idx="81">
                  <c:v>80.131045048700003</c:v>
                </c:pt>
                <c:pt idx="82">
                  <c:v>81.721738587499999</c:v>
                </c:pt>
                <c:pt idx="83">
                  <c:v>81.874186487900005</c:v>
                </c:pt>
                <c:pt idx="84">
                  <c:v>81.043035690300002</c:v>
                </c:pt>
                <c:pt idx="85">
                  <c:v>81.240750148499998</c:v>
                </c:pt>
                <c:pt idx="86">
                  <c:v>83.460024048099996</c:v>
                </c:pt>
                <c:pt idx="87">
                  <c:v>83.385946510599993</c:v>
                </c:pt>
                <c:pt idx="88">
                  <c:v>80.463727987799999</c:v>
                </c:pt>
                <c:pt idx="89">
                  <c:v>81.266467396099998</c:v>
                </c:pt>
                <c:pt idx="90">
                  <c:v>81.650550154300007</c:v>
                </c:pt>
                <c:pt idx="91">
                  <c:v>81.688578272000001</c:v>
                </c:pt>
                <c:pt idx="92">
                  <c:v>79.771895148499993</c:v>
                </c:pt>
                <c:pt idx="93">
                  <c:v>78.562083985900003</c:v>
                </c:pt>
                <c:pt idx="94">
                  <c:v>80.504903797200001</c:v>
                </c:pt>
                <c:pt idx="95">
                  <c:v>82.060457072199995</c:v>
                </c:pt>
                <c:pt idx="96">
                  <c:v>83.259849245599995</c:v>
                </c:pt>
                <c:pt idx="97">
                  <c:v>83.279867412100003</c:v>
                </c:pt>
                <c:pt idx="98">
                  <c:v>82.981045826799999</c:v>
                </c:pt>
                <c:pt idx="99">
                  <c:v>82.899220690099995</c:v>
                </c:pt>
                <c:pt idx="100">
                  <c:v>81.996183911000003</c:v>
                </c:pt>
              </c:numCache>
            </c:numRef>
          </c:yVal>
          <c:smooth val="1"/>
        </c:ser>
        <c:ser>
          <c:idx val="98"/>
          <c:order val="98"/>
          <c:tx>
            <c:strRef>
              <c:f>S_plus!$DG$1</c:f>
              <c:strCache>
                <c:ptCount val="1"/>
                <c:pt idx="0">
                  <c:v>Sim99</c:v>
                </c:pt>
              </c:strCache>
            </c:strRef>
          </c:tx>
          <c:marker>
            <c:symbol val="none"/>
          </c:marker>
          <c:xVal>
            <c:numRef>
              <c:f>S_plus!$L$2:$L$102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S_plus!$DG$2:$DG$102</c:f>
              <c:numCache>
                <c:formatCode>General</c:formatCode>
                <c:ptCount val="101"/>
                <c:pt idx="0">
                  <c:v>100</c:v>
                </c:pt>
                <c:pt idx="1">
                  <c:v>97.248044520400001</c:v>
                </c:pt>
                <c:pt idx="2">
                  <c:v>101.061829299</c:v>
                </c:pt>
                <c:pt idx="3">
                  <c:v>100.44826032</c:v>
                </c:pt>
                <c:pt idx="4">
                  <c:v>99.754465461899997</c:v>
                </c:pt>
                <c:pt idx="5">
                  <c:v>101.00873242500001</c:v>
                </c:pt>
                <c:pt idx="6">
                  <c:v>99.355862089799999</c:v>
                </c:pt>
                <c:pt idx="7">
                  <c:v>96.354961266900006</c:v>
                </c:pt>
                <c:pt idx="8">
                  <c:v>96.784325167199995</c:v>
                </c:pt>
                <c:pt idx="9">
                  <c:v>97.461452270400002</c:v>
                </c:pt>
                <c:pt idx="10">
                  <c:v>94.922906837499994</c:v>
                </c:pt>
                <c:pt idx="11">
                  <c:v>96.474099191999997</c:v>
                </c:pt>
                <c:pt idx="12">
                  <c:v>95.618568962500007</c:v>
                </c:pt>
                <c:pt idx="13">
                  <c:v>97.913722335100005</c:v>
                </c:pt>
                <c:pt idx="14">
                  <c:v>98.226212379100005</c:v>
                </c:pt>
                <c:pt idx="15">
                  <c:v>97.697038693899998</c:v>
                </c:pt>
                <c:pt idx="16">
                  <c:v>97.729393525000006</c:v>
                </c:pt>
                <c:pt idx="17">
                  <c:v>95.036586588800006</c:v>
                </c:pt>
                <c:pt idx="18">
                  <c:v>93.765548604900005</c:v>
                </c:pt>
                <c:pt idx="19">
                  <c:v>93.256091776999995</c:v>
                </c:pt>
                <c:pt idx="20">
                  <c:v>92.556766181399993</c:v>
                </c:pt>
                <c:pt idx="21">
                  <c:v>90.523188431199998</c:v>
                </c:pt>
                <c:pt idx="22">
                  <c:v>91.974752509799998</c:v>
                </c:pt>
                <c:pt idx="23">
                  <c:v>92.233438536199998</c:v>
                </c:pt>
                <c:pt idx="24">
                  <c:v>93.605753605000004</c:v>
                </c:pt>
                <c:pt idx="25">
                  <c:v>91.961814008000005</c:v>
                </c:pt>
                <c:pt idx="26">
                  <c:v>91.107639707299995</c:v>
                </c:pt>
                <c:pt idx="27">
                  <c:v>90.230715279099996</c:v>
                </c:pt>
                <c:pt idx="28">
                  <c:v>89.591646556900002</c:v>
                </c:pt>
                <c:pt idx="29">
                  <c:v>87.494878999199997</c:v>
                </c:pt>
                <c:pt idx="30">
                  <c:v>84.984236727099997</c:v>
                </c:pt>
                <c:pt idx="31">
                  <c:v>84.267123558600005</c:v>
                </c:pt>
                <c:pt idx="32">
                  <c:v>85.212143198099994</c:v>
                </c:pt>
                <c:pt idx="33">
                  <c:v>87.539554812600002</c:v>
                </c:pt>
                <c:pt idx="34">
                  <c:v>91.055829949599996</c:v>
                </c:pt>
                <c:pt idx="35">
                  <c:v>92.272531628400003</c:v>
                </c:pt>
                <c:pt idx="36">
                  <c:v>88.154147523800006</c:v>
                </c:pt>
                <c:pt idx="37">
                  <c:v>88.239808990499995</c:v>
                </c:pt>
                <c:pt idx="38">
                  <c:v>90.400038132099994</c:v>
                </c:pt>
                <c:pt idx="39">
                  <c:v>90.164318785199995</c:v>
                </c:pt>
                <c:pt idx="40">
                  <c:v>90.577226201800002</c:v>
                </c:pt>
                <c:pt idx="41">
                  <c:v>88.213945530499998</c:v>
                </c:pt>
                <c:pt idx="42">
                  <c:v>87.806721423400006</c:v>
                </c:pt>
                <c:pt idx="43">
                  <c:v>87.977896415100005</c:v>
                </c:pt>
                <c:pt idx="44">
                  <c:v>89.0087191975</c:v>
                </c:pt>
                <c:pt idx="45">
                  <c:v>91.267325505100004</c:v>
                </c:pt>
                <c:pt idx="46">
                  <c:v>91.034441648799998</c:v>
                </c:pt>
                <c:pt idx="47">
                  <c:v>88.815726955700001</c:v>
                </c:pt>
                <c:pt idx="48">
                  <c:v>91.468698860299995</c:v>
                </c:pt>
                <c:pt idx="49">
                  <c:v>87.501758204500007</c:v>
                </c:pt>
                <c:pt idx="50">
                  <c:v>85.394087050699994</c:v>
                </c:pt>
                <c:pt idx="51">
                  <c:v>85.367463344300006</c:v>
                </c:pt>
                <c:pt idx="52">
                  <c:v>84.855999865100003</c:v>
                </c:pt>
                <c:pt idx="53">
                  <c:v>82.380991440000003</c:v>
                </c:pt>
                <c:pt idx="54">
                  <c:v>84.648182726300007</c:v>
                </c:pt>
                <c:pt idx="55">
                  <c:v>86.633797596199997</c:v>
                </c:pt>
                <c:pt idx="56">
                  <c:v>86.706618193400004</c:v>
                </c:pt>
                <c:pt idx="57">
                  <c:v>83.977042252700002</c:v>
                </c:pt>
                <c:pt idx="58">
                  <c:v>84.325185016899994</c:v>
                </c:pt>
                <c:pt idx="59">
                  <c:v>83.085854899099999</c:v>
                </c:pt>
                <c:pt idx="60">
                  <c:v>83.626174321500002</c:v>
                </c:pt>
                <c:pt idx="61">
                  <c:v>85.190934063900002</c:v>
                </c:pt>
                <c:pt idx="62">
                  <c:v>86.421286374299996</c:v>
                </c:pt>
                <c:pt idx="63">
                  <c:v>87.528611997699997</c:v>
                </c:pt>
                <c:pt idx="64">
                  <c:v>85.598928202099998</c:v>
                </c:pt>
                <c:pt idx="65">
                  <c:v>83.982845691099996</c:v>
                </c:pt>
                <c:pt idx="66">
                  <c:v>84.718860010100002</c:v>
                </c:pt>
                <c:pt idx="67">
                  <c:v>82.5506466816</c:v>
                </c:pt>
                <c:pt idx="68">
                  <c:v>83.069072535399997</c:v>
                </c:pt>
                <c:pt idx="69">
                  <c:v>82.984883376900001</c:v>
                </c:pt>
                <c:pt idx="70">
                  <c:v>84.278237233300004</c:v>
                </c:pt>
                <c:pt idx="71">
                  <c:v>82.261947768599995</c:v>
                </c:pt>
                <c:pt idx="72">
                  <c:v>84.576175002200003</c:v>
                </c:pt>
                <c:pt idx="73">
                  <c:v>83.937985927200003</c:v>
                </c:pt>
                <c:pt idx="74">
                  <c:v>85.7983965297</c:v>
                </c:pt>
                <c:pt idx="75">
                  <c:v>87.780682325000001</c:v>
                </c:pt>
                <c:pt idx="76">
                  <c:v>84.650051792400006</c:v>
                </c:pt>
                <c:pt idx="77">
                  <c:v>85.988169311799993</c:v>
                </c:pt>
                <c:pt idx="78">
                  <c:v>85.653322639699994</c:v>
                </c:pt>
                <c:pt idx="79">
                  <c:v>86.196299740000001</c:v>
                </c:pt>
                <c:pt idx="80">
                  <c:v>84.563792756599995</c:v>
                </c:pt>
                <c:pt idx="81">
                  <c:v>83.8006076283</c:v>
                </c:pt>
                <c:pt idx="82">
                  <c:v>84.921264581700001</c:v>
                </c:pt>
                <c:pt idx="83">
                  <c:v>86.503054525899998</c:v>
                </c:pt>
                <c:pt idx="84">
                  <c:v>85.139548965000003</c:v>
                </c:pt>
                <c:pt idx="85">
                  <c:v>83.931844858000005</c:v>
                </c:pt>
                <c:pt idx="86">
                  <c:v>83.967623570499995</c:v>
                </c:pt>
                <c:pt idx="87">
                  <c:v>81.765043660000003</c:v>
                </c:pt>
                <c:pt idx="88">
                  <c:v>83.0526496807</c:v>
                </c:pt>
                <c:pt idx="89">
                  <c:v>81.8903650134</c:v>
                </c:pt>
                <c:pt idx="90">
                  <c:v>84.302907097900004</c:v>
                </c:pt>
                <c:pt idx="91">
                  <c:v>83.159737686400007</c:v>
                </c:pt>
                <c:pt idx="92">
                  <c:v>83.002545905100007</c:v>
                </c:pt>
                <c:pt idx="93">
                  <c:v>84.433412668900004</c:v>
                </c:pt>
                <c:pt idx="94">
                  <c:v>84.219630723799995</c:v>
                </c:pt>
                <c:pt idx="95">
                  <c:v>83.517726084000003</c:v>
                </c:pt>
                <c:pt idx="96">
                  <c:v>84.442453575200005</c:v>
                </c:pt>
                <c:pt idx="97">
                  <c:v>84.244001897499999</c:v>
                </c:pt>
                <c:pt idx="98">
                  <c:v>87.5180489352</c:v>
                </c:pt>
                <c:pt idx="99">
                  <c:v>88.433943682299997</c:v>
                </c:pt>
                <c:pt idx="100">
                  <c:v>87.832134911099999</c:v>
                </c:pt>
              </c:numCache>
            </c:numRef>
          </c:yVal>
          <c:smooth val="1"/>
        </c:ser>
        <c:ser>
          <c:idx val="99"/>
          <c:order val="99"/>
          <c:tx>
            <c:strRef>
              <c:f>S_plus!$DH$1</c:f>
              <c:strCache>
                <c:ptCount val="1"/>
                <c:pt idx="0">
                  <c:v>Sim100</c:v>
                </c:pt>
              </c:strCache>
            </c:strRef>
          </c:tx>
          <c:marker>
            <c:symbol val="none"/>
          </c:marker>
          <c:xVal>
            <c:numRef>
              <c:f>S_plus!$L$2:$L$102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S_plus!$DH$2:$DH$102</c:f>
              <c:numCache>
                <c:formatCode>General</c:formatCode>
                <c:ptCount val="101"/>
                <c:pt idx="0">
                  <c:v>100</c:v>
                </c:pt>
                <c:pt idx="1">
                  <c:v>101.72352167299999</c:v>
                </c:pt>
                <c:pt idx="2">
                  <c:v>100.080206981</c:v>
                </c:pt>
                <c:pt idx="3">
                  <c:v>102.682293876</c:v>
                </c:pt>
                <c:pt idx="4">
                  <c:v>102.704577833</c:v>
                </c:pt>
                <c:pt idx="5">
                  <c:v>102.421134245</c:v>
                </c:pt>
                <c:pt idx="6">
                  <c:v>100.636549344</c:v>
                </c:pt>
                <c:pt idx="7">
                  <c:v>102.501776425</c:v>
                </c:pt>
                <c:pt idx="8">
                  <c:v>100.84350269399999</c:v>
                </c:pt>
                <c:pt idx="9">
                  <c:v>100.80378438300001</c:v>
                </c:pt>
                <c:pt idx="10">
                  <c:v>100.31413177500001</c:v>
                </c:pt>
                <c:pt idx="11">
                  <c:v>99.908453149500005</c:v>
                </c:pt>
                <c:pt idx="12">
                  <c:v>101.630993158</c:v>
                </c:pt>
                <c:pt idx="13">
                  <c:v>100.89772283000001</c:v>
                </c:pt>
                <c:pt idx="14">
                  <c:v>99.442482824899997</c:v>
                </c:pt>
                <c:pt idx="15">
                  <c:v>98.386103371999994</c:v>
                </c:pt>
                <c:pt idx="16">
                  <c:v>93.579961598799997</c:v>
                </c:pt>
                <c:pt idx="17">
                  <c:v>92.4380225508</c:v>
                </c:pt>
                <c:pt idx="18">
                  <c:v>95.016418195599996</c:v>
                </c:pt>
                <c:pt idx="19">
                  <c:v>93.1119253297</c:v>
                </c:pt>
                <c:pt idx="20">
                  <c:v>94.351453242000005</c:v>
                </c:pt>
                <c:pt idx="21">
                  <c:v>96.749704328299998</c:v>
                </c:pt>
                <c:pt idx="22">
                  <c:v>97.954387994499996</c:v>
                </c:pt>
                <c:pt idx="23">
                  <c:v>96.276465203100003</c:v>
                </c:pt>
                <c:pt idx="24">
                  <c:v>100.16097644600001</c:v>
                </c:pt>
                <c:pt idx="25">
                  <c:v>101.173511117</c:v>
                </c:pt>
                <c:pt idx="26">
                  <c:v>100.915008711</c:v>
                </c:pt>
                <c:pt idx="27">
                  <c:v>104.068275543</c:v>
                </c:pt>
                <c:pt idx="28">
                  <c:v>105.86805874300001</c:v>
                </c:pt>
                <c:pt idx="29">
                  <c:v>106.37482302399999</c:v>
                </c:pt>
                <c:pt idx="30">
                  <c:v>107.98435841200001</c:v>
                </c:pt>
                <c:pt idx="31">
                  <c:v>104.58366963100001</c:v>
                </c:pt>
                <c:pt idx="32">
                  <c:v>103.30511590499999</c:v>
                </c:pt>
                <c:pt idx="33">
                  <c:v>101.15053045400001</c:v>
                </c:pt>
                <c:pt idx="34">
                  <c:v>102.05108190200001</c:v>
                </c:pt>
                <c:pt idx="35">
                  <c:v>105.422027427</c:v>
                </c:pt>
                <c:pt idx="36">
                  <c:v>107.898202325</c:v>
                </c:pt>
                <c:pt idx="37">
                  <c:v>106.73470703</c:v>
                </c:pt>
                <c:pt idx="38">
                  <c:v>105.510641999</c:v>
                </c:pt>
                <c:pt idx="39">
                  <c:v>108.868808685</c:v>
                </c:pt>
                <c:pt idx="40">
                  <c:v>105.37884496700001</c:v>
                </c:pt>
                <c:pt idx="41">
                  <c:v>102.678806201</c:v>
                </c:pt>
                <c:pt idx="42">
                  <c:v>102.181974571</c:v>
                </c:pt>
                <c:pt idx="43">
                  <c:v>99.915481072600002</c:v>
                </c:pt>
                <c:pt idx="44">
                  <c:v>100.711019382</c:v>
                </c:pt>
                <c:pt idx="45">
                  <c:v>100.7925985</c:v>
                </c:pt>
                <c:pt idx="46">
                  <c:v>101.775590423</c:v>
                </c:pt>
                <c:pt idx="47">
                  <c:v>100.860637974</c:v>
                </c:pt>
                <c:pt idx="48">
                  <c:v>97.439511871899995</c:v>
                </c:pt>
                <c:pt idx="49">
                  <c:v>96.854397047299997</c:v>
                </c:pt>
                <c:pt idx="50">
                  <c:v>101.89821491399999</c:v>
                </c:pt>
                <c:pt idx="51">
                  <c:v>98.931590537800005</c:v>
                </c:pt>
                <c:pt idx="52">
                  <c:v>100.19649662400001</c:v>
                </c:pt>
                <c:pt idx="53">
                  <c:v>99.750886092000002</c:v>
                </c:pt>
                <c:pt idx="54">
                  <c:v>99.397446704700002</c:v>
                </c:pt>
                <c:pt idx="55">
                  <c:v>98.641136992</c:v>
                </c:pt>
                <c:pt idx="56">
                  <c:v>98.668984772800002</c:v>
                </c:pt>
                <c:pt idx="57">
                  <c:v>97.060691106099995</c:v>
                </c:pt>
                <c:pt idx="58">
                  <c:v>99.703299835400003</c:v>
                </c:pt>
                <c:pt idx="59">
                  <c:v>99.519233549600003</c:v>
                </c:pt>
                <c:pt idx="60">
                  <c:v>100.36959903100001</c:v>
                </c:pt>
                <c:pt idx="61">
                  <c:v>102.20550586900001</c:v>
                </c:pt>
                <c:pt idx="62">
                  <c:v>101.33121134700001</c:v>
                </c:pt>
                <c:pt idx="63">
                  <c:v>100.36814485399999</c:v>
                </c:pt>
                <c:pt idx="64">
                  <c:v>102.98429400000001</c:v>
                </c:pt>
                <c:pt idx="65">
                  <c:v>100.47250927100001</c:v>
                </c:pt>
                <c:pt idx="66">
                  <c:v>99.754327966899993</c:v>
                </c:pt>
                <c:pt idx="67">
                  <c:v>98.321711798500004</c:v>
                </c:pt>
                <c:pt idx="68">
                  <c:v>96.844537025799994</c:v>
                </c:pt>
                <c:pt idx="69">
                  <c:v>91.666990118900003</c:v>
                </c:pt>
                <c:pt idx="70">
                  <c:v>91.350321966500005</c:v>
                </c:pt>
                <c:pt idx="71">
                  <c:v>90.864677017800005</c:v>
                </c:pt>
                <c:pt idx="72">
                  <c:v>90.873401658600002</c:v>
                </c:pt>
                <c:pt idx="73">
                  <c:v>90.505370663799994</c:v>
                </c:pt>
                <c:pt idx="74">
                  <c:v>89.736481341399994</c:v>
                </c:pt>
                <c:pt idx="75">
                  <c:v>89.798373274499994</c:v>
                </c:pt>
                <c:pt idx="76">
                  <c:v>89.423349682600005</c:v>
                </c:pt>
                <c:pt idx="77">
                  <c:v>92.27370234</c:v>
                </c:pt>
                <c:pt idx="78">
                  <c:v>90.242423382499993</c:v>
                </c:pt>
                <c:pt idx="79">
                  <c:v>87.201763771100005</c:v>
                </c:pt>
                <c:pt idx="80">
                  <c:v>89.367795889700005</c:v>
                </c:pt>
                <c:pt idx="81">
                  <c:v>88.431989670700005</c:v>
                </c:pt>
                <c:pt idx="82">
                  <c:v>86.705658738699995</c:v>
                </c:pt>
                <c:pt idx="83">
                  <c:v>84.917850729400001</c:v>
                </c:pt>
                <c:pt idx="84">
                  <c:v>85.181791687699999</c:v>
                </c:pt>
                <c:pt idx="85">
                  <c:v>83.369795831900007</c:v>
                </c:pt>
                <c:pt idx="86">
                  <c:v>84.601035420299993</c:v>
                </c:pt>
                <c:pt idx="87">
                  <c:v>84.476575311600001</c:v>
                </c:pt>
                <c:pt idx="88">
                  <c:v>83.727900280699998</c:v>
                </c:pt>
                <c:pt idx="89">
                  <c:v>84.457707554799995</c:v>
                </c:pt>
                <c:pt idx="90">
                  <c:v>83.825003421999995</c:v>
                </c:pt>
                <c:pt idx="91">
                  <c:v>82.650895973700003</c:v>
                </c:pt>
                <c:pt idx="92">
                  <c:v>80.481269050999998</c:v>
                </c:pt>
                <c:pt idx="93">
                  <c:v>80.155047155800005</c:v>
                </c:pt>
                <c:pt idx="94">
                  <c:v>79.486472649700005</c:v>
                </c:pt>
                <c:pt idx="95">
                  <c:v>79.317777556699994</c:v>
                </c:pt>
                <c:pt idx="96">
                  <c:v>77.741598940700001</c:v>
                </c:pt>
                <c:pt idx="97">
                  <c:v>79.646123187200004</c:v>
                </c:pt>
                <c:pt idx="98">
                  <c:v>80.810971654799999</c:v>
                </c:pt>
                <c:pt idx="99">
                  <c:v>78.242242313299997</c:v>
                </c:pt>
                <c:pt idx="100">
                  <c:v>79.515175946699998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000192"/>
        <c:axId val="171002112"/>
      </c:scatterChart>
      <c:valAx>
        <c:axId val="171000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Time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71002112"/>
        <c:crosses val="autoZero"/>
        <c:crossBetween val="midCat"/>
      </c:valAx>
      <c:valAx>
        <c:axId val="1710021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7100019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Call Payoff</c:v>
          </c:tx>
          <c:marker>
            <c:symbol val="none"/>
          </c:marker>
          <c:xVal>
            <c:numRef>
              <c:f>S_plus!$M$102:$DH$102</c:f>
              <c:numCache>
                <c:formatCode>General</c:formatCode>
                <c:ptCount val="100"/>
                <c:pt idx="0">
                  <c:v>79.786457646399995</c:v>
                </c:pt>
                <c:pt idx="1">
                  <c:v>109.26364646899999</c:v>
                </c:pt>
                <c:pt idx="2">
                  <c:v>102.081532831</c:v>
                </c:pt>
                <c:pt idx="3">
                  <c:v>91.014539925500003</c:v>
                </c:pt>
                <c:pt idx="4">
                  <c:v>66.3365382737</c:v>
                </c:pt>
                <c:pt idx="5">
                  <c:v>98.523446429800003</c:v>
                </c:pt>
                <c:pt idx="6">
                  <c:v>97.413577671400006</c:v>
                </c:pt>
                <c:pt idx="7">
                  <c:v>98.769120771600001</c:v>
                </c:pt>
                <c:pt idx="8">
                  <c:v>111.213842744</c:v>
                </c:pt>
                <c:pt idx="9">
                  <c:v>139.79379029500001</c:v>
                </c:pt>
                <c:pt idx="10">
                  <c:v>94.337950356099995</c:v>
                </c:pt>
                <c:pt idx="11">
                  <c:v>132.66823680499999</c:v>
                </c:pt>
                <c:pt idx="12">
                  <c:v>89.779985723400003</c:v>
                </c:pt>
                <c:pt idx="13">
                  <c:v>90.903540713200002</c:v>
                </c:pt>
                <c:pt idx="14">
                  <c:v>92.6589161948</c:v>
                </c:pt>
                <c:pt idx="15">
                  <c:v>98.841343047999999</c:v>
                </c:pt>
                <c:pt idx="16">
                  <c:v>83.735123966100005</c:v>
                </c:pt>
                <c:pt idx="17">
                  <c:v>87.529478935200004</c:v>
                </c:pt>
                <c:pt idx="18">
                  <c:v>124.014307453</c:v>
                </c:pt>
                <c:pt idx="19">
                  <c:v>132.916989226</c:v>
                </c:pt>
                <c:pt idx="20">
                  <c:v>115.212228091</c:v>
                </c:pt>
                <c:pt idx="21">
                  <c:v>107.48532954700001</c:v>
                </c:pt>
                <c:pt idx="22">
                  <c:v>82.499792795100007</c:v>
                </c:pt>
                <c:pt idx="23">
                  <c:v>89.955125056599996</c:v>
                </c:pt>
                <c:pt idx="24">
                  <c:v>90.101311575099999</c:v>
                </c:pt>
                <c:pt idx="25">
                  <c:v>136.837745544</c:v>
                </c:pt>
                <c:pt idx="26">
                  <c:v>107.677553887</c:v>
                </c:pt>
                <c:pt idx="27">
                  <c:v>87.913569730700004</c:v>
                </c:pt>
                <c:pt idx="28">
                  <c:v>111.81510859399999</c:v>
                </c:pt>
                <c:pt idx="29">
                  <c:v>93.0575334177</c:v>
                </c:pt>
                <c:pt idx="30">
                  <c:v>109.270887182</c:v>
                </c:pt>
                <c:pt idx="31">
                  <c:v>89.743163913299995</c:v>
                </c:pt>
                <c:pt idx="32">
                  <c:v>126.077077425</c:v>
                </c:pt>
                <c:pt idx="33">
                  <c:v>98.0742837584</c:v>
                </c:pt>
                <c:pt idx="34">
                  <c:v>127.690001732</c:v>
                </c:pt>
                <c:pt idx="35">
                  <c:v>118.401014246</c:v>
                </c:pt>
                <c:pt idx="36">
                  <c:v>114.48042743000001</c:v>
                </c:pt>
                <c:pt idx="37">
                  <c:v>87.159578359899996</c:v>
                </c:pt>
                <c:pt idx="38">
                  <c:v>90.477026760699999</c:v>
                </c:pt>
                <c:pt idx="39">
                  <c:v>131.83587057599999</c:v>
                </c:pt>
                <c:pt idx="40">
                  <c:v>114.059169774</c:v>
                </c:pt>
                <c:pt idx="41">
                  <c:v>106.61706357200001</c:v>
                </c:pt>
                <c:pt idx="42">
                  <c:v>116.499369853</c:v>
                </c:pt>
                <c:pt idx="43">
                  <c:v>125.022070568</c:v>
                </c:pt>
                <c:pt idx="44">
                  <c:v>94.943398966299995</c:v>
                </c:pt>
                <c:pt idx="45">
                  <c:v>84.757109372100004</c:v>
                </c:pt>
                <c:pt idx="46">
                  <c:v>73.369551772600005</c:v>
                </c:pt>
                <c:pt idx="47">
                  <c:v>123.034703974</c:v>
                </c:pt>
                <c:pt idx="48">
                  <c:v>110.562281222</c:v>
                </c:pt>
                <c:pt idx="49">
                  <c:v>106.596745989</c:v>
                </c:pt>
                <c:pt idx="50">
                  <c:v>103.027047302</c:v>
                </c:pt>
                <c:pt idx="51">
                  <c:v>76.158084828599996</c:v>
                </c:pt>
                <c:pt idx="52">
                  <c:v>108.363156719</c:v>
                </c:pt>
                <c:pt idx="53">
                  <c:v>117.624971641</c:v>
                </c:pt>
                <c:pt idx="54">
                  <c:v>82.995844508700003</c:v>
                </c:pt>
                <c:pt idx="55">
                  <c:v>73.197353734000004</c:v>
                </c:pt>
                <c:pt idx="56">
                  <c:v>97.242752522200007</c:v>
                </c:pt>
                <c:pt idx="57">
                  <c:v>119.98093916800001</c:v>
                </c:pt>
                <c:pt idx="58">
                  <c:v>121.730536253</c:v>
                </c:pt>
                <c:pt idx="59">
                  <c:v>130.12271998899999</c:v>
                </c:pt>
                <c:pt idx="60">
                  <c:v>88.327122280200001</c:v>
                </c:pt>
                <c:pt idx="61">
                  <c:v>112.970070513</c:v>
                </c:pt>
                <c:pt idx="62">
                  <c:v>126.953443892</c:v>
                </c:pt>
                <c:pt idx="63">
                  <c:v>77.245023311400004</c:v>
                </c:pt>
                <c:pt idx="64">
                  <c:v>82.393214740800005</c:v>
                </c:pt>
                <c:pt idx="65">
                  <c:v>148.02609429699999</c:v>
                </c:pt>
                <c:pt idx="66">
                  <c:v>82.567306097300005</c:v>
                </c:pt>
                <c:pt idx="67">
                  <c:v>85.212399596300003</c:v>
                </c:pt>
                <c:pt idx="68">
                  <c:v>76.222821455200005</c:v>
                </c:pt>
                <c:pt idx="69">
                  <c:v>107.2219817</c:v>
                </c:pt>
                <c:pt idx="70">
                  <c:v>81.6771318049</c:v>
                </c:pt>
                <c:pt idx="71">
                  <c:v>72.024807093199996</c:v>
                </c:pt>
                <c:pt idx="72">
                  <c:v>110.251030863</c:v>
                </c:pt>
                <c:pt idx="73">
                  <c:v>125.567341427</c:v>
                </c:pt>
                <c:pt idx="74">
                  <c:v>86.279920320499997</c:v>
                </c:pt>
                <c:pt idx="75">
                  <c:v>93.7353451627</c:v>
                </c:pt>
                <c:pt idx="76">
                  <c:v>86.650282848499998</c:v>
                </c:pt>
                <c:pt idx="77">
                  <c:v>84.938260103100006</c:v>
                </c:pt>
                <c:pt idx="78">
                  <c:v>91.630858505299997</c:v>
                </c:pt>
                <c:pt idx="79">
                  <c:v>109.245129918</c:v>
                </c:pt>
                <c:pt idx="80">
                  <c:v>168.32147416500001</c:v>
                </c:pt>
                <c:pt idx="81">
                  <c:v>86.032819421300005</c:v>
                </c:pt>
                <c:pt idx="82">
                  <c:v>96.961474263900001</c:v>
                </c:pt>
                <c:pt idx="83">
                  <c:v>105.059358675</c:v>
                </c:pt>
                <c:pt idx="84">
                  <c:v>83.351295963499993</c:v>
                </c:pt>
                <c:pt idx="85">
                  <c:v>119.17341175200001</c:v>
                </c:pt>
                <c:pt idx="86">
                  <c:v>126.824008652</c:v>
                </c:pt>
                <c:pt idx="87">
                  <c:v>84.245290261799994</c:v>
                </c:pt>
                <c:pt idx="88">
                  <c:v>103.874753871</c:v>
                </c:pt>
                <c:pt idx="89">
                  <c:v>126.21362697799999</c:v>
                </c:pt>
                <c:pt idx="90">
                  <c:v>101.183465994</c:v>
                </c:pt>
                <c:pt idx="91">
                  <c:v>118.53526859500001</c:v>
                </c:pt>
                <c:pt idx="92">
                  <c:v>103.940819592</c:v>
                </c:pt>
                <c:pt idx="93">
                  <c:v>69.120721688299994</c:v>
                </c:pt>
                <c:pt idx="94">
                  <c:v>115.359499441</c:v>
                </c:pt>
                <c:pt idx="95">
                  <c:v>102.116541286</c:v>
                </c:pt>
                <c:pt idx="96">
                  <c:v>103.35093806</c:v>
                </c:pt>
                <c:pt idx="97">
                  <c:v>81.996183911000003</c:v>
                </c:pt>
                <c:pt idx="98">
                  <c:v>87.832134911099999</c:v>
                </c:pt>
                <c:pt idx="99">
                  <c:v>79.515175946699998</c:v>
                </c:pt>
              </c:numCache>
            </c:numRef>
          </c:xVal>
          <c:yVal>
            <c:numRef>
              <c:f>Asian!$F$11:$DA$11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5.7447214753257612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9.4661495792920647</c:v>
                </c:pt>
                <c:pt idx="7">
                  <c:v>0</c:v>
                </c:pt>
                <c:pt idx="8">
                  <c:v>12.808194240663383</c:v>
                </c:pt>
                <c:pt idx="9">
                  <c:v>13.830639308603892</c:v>
                </c:pt>
                <c:pt idx="10">
                  <c:v>4.4286354372445658</c:v>
                </c:pt>
                <c:pt idx="11">
                  <c:v>19.072724275811922</c:v>
                </c:pt>
                <c:pt idx="12">
                  <c:v>0</c:v>
                </c:pt>
                <c:pt idx="13">
                  <c:v>5.5087029557009828</c:v>
                </c:pt>
                <c:pt idx="14">
                  <c:v>3.9584064339415335</c:v>
                </c:pt>
                <c:pt idx="15">
                  <c:v>1.7529843177346009</c:v>
                </c:pt>
                <c:pt idx="16">
                  <c:v>0</c:v>
                </c:pt>
                <c:pt idx="17">
                  <c:v>0</c:v>
                </c:pt>
                <c:pt idx="18">
                  <c:v>25.892813451272275</c:v>
                </c:pt>
                <c:pt idx="19">
                  <c:v>15.965684652565429</c:v>
                </c:pt>
                <c:pt idx="20">
                  <c:v>9.4127114050613869</c:v>
                </c:pt>
                <c:pt idx="21">
                  <c:v>9.448319902482254</c:v>
                </c:pt>
                <c:pt idx="22">
                  <c:v>0</c:v>
                </c:pt>
                <c:pt idx="23">
                  <c:v>0</c:v>
                </c:pt>
                <c:pt idx="24">
                  <c:v>7.6413870233346728</c:v>
                </c:pt>
                <c:pt idx="25">
                  <c:v>9.6676394211712875</c:v>
                </c:pt>
                <c:pt idx="26">
                  <c:v>0</c:v>
                </c:pt>
                <c:pt idx="27">
                  <c:v>8.6018389590851427</c:v>
                </c:pt>
                <c:pt idx="28">
                  <c:v>0.82326849910295152</c:v>
                </c:pt>
                <c:pt idx="29">
                  <c:v>0</c:v>
                </c:pt>
                <c:pt idx="30">
                  <c:v>8.0345739544415835</c:v>
                </c:pt>
                <c:pt idx="31">
                  <c:v>0</c:v>
                </c:pt>
                <c:pt idx="32">
                  <c:v>20.944695519953484</c:v>
                </c:pt>
                <c:pt idx="33">
                  <c:v>0</c:v>
                </c:pt>
                <c:pt idx="34">
                  <c:v>7.6661231477267364</c:v>
                </c:pt>
                <c:pt idx="35">
                  <c:v>11.78453995565738</c:v>
                </c:pt>
                <c:pt idx="36">
                  <c:v>15.049619312712878</c:v>
                </c:pt>
                <c:pt idx="37">
                  <c:v>0</c:v>
                </c:pt>
                <c:pt idx="38">
                  <c:v>0</c:v>
                </c:pt>
                <c:pt idx="39">
                  <c:v>21.083317132207895</c:v>
                </c:pt>
                <c:pt idx="40">
                  <c:v>16.436221864990102</c:v>
                </c:pt>
                <c:pt idx="41">
                  <c:v>5.7527895423247344</c:v>
                </c:pt>
                <c:pt idx="42">
                  <c:v>12.526322069962404</c:v>
                </c:pt>
                <c:pt idx="43">
                  <c:v>9.4853184569039257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5.0311829185990149</c:v>
                </c:pt>
                <c:pt idx="48">
                  <c:v>6.9187123450663393</c:v>
                </c:pt>
                <c:pt idx="49">
                  <c:v>7.5051729285425779</c:v>
                </c:pt>
                <c:pt idx="50">
                  <c:v>0</c:v>
                </c:pt>
                <c:pt idx="51">
                  <c:v>0</c:v>
                </c:pt>
                <c:pt idx="52">
                  <c:v>5.1071963660356232</c:v>
                </c:pt>
                <c:pt idx="53">
                  <c:v>6.9508773879277186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9.8847322871425547</c:v>
                </c:pt>
                <c:pt idx="58">
                  <c:v>10.869300663973277</c:v>
                </c:pt>
                <c:pt idx="59">
                  <c:v>15.03462851432279</c:v>
                </c:pt>
                <c:pt idx="60">
                  <c:v>0</c:v>
                </c:pt>
                <c:pt idx="61">
                  <c:v>0</c:v>
                </c:pt>
                <c:pt idx="62">
                  <c:v>2.1002887094197433</c:v>
                </c:pt>
                <c:pt idx="63">
                  <c:v>0</c:v>
                </c:pt>
                <c:pt idx="64">
                  <c:v>0</c:v>
                </c:pt>
                <c:pt idx="65">
                  <c:v>11.932562735051448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0.53846172499800105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18.100649784089057</c:v>
                </c:pt>
                <c:pt idx="74">
                  <c:v>0</c:v>
                </c:pt>
                <c:pt idx="75">
                  <c:v>0.1772843395524859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31.673313178475212</c:v>
                </c:pt>
                <c:pt idx="81">
                  <c:v>0</c:v>
                </c:pt>
                <c:pt idx="82">
                  <c:v>0</c:v>
                </c:pt>
                <c:pt idx="83">
                  <c:v>1.5148231896198041</c:v>
                </c:pt>
                <c:pt idx="84">
                  <c:v>0.57758764005450303</c:v>
                </c:pt>
                <c:pt idx="85">
                  <c:v>16.685232499382181</c:v>
                </c:pt>
                <c:pt idx="86">
                  <c:v>7.413843117759356</c:v>
                </c:pt>
                <c:pt idx="87">
                  <c:v>0</c:v>
                </c:pt>
                <c:pt idx="88">
                  <c:v>7.368920332407896</c:v>
                </c:pt>
                <c:pt idx="89">
                  <c:v>18.780972396679232</c:v>
                </c:pt>
                <c:pt idx="90">
                  <c:v>9.4875272457000079</c:v>
                </c:pt>
                <c:pt idx="91">
                  <c:v>8.5230104364772075</c:v>
                </c:pt>
                <c:pt idx="92">
                  <c:v>14.02619007689502</c:v>
                </c:pt>
                <c:pt idx="93">
                  <c:v>0</c:v>
                </c:pt>
                <c:pt idx="94">
                  <c:v>4.1089106076703104</c:v>
                </c:pt>
                <c:pt idx="95">
                  <c:v>0</c:v>
                </c:pt>
                <c:pt idx="96">
                  <c:v>3.5767627711504701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3952640"/>
        <c:axId val="433951104"/>
      </c:scatterChart>
      <c:valAx>
        <c:axId val="433952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33951104"/>
        <c:crosses val="autoZero"/>
        <c:crossBetween val="midCat"/>
      </c:valAx>
      <c:valAx>
        <c:axId val="4339511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33952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Time evolution of Payoff with Averaging</a:t>
            </a:r>
            <a:r>
              <a:rPr lang="en-GB" baseline="0"/>
              <a:t> window</a:t>
            </a:r>
            <a:endParaRPr lang="en-GB"/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Arith_Cont_Sampling!$F$10</c:f>
              <c:strCache>
                <c:ptCount val="1"/>
                <c:pt idx="0">
                  <c:v>Payoff1</c:v>
                </c:pt>
              </c:strCache>
            </c:strRef>
          </c:tx>
          <c:marker>
            <c:symbol val="none"/>
          </c:marker>
          <c:xVal>
            <c:numRef>
              <c:f>Arith_Cont_Sampling!$E$11:$E$111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Arith_Cont_Sampling!$F$11:$F$111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Arith_Cont_Sampling!$G$10</c:f>
              <c:strCache>
                <c:ptCount val="1"/>
                <c:pt idx="0">
                  <c:v>Payoff2</c:v>
                </c:pt>
              </c:strCache>
            </c:strRef>
          </c:tx>
          <c:marker>
            <c:symbol val="none"/>
          </c:marker>
          <c:xVal>
            <c:numRef>
              <c:f>Arith_Cont_Sampling!$E$11:$E$111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Arith_Cont_Sampling!$G$11:$G$111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Arith_Cont_Sampling!$H$10</c:f>
              <c:strCache>
                <c:ptCount val="1"/>
                <c:pt idx="0">
                  <c:v>Payoff3</c:v>
                </c:pt>
              </c:strCache>
            </c:strRef>
          </c:tx>
          <c:marker>
            <c:symbol val="none"/>
          </c:marker>
          <c:xVal>
            <c:numRef>
              <c:f>Arith_Cont_Sampling!$E$11:$E$111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Arith_Cont_Sampling!$H$11:$H$111</c:f>
              <c:numCache>
                <c:formatCode>General</c:formatCode>
                <c:ptCount val="101"/>
                <c:pt idx="0">
                  <c:v>0</c:v>
                </c:pt>
                <c:pt idx="1">
                  <c:v>2.001972472999995</c:v>
                </c:pt>
                <c:pt idx="2">
                  <c:v>3.2059701660000002</c:v>
                </c:pt>
                <c:pt idx="3">
                  <c:v>4.2229533097500109</c:v>
                </c:pt>
                <c:pt idx="4">
                  <c:v>5.5044675288000064</c:v>
                </c:pt>
                <c:pt idx="5">
                  <c:v>6.5264209383333309</c:v>
                </c:pt>
                <c:pt idx="6">
                  <c:v>6.9530510014285625</c:v>
                </c:pt>
                <c:pt idx="7">
                  <c:v>7.3051393023749966</c:v>
                </c:pt>
                <c:pt idx="8">
                  <c:v>7.4190845232222244</c:v>
                </c:pt>
                <c:pt idx="9">
                  <c:v>7.6924964686000123</c:v>
                </c:pt>
                <c:pt idx="10">
                  <c:v>8.1772150324545549</c:v>
                </c:pt>
                <c:pt idx="11">
                  <c:v>8.6952948842500035</c:v>
                </c:pt>
                <c:pt idx="12">
                  <c:v>9.2178580549230702</c:v>
                </c:pt>
                <c:pt idx="13">
                  <c:v>9.8720935461428496</c:v>
                </c:pt>
                <c:pt idx="14">
                  <c:v>10.49676192393332</c:v>
                </c:pt>
                <c:pt idx="15">
                  <c:v>10.825434320624993</c:v>
                </c:pt>
                <c:pt idx="16">
                  <c:v>11.012032652588232</c:v>
                </c:pt>
                <c:pt idx="17">
                  <c:v>11.073518549111114</c:v>
                </c:pt>
                <c:pt idx="18">
                  <c:v>11.333604382947357</c:v>
                </c:pt>
                <c:pt idx="19">
                  <c:v>11.556291195399993</c:v>
                </c:pt>
                <c:pt idx="20">
                  <c:v>11.546102096619023</c:v>
                </c:pt>
                <c:pt idx="21">
                  <c:v>11.602146249772716</c:v>
                </c:pt>
                <c:pt idx="22">
                  <c:v>11.55190623978261</c:v>
                </c:pt>
                <c:pt idx="23">
                  <c:v>11.497800157541676</c:v>
                </c:pt>
                <c:pt idx="24">
                  <c:v>11.254247004320007</c:v>
                </c:pt>
                <c:pt idx="25">
                  <c:v>10.966861452076927</c:v>
                </c:pt>
                <c:pt idx="26">
                  <c:v>10.707013402962971</c:v>
                </c:pt>
                <c:pt idx="27">
                  <c:v>10.433245490535711</c:v>
                </c:pt>
                <c:pt idx="28">
                  <c:v>10.039365377693102</c:v>
                </c:pt>
                <c:pt idx="29">
                  <c:v>9.7103329097366782</c:v>
                </c:pt>
                <c:pt idx="30">
                  <c:v>9.5005671763580608</c:v>
                </c:pt>
                <c:pt idx="31">
                  <c:v>9.2488889367531328</c:v>
                </c:pt>
                <c:pt idx="32">
                  <c:v>8.9999725968818183</c:v>
                </c:pt>
                <c:pt idx="33">
                  <c:v>8.8037348197970715</c:v>
                </c:pt>
                <c:pt idx="34">
                  <c:v>8.5430744648228654</c:v>
                </c:pt>
                <c:pt idx="35">
                  <c:v>8.2977982831638997</c:v>
                </c:pt>
                <c:pt idx="36">
                  <c:v>8.1448539217270337</c:v>
                </c:pt>
                <c:pt idx="37">
                  <c:v>7.9257100039315844</c:v>
                </c:pt>
                <c:pt idx="38">
                  <c:v>7.7578810891641155</c:v>
                </c:pt>
                <c:pt idx="39">
                  <c:v>7.6369854645350159</c:v>
                </c:pt>
                <c:pt idx="40">
                  <c:v>7.5248736861317269</c:v>
                </c:pt>
                <c:pt idx="41">
                  <c:v>7.3758358514619147</c:v>
                </c:pt>
                <c:pt idx="42">
                  <c:v>7.2352118973116575</c:v>
                </c:pt>
                <c:pt idx="43">
                  <c:v>7.1455391866682021</c:v>
                </c:pt>
                <c:pt idx="44">
                  <c:v>7.0696886502977918</c:v>
                </c:pt>
                <c:pt idx="45">
                  <c:v>6.9535619521826391</c:v>
                </c:pt>
                <c:pt idx="46">
                  <c:v>6.8735571543064111</c:v>
                </c:pt>
                <c:pt idx="47">
                  <c:v>6.7448042760916991</c:v>
                </c:pt>
                <c:pt idx="48">
                  <c:v>6.6201833425388088</c:v>
                </c:pt>
                <c:pt idx="49">
                  <c:v>6.4983533436280396</c:v>
                </c:pt>
                <c:pt idx="50">
                  <c:v>6.3487343211353249</c:v>
                </c:pt>
                <c:pt idx="51">
                  <c:v>6.2368433599981188</c:v>
                </c:pt>
                <c:pt idx="52">
                  <c:v>6.1494528278094691</c:v>
                </c:pt>
                <c:pt idx="53">
                  <c:v>6.0906859419055763</c:v>
                </c:pt>
                <c:pt idx="54">
                  <c:v>6.0843722367800268</c:v>
                </c:pt>
                <c:pt idx="55">
                  <c:v>6.1131253586768111</c:v>
                </c:pt>
                <c:pt idx="56">
                  <c:v>6.1081276412789833</c:v>
                </c:pt>
                <c:pt idx="57">
                  <c:v>6.0928680809810771</c:v>
                </c:pt>
                <c:pt idx="58">
                  <c:v>6.0814613676084974</c:v>
                </c:pt>
                <c:pt idx="59">
                  <c:v>6.0799976582983675</c:v>
                </c:pt>
                <c:pt idx="60">
                  <c:v>6.0440083955229795</c:v>
                </c:pt>
                <c:pt idx="61">
                  <c:v>5.9616916566113218</c:v>
                </c:pt>
                <c:pt idx="62">
                  <c:v>5.8712016518238386</c:v>
                </c:pt>
                <c:pt idx="63">
                  <c:v>5.796795772014093</c:v>
                </c:pt>
                <c:pt idx="64">
                  <c:v>5.7716906945215669</c:v>
                </c:pt>
                <c:pt idx="65">
                  <c:v>5.7398088674833616</c:v>
                </c:pt>
                <c:pt idx="66">
                  <c:v>5.6882278029238904</c:v>
                </c:pt>
                <c:pt idx="67">
                  <c:v>5.6289693459397085</c:v>
                </c:pt>
                <c:pt idx="68">
                  <c:v>5.6033874671289965</c:v>
                </c:pt>
                <c:pt idx="69">
                  <c:v>5.5998686754557241</c:v>
                </c:pt>
                <c:pt idx="70">
                  <c:v>5.6129360168295932</c:v>
                </c:pt>
                <c:pt idx="71">
                  <c:v>5.6453264972347483</c:v>
                </c:pt>
                <c:pt idx="72">
                  <c:v>5.7039273527794734</c:v>
                </c:pt>
                <c:pt idx="73">
                  <c:v>5.7761078118770399</c:v>
                </c:pt>
                <c:pt idx="74">
                  <c:v>5.8148231711986824</c:v>
                </c:pt>
                <c:pt idx="75">
                  <c:v>5.8314352021171203</c:v>
                </c:pt>
                <c:pt idx="76">
                  <c:v>5.857904936946781</c:v>
                </c:pt>
                <c:pt idx="77">
                  <c:v>5.8308568885371983</c:v>
                </c:pt>
                <c:pt idx="78">
                  <c:v>5.8148568319354581</c:v>
                </c:pt>
                <c:pt idx="79">
                  <c:v>5.7954205614237679</c:v>
                </c:pt>
                <c:pt idx="80">
                  <c:v>5.7891621262827329</c:v>
                </c:pt>
                <c:pt idx="81">
                  <c:v>5.7806661803524548</c:v>
                </c:pt>
                <c:pt idx="82">
                  <c:v>5.7650875999988074</c:v>
                </c:pt>
                <c:pt idx="83">
                  <c:v>5.7688747061535821</c:v>
                </c:pt>
                <c:pt idx="84">
                  <c:v>5.7605546956576461</c:v>
                </c:pt>
                <c:pt idx="85">
                  <c:v>5.7639327745104652</c:v>
                </c:pt>
                <c:pt idx="86">
                  <c:v>5.7757780907344909</c:v>
                </c:pt>
                <c:pt idx="87">
                  <c:v>5.7886575820215995</c:v>
                </c:pt>
                <c:pt idx="88">
                  <c:v>5.8083901505045077</c:v>
                </c:pt>
                <c:pt idx="89">
                  <c:v>5.8183895006100244</c:v>
                </c:pt>
                <c:pt idx="90">
                  <c:v>5.8303977017022106</c:v>
                </c:pt>
                <c:pt idx="91">
                  <c:v>5.8648749714663211</c:v>
                </c:pt>
                <c:pt idx="92">
                  <c:v>5.8823384929236795</c:v>
                </c:pt>
                <c:pt idx="93">
                  <c:v>5.8783569028819329</c:v>
                </c:pt>
                <c:pt idx="94">
                  <c:v>5.8731536730094973</c:v>
                </c:pt>
                <c:pt idx="95">
                  <c:v>5.8341686531448005</c:v>
                </c:pt>
                <c:pt idx="96">
                  <c:v>5.8228826481433202</c:v>
                </c:pt>
                <c:pt idx="97">
                  <c:v>5.8220860450398106</c:v>
                </c:pt>
                <c:pt idx="98">
                  <c:v>5.7958365027464822</c:v>
                </c:pt>
                <c:pt idx="99">
                  <c:v>5.7813533617690211</c:v>
                </c:pt>
                <c:pt idx="100">
                  <c:v>5.7447214753257612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Arith_Cont_Sampling!$I$10</c:f>
              <c:strCache>
                <c:ptCount val="1"/>
                <c:pt idx="0">
                  <c:v>Payoff4</c:v>
                </c:pt>
              </c:strCache>
            </c:strRef>
          </c:tx>
          <c:marker>
            <c:symbol val="none"/>
          </c:marker>
          <c:xVal>
            <c:numRef>
              <c:f>Arith_Cont_Sampling!$E$11:$E$111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Arith_Cont_Sampling!$I$11:$I$111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3.377402047999567E-2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7.612339978062721E-2</c:v>
                </c:pt>
                <c:pt idx="31">
                  <c:v>0.1285133916624801</c:v>
                </c:pt>
                <c:pt idx="32">
                  <c:v>0.21315505827875825</c:v>
                </c:pt>
                <c:pt idx="33">
                  <c:v>0.28449569571174038</c:v>
                </c:pt>
                <c:pt idx="34">
                  <c:v>0.27902312517711891</c:v>
                </c:pt>
                <c:pt idx="35">
                  <c:v>0.30477662906109515</c:v>
                </c:pt>
                <c:pt idx="36">
                  <c:v>0.3744816909783566</c:v>
                </c:pt>
                <c:pt idx="37">
                  <c:v>0.43052938984733657</c:v>
                </c:pt>
                <c:pt idx="38">
                  <c:v>0.45048214236408057</c:v>
                </c:pt>
                <c:pt idx="39">
                  <c:v>0.54598545787997921</c:v>
                </c:pt>
                <c:pt idx="40">
                  <c:v>0.58683312915120212</c:v>
                </c:pt>
                <c:pt idx="41">
                  <c:v>0.66500812102856344</c:v>
                </c:pt>
                <c:pt idx="42">
                  <c:v>0.67436352188836679</c:v>
                </c:pt>
                <c:pt idx="43">
                  <c:v>0.6741859937318111</c:v>
                </c:pt>
                <c:pt idx="44">
                  <c:v>0.57457518761553672</c:v>
                </c:pt>
                <c:pt idx="45">
                  <c:v>0.4457777811238941</c:v>
                </c:pt>
                <c:pt idx="46">
                  <c:v>0.36130605069999433</c:v>
                </c:pt>
                <c:pt idx="47">
                  <c:v>0.27450404273541551</c:v>
                </c:pt>
                <c:pt idx="48">
                  <c:v>0.11882308412653231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Arith_Cont_Sampling!$J$10</c:f>
              <c:strCache>
                <c:ptCount val="1"/>
                <c:pt idx="0">
                  <c:v>Payoff5</c:v>
                </c:pt>
              </c:strCache>
            </c:strRef>
          </c:tx>
          <c:marker>
            <c:symbol val="none"/>
          </c:marker>
          <c:xVal>
            <c:numRef>
              <c:f>Arith_Cont_Sampling!$E$11:$E$111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Arith_Cont_Sampling!$J$11:$J$111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0.35715019619999566</c:v>
                </c:pt>
                <c:pt idx="7">
                  <c:v>0.81032960429999434</c:v>
                </c:pt>
                <c:pt idx="8">
                  <c:v>1.2680226887111132</c:v>
                </c:pt>
                <c:pt idx="9">
                  <c:v>1.5063702894399995</c:v>
                </c:pt>
                <c:pt idx="10">
                  <c:v>1.979013402763627</c:v>
                </c:pt>
                <c:pt idx="11">
                  <c:v>2.1283045192833328</c:v>
                </c:pt>
                <c:pt idx="12">
                  <c:v>2.4950971428769151</c:v>
                </c:pt>
                <c:pt idx="13">
                  <c:v>2.5373871440285711</c:v>
                </c:pt>
                <c:pt idx="14">
                  <c:v>2.4646339469600065</c:v>
                </c:pt>
                <c:pt idx="15">
                  <c:v>2.2001092256562487</c:v>
                </c:pt>
                <c:pt idx="16">
                  <c:v>1.9000169776000035</c:v>
                </c:pt>
                <c:pt idx="17">
                  <c:v>1.8128866732889009</c:v>
                </c:pt>
                <c:pt idx="18">
                  <c:v>1.556667290389484</c:v>
                </c:pt>
                <c:pt idx="19">
                  <c:v>1.2548243051599997</c:v>
                </c:pt>
                <c:pt idx="20">
                  <c:v>0.81005948809048789</c:v>
                </c:pt>
                <c:pt idx="21">
                  <c:v>0.38114742998637041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022208"/>
        <c:axId val="171023744"/>
      </c:scatterChart>
      <c:valAx>
        <c:axId val="171022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1023744"/>
        <c:crosses val="autoZero"/>
        <c:crossBetween val="midCat"/>
      </c:valAx>
      <c:valAx>
        <c:axId val="1710237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102220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Discrete vs</a:t>
            </a:r>
            <a:r>
              <a:rPr lang="en-GB" baseline="0"/>
              <a:t> Continous Avg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S_plus!$M$1</c:f>
              <c:strCache>
                <c:ptCount val="1"/>
                <c:pt idx="0">
                  <c:v>Sim1</c:v>
                </c:pt>
              </c:strCache>
            </c:strRef>
          </c:tx>
          <c:marker>
            <c:symbol val="none"/>
          </c:marker>
          <c:xVal>
            <c:numRef>
              <c:f>S_plus!$L$2:$L$102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S_plus!$M$2:$M$102</c:f>
              <c:numCache>
                <c:formatCode>General</c:formatCode>
                <c:ptCount val="101"/>
                <c:pt idx="0">
                  <c:v>100</c:v>
                </c:pt>
                <c:pt idx="1">
                  <c:v>99.252408283999998</c:v>
                </c:pt>
                <c:pt idx="2">
                  <c:v>97.092110909699997</c:v>
                </c:pt>
                <c:pt idx="3">
                  <c:v>97.948084297400001</c:v>
                </c:pt>
                <c:pt idx="4">
                  <c:v>94.611798193200002</c:v>
                </c:pt>
                <c:pt idx="5">
                  <c:v>94.361651823399995</c:v>
                </c:pt>
                <c:pt idx="6">
                  <c:v>96.642321633500003</c:v>
                </c:pt>
                <c:pt idx="7">
                  <c:v>93.982636959999994</c:v>
                </c:pt>
                <c:pt idx="8">
                  <c:v>94.253488593699998</c:v>
                </c:pt>
                <c:pt idx="9">
                  <c:v>92.520747708800002</c:v>
                </c:pt>
                <c:pt idx="10">
                  <c:v>92.480502543399993</c:v>
                </c:pt>
                <c:pt idx="11">
                  <c:v>89.564043385299996</c:v>
                </c:pt>
                <c:pt idx="12">
                  <c:v>87.442307152300003</c:v>
                </c:pt>
                <c:pt idx="13">
                  <c:v>84.098445528400006</c:v>
                </c:pt>
                <c:pt idx="14">
                  <c:v>85.379256147199996</c:v>
                </c:pt>
                <c:pt idx="15">
                  <c:v>85.263425749800007</c:v>
                </c:pt>
                <c:pt idx="16">
                  <c:v>85.645603839000003</c:v>
                </c:pt>
                <c:pt idx="17">
                  <c:v>84.920635800699998</c:v>
                </c:pt>
                <c:pt idx="18">
                  <c:v>87.500254019400003</c:v>
                </c:pt>
                <c:pt idx="19">
                  <c:v>84.344633133800002</c:v>
                </c:pt>
                <c:pt idx="20">
                  <c:v>85.2057388618</c:v>
                </c:pt>
                <c:pt idx="21">
                  <c:v>84.529749346800003</c:v>
                </c:pt>
                <c:pt idx="22">
                  <c:v>87.177049282699997</c:v>
                </c:pt>
                <c:pt idx="23">
                  <c:v>88.826550597500002</c:v>
                </c:pt>
                <c:pt idx="24">
                  <c:v>88.142619519099995</c:v>
                </c:pt>
                <c:pt idx="25">
                  <c:v>86.572764347499998</c:v>
                </c:pt>
                <c:pt idx="26">
                  <c:v>87.073465443200007</c:v>
                </c:pt>
                <c:pt idx="27">
                  <c:v>85.576567155299998</c:v>
                </c:pt>
                <c:pt idx="28">
                  <c:v>84.674835373099995</c:v>
                </c:pt>
                <c:pt idx="29">
                  <c:v>86.379619892899996</c:v>
                </c:pt>
                <c:pt idx="30">
                  <c:v>89.158730864800006</c:v>
                </c:pt>
                <c:pt idx="31">
                  <c:v>89.400591001400002</c:v>
                </c:pt>
                <c:pt idx="32">
                  <c:v>88.365949475500003</c:v>
                </c:pt>
                <c:pt idx="33">
                  <c:v>91.244788870700006</c:v>
                </c:pt>
                <c:pt idx="34">
                  <c:v>88.969787347099995</c:v>
                </c:pt>
                <c:pt idx="35">
                  <c:v>88.066760232600004</c:v>
                </c:pt>
                <c:pt idx="36">
                  <c:v>88.537006159499995</c:v>
                </c:pt>
                <c:pt idx="37">
                  <c:v>90.915502935800006</c:v>
                </c:pt>
                <c:pt idx="38">
                  <c:v>91.925068089000007</c:v>
                </c:pt>
                <c:pt idx="39">
                  <c:v>93.517150362699994</c:v>
                </c:pt>
                <c:pt idx="40">
                  <c:v>93.811701601300001</c:v>
                </c:pt>
                <c:pt idx="41">
                  <c:v>92.359194349600003</c:v>
                </c:pt>
                <c:pt idx="42">
                  <c:v>93.722449377499998</c:v>
                </c:pt>
                <c:pt idx="43">
                  <c:v>94.027785951599995</c:v>
                </c:pt>
                <c:pt idx="44">
                  <c:v>93.858559464400003</c:v>
                </c:pt>
                <c:pt idx="45">
                  <c:v>92.245380988299999</c:v>
                </c:pt>
                <c:pt idx="46">
                  <c:v>94.473943104599996</c:v>
                </c:pt>
                <c:pt idx="47">
                  <c:v>93.799876745099994</c:v>
                </c:pt>
                <c:pt idx="48">
                  <c:v>94.031810637999996</c:v>
                </c:pt>
                <c:pt idx="49">
                  <c:v>95.525788137800006</c:v>
                </c:pt>
                <c:pt idx="50">
                  <c:v>96.723029448000005</c:v>
                </c:pt>
                <c:pt idx="51">
                  <c:v>97.383575036099998</c:v>
                </c:pt>
                <c:pt idx="52">
                  <c:v>100.154882941</c:v>
                </c:pt>
                <c:pt idx="53">
                  <c:v>100.495377092</c:v>
                </c:pt>
                <c:pt idx="54">
                  <c:v>101.4031193</c:v>
                </c:pt>
                <c:pt idx="55">
                  <c:v>100.285899864</c:v>
                </c:pt>
                <c:pt idx="56">
                  <c:v>98.551606753599998</c:v>
                </c:pt>
                <c:pt idx="57">
                  <c:v>95.162534950500003</c:v>
                </c:pt>
                <c:pt idx="58">
                  <c:v>90.804298658899995</c:v>
                </c:pt>
                <c:pt idx="59">
                  <c:v>92.245913228399999</c:v>
                </c:pt>
                <c:pt idx="60">
                  <c:v>92.272060384100001</c:v>
                </c:pt>
                <c:pt idx="61">
                  <c:v>91.300474944300007</c:v>
                </c:pt>
                <c:pt idx="62">
                  <c:v>87.025443077199995</c:v>
                </c:pt>
                <c:pt idx="63">
                  <c:v>89.020149612400004</c:v>
                </c:pt>
                <c:pt idx="64">
                  <c:v>88.951523070299999</c:v>
                </c:pt>
                <c:pt idx="65">
                  <c:v>85.175426770499996</c:v>
                </c:pt>
                <c:pt idx="66">
                  <c:v>84.622838392199995</c:v>
                </c:pt>
                <c:pt idx="67">
                  <c:v>80.8056575831</c:v>
                </c:pt>
                <c:pt idx="68">
                  <c:v>83.091034164299998</c:v>
                </c:pt>
                <c:pt idx="69">
                  <c:v>82.659053251499998</c:v>
                </c:pt>
                <c:pt idx="70">
                  <c:v>82.788069260699999</c:v>
                </c:pt>
                <c:pt idx="71">
                  <c:v>84.795685483400007</c:v>
                </c:pt>
                <c:pt idx="72">
                  <c:v>86.248233294100004</c:v>
                </c:pt>
                <c:pt idx="73">
                  <c:v>87.7113655876</c:v>
                </c:pt>
                <c:pt idx="74">
                  <c:v>88.117849065000001</c:v>
                </c:pt>
                <c:pt idx="75">
                  <c:v>87.844281925800004</c:v>
                </c:pt>
                <c:pt idx="76">
                  <c:v>86.124543453599998</c:v>
                </c:pt>
                <c:pt idx="77">
                  <c:v>82.395106129699997</c:v>
                </c:pt>
                <c:pt idx="78">
                  <c:v>80.013842807200007</c:v>
                </c:pt>
                <c:pt idx="79">
                  <c:v>81.547570740099999</c:v>
                </c:pt>
                <c:pt idx="80">
                  <c:v>81.458324424799997</c:v>
                </c:pt>
                <c:pt idx="81">
                  <c:v>84.837847741800005</c:v>
                </c:pt>
                <c:pt idx="82">
                  <c:v>83.396521126300001</c:v>
                </c:pt>
                <c:pt idx="83">
                  <c:v>81.859443848500007</c:v>
                </c:pt>
                <c:pt idx="84">
                  <c:v>82.177423457100005</c:v>
                </c:pt>
                <c:pt idx="85">
                  <c:v>83.989387571500004</c:v>
                </c:pt>
                <c:pt idx="86">
                  <c:v>79.668543502999995</c:v>
                </c:pt>
                <c:pt idx="87">
                  <c:v>80.2639598409</c:v>
                </c:pt>
                <c:pt idx="88">
                  <c:v>80.409160316400005</c:v>
                </c:pt>
                <c:pt idx="89">
                  <c:v>77.811806692499999</c:v>
                </c:pt>
                <c:pt idx="90">
                  <c:v>74.511820541999995</c:v>
                </c:pt>
                <c:pt idx="91">
                  <c:v>74.207675577299995</c:v>
                </c:pt>
                <c:pt idx="92">
                  <c:v>75.191760243800005</c:v>
                </c:pt>
                <c:pt idx="93">
                  <c:v>74.9061733737</c:v>
                </c:pt>
                <c:pt idx="94">
                  <c:v>74.969927298200005</c:v>
                </c:pt>
                <c:pt idx="95">
                  <c:v>74.179573453299994</c:v>
                </c:pt>
                <c:pt idx="96">
                  <c:v>75.883176791899999</c:v>
                </c:pt>
                <c:pt idx="97">
                  <c:v>78.640268074000005</c:v>
                </c:pt>
                <c:pt idx="98">
                  <c:v>79.679241892799993</c:v>
                </c:pt>
                <c:pt idx="99">
                  <c:v>78.282317963300002</c:v>
                </c:pt>
                <c:pt idx="100">
                  <c:v>79.786457646399995</c:v>
                </c:pt>
              </c:numCache>
            </c:numRef>
          </c:yVal>
          <c:smooth val="1"/>
        </c:ser>
        <c:ser>
          <c:idx val="1"/>
          <c:order val="1"/>
          <c:tx>
            <c:v>A_d</c:v>
          </c:tx>
          <c:marker>
            <c:symbol val="none"/>
          </c:marker>
          <c:xVal>
            <c:numRef>
              <c:f>S_plus!$L$2:$L$102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S_plus!$E$2:$E$102</c:f>
              <c:numCache>
                <c:formatCode>0.000000</c:formatCode>
                <c:ptCount val="10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97.305899096600001</c:v>
                </c:pt>
                <c:pt idx="5">
                  <c:v>97.305899096600001</c:v>
                </c:pt>
                <c:pt idx="6">
                  <c:v>97.305899096600001</c:v>
                </c:pt>
                <c:pt idx="7">
                  <c:v>97.305899096600001</c:v>
                </c:pt>
                <c:pt idx="8">
                  <c:v>96.288428928966667</c:v>
                </c:pt>
                <c:pt idx="9">
                  <c:v>96.288428928966667</c:v>
                </c:pt>
                <c:pt idx="10">
                  <c:v>96.288428928966667</c:v>
                </c:pt>
                <c:pt idx="11">
                  <c:v>96.288428928966667</c:v>
                </c:pt>
                <c:pt idx="12">
                  <c:v>94.076898484800012</c:v>
                </c:pt>
                <c:pt idx="13">
                  <c:v>94.076898484800012</c:v>
                </c:pt>
                <c:pt idx="14">
                  <c:v>94.076898484800012</c:v>
                </c:pt>
                <c:pt idx="15">
                  <c:v>94.076898484800012</c:v>
                </c:pt>
                <c:pt idx="16">
                  <c:v>92.390639555640007</c:v>
                </c:pt>
                <c:pt idx="17">
                  <c:v>92.390639555640007</c:v>
                </c:pt>
                <c:pt idx="18">
                  <c:v>92.390639555640007</c:v>
                </c:pt>
                <c:pt idx="19">
                  <c:v>92.390639555640007</c:v>
                </c:pt>
                <c:pt idx="20">
                  <c:v>91.193156106666677</c:v>
                </c:pt>
                <c:pt idx="21">
                  <c:v>91.193156106666677</c:v>
                </c:pt>
                <c:pt idx="22">
                  <c:v>91.193156106666677</c:v>
                </c:pt>
                <c:pt idx="23">
                  <c:v>91.193156106666677</c:v>
                </c:pt>
                <c:pt idx="24">
                  <c:v>90.757365165585725</c:v>
                </c:pt>
                <c:pt idx="25">
                  <c:v>90.757365165585725</c:v>
                </c:pt>
                <c:pt idx="26">
                  <c:v>90.757365165585725</c:v>
                </c:pt>
                <c:pt idx="27">
                  <c:v>90.757365165585725</c:v>
                </c:pt>
                <c:pt idx="28">
                  <c:v>89.997048941525009</c:v>
                </c:pt>
                <c:pt idx="29">
                  <c:v>89.997048941525009</c:v>
                </c:pt>
                <c:pt idx="30">
                  <c:v>89.997048941525009</c:v>
                </c:pt>
                <c:pt idx="31">
                  <c:v>89.997048941525009</c:v>
                </c:pt>
                <c:pt idx="32">
                  <c:v>89.81581566752223</c:v>
                </c:pt>
                <c:pt idx="33">
                  <c:v>89.81581566752223</c:v>
                </c:pt>
                <c:pt idx="34">
                  <c:v>89.81581566752223</c:v>
                </c:pt>
                <c:pt idx="35">
                  <c:v>89.81581566752223</c:v>
                </c:pt>
                <c:pt idx="36">
                  <c:v>89.687934716720008</c:v>
                </c:pt>
                <c:pt idx="37">
                  <c:v>89.687934716720008</c:v>
                </c:pt>
                <c:pt idx="38">
                  <c:v>89.687934716720008</c:v>
                </c:pt>
                <c:pt idx="39">
                  <c:v>89.687934716720008</c:v>
                </c:pt>
                <c:pt idx="40">
                  <c:v>90.062822615318183</c:v>
                </c:pt>
                <c:pt idx="41">
                  <c:v>90.062822615318183</c:v>
                </c:pt>
                <c:pt idx="42">
                  <c:v>90.062822615318183</c:v>
                </c:pt>
                <c:pt idx="43">
                  <c:v>90.062822615318183</c:v>
                </c:pt>
                <c:pt idx="44">
                  <c:v>90.37913401940834</c:v>
                </c:pt>
                <c:pt idx="45">
                  <c:v>90.37913401940834</c:v>
                </c:pt>
                <c:pt idx="46">
                  <c:v>90.37913401940834</c:v>
                </c:pt>
                <c:pt idx="47">
                  <c:v>90.37913401940834</c:v>
                </c:pt>
                <c:pt idx="48">
                  <c:v>90.660109143915392</c:v>
                </c:pt>
                <c:pt idx="49">
                  <c:v>90.660109143915392</c:v>
                </c:pt>
                <c:pt idx="50">
                  <c:v>90.660109143915392</c:v>
                </c:pt>
                <c:pt idx="51">
                  <c:v>90.660109143915392</c:v>
                </c:pt>
                <c:pt idx="52">
                  <c:v>91.338307272278584</c:v>
                </c:pt>
                <c:pt idx="53">
                  <c:v>91.338307272278584</c:v>
                </c:pt>
                <c:pt idx="54">
                  <c:v>91.338307272278584</c:v>
                </c:pt>
                <c:pt idx="55">
                  <c:v>91.338307272278584</c:v>
                </c:pt>
                <c:pt idx="56">
                  <c:v>91.819193904366685</c:v>
                </c:pt>
                <c:pt idx="57">
                  <c:v>91.819193904366685</c:v>
                </c:pt>
                <c:pt idx="58">
                  <c:v>91.819193904366685</c:v>
                </c:pt>
                <c:pt idx="59">
                  <c:v>91.819193904366685</c:v>
                </c:pt>
                <c:pt idx="60">
                  <c:v>91.847498059350016</c:v>
                </c:pt>
                <c:pt idx="61">
                  <c:v>91.847498059350016</c:v>
                </c:pt>
                <c:pt idx="62">
                  <c:v>91.847498059350016</c:v>
                </c:pt>
                <c:pt idx="63">
                  <c:v>91.847498059350016</c:v>
                </c:pt>
                <c:pt idx="64">
                  <c:v>91.677146589405893</c:v>
                </c:pt>
                <c:pt idx="65">
                  <c:v>91.677146589405893</c:v>
                </c:pt>
                <c:pt idx="66">
                  <c:v>91.677146589405893</c:v>
                </c:pt>
                <c:pt idx="67">
                  <c:v>91.677146589405893</c:v>
                </c:pt>
                <c:pt idx="68">
                  <c:v>91.200140343566687</c:v>
                </c:pt>
                <c:pt idx="69">
                  <c:v>91.200140343566687</c:v>
                </c:pt>
                <c:pt idx="70">
                  <c:v>91.200140343566687</c:v>
                </c:pt>
                <c:pt idx="71">
                  <c:v>91.200140343566687</c:v>
                </c:pt>
                <c:pt idx="72">
                  <c:v>90.939513656752638</c:v>
                </c:pt>
                <c:pt idx="73">
                  <c:v>90.939513656752638</c:v>
                </c:pt>
                <c:pt idx="74">
                  <c:v>90.939513656752638</c:v>
                </c:pt>
                <c:pt idx="75">
                  <c:v>90.939513656752638</c:v>
                </c:pt>
                <c:pt idx="76">
                  <c:v>90.698765146595008</c:v>
                </c:pt>
                <c:pt idx="77">
                  <c:v>90.698765146595008</c:v>
                </c:pt>
                <c:pt idx="78">
                  <c:v>90.698765146595008</c:v>
                </c:pt>
                <c:pt idx="79">
                  <c:v>90.698765146595008</c:v>
                </c:pt>
                <c:pt idx="80">
                  <c:v>90.258744159842863</c:v>
                </c:pt>
                <c:pt idx="81">
                  <c:v>90.258744159842863</c:v>
                </c:pt>
                <c:pt idx="82">
                  <c:v>90.258744159842863</c:v>
                </c:pt>
                <c:pt idx="83">
                  <c:v>90.258744159842863</c:v>
                </c:pt>
                <c:pt idx="84">
                  <c:v>89.891411400627277</c:v>
                </c:pt>
                <c:pt idx="85">
                  <c:v>89.891411400627277</c:v>
                </c:pt>
                <c:pt idx="86">
                  <c:v>89.891411400627277</c:v>
                </c:pt>
                <c:pt idx="87">
                  <c:v>89.891411400627277</c:v>
                </c:pt>
                <c:pt idx="88">
                  <c:v>89.479139614356527</c:v>
                </c:pt>
                <c:pt idx="89">
                  <c:v>89.479139614356527</c:v>
                </c:pt>
                <c:pt idx="90">
                  <c:v>89.479139614356527</c:v>
                </c:pt>
                <c:pt idx="91">
                  <c:v>89.479139614356527</c:v>
                </c:pt>
                <c:pt idx="92">
                  <c:v>88.883832140583351</c:v>
                </c:pt>
                <c:pt idx="93">
                  <c:v>88.883832140583351</c:v>
                </c:pt>
                <c:pt idx="94">
                  <c:v>88.883832140583351</c:v>
                </c:pt>
                <c:pt idx="95">
                  <c:v>88.883832140583351</c:v>
                </c:pt>
                <c:pt idx="96">
                  <c:v>88.363805926636019</c:v>
                </c:pt>
                <c:pt idx="97">
                  <c:v>88.363805926636019</c:v>
                </c:pt>
                <c:pt idx="98">
                  <c:v>88.363805926636019</c:v>
                </c:pt>
                <c:pt idx="99">
                  <c:v>88.363805926636019</c:v>
                </c:pt>
                <c:pt idx="100">
                  <c:v>88.033907915857696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S_plus!$F$1</c:f>
              <c:strCache>
                <c:ptCount val="1"/>
                <c:pt idx="0">
                  <c:v>A_c</c:v>
                </c:pt>
              </c:strCache>
            </c:strRef>
          </c:tx>
          <c:marker>
            <c:symbol val="none"/>
          </c:marker>
          <c:xVal>
            <c:numRef>
              <c:f>S_plus!$L$2:$L$102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S_plus!$F$2:$F$102</c:f>
              <c:numCache>
                <c:formatCode>0.000000</c:formatCode>
                <c:ptCount val="101"/>
                <c:pt idx="0">
                  <c:v>100</c:v>
                </c:pt>
                <c:pt idx="1">
                  <c:v>99.626204142000006</c:v>
                </c:pt>
                <c:pt idx="2">
                  <c:v>98.781506397900003</c:v>
                </c:pt>
                <c:pt idx="3">
                  <c:v>98.573150872775003</c:v>
                </c:pt>
                <c:pt idx="4">
                  <c:v>97.780880336860008</c:v>
                </c:pt>
                <c:pt idx="5">
                  <c:v>97.211008917949997</c:v>
                </c:pt>
                <c:pt idx="6">
                  <c:v>97.129767877314293</c:v>
                </c:pt>
                <c:pt idx="7">
                  <c:v>96.736376512650011</c:v>
                </c:pt>
                <c:pt idx="8">
                  <c:v>96.460500077211123</c:v>
                </c:pt>
                <c:pt idx="9">
                  <c:v>96.066524840370022</c:v>
                </c:pt>
                <c:pt idx="10">
                  <c:v>95.740522813372749</c:v>
                </c:pt>
                <c:pt idx="11">
                  <c:v>95.225816194366686</c:v>
                </c:pt>
                <c:pt idx="12">
                  <c:v>94.627084729592312</c:v>
                </c:pt>
                <c:pt idx="13">
                  <c:v>93.875039072364288</c:v>
                </c:pt>
                <c:pt idx="14">
                  <c:v>93.308653544020004</c:v>
                </c:pt>
                <c:pt idx="15">
                  <c:v>92.805826806881257</c:v>
                </c:pt>
                <c:pt idx="16">
                  <c:v>92.384637220535296</c:v>
                </c:pt>
                <c:pt idx="17">
                  <c:v>91.969970474988884</c:v>
                </c:pt>
                <c:pt idx="18">
                  <c:v>91.734722240484217</c:v>
                </c:pt>
                <c:pt idx="19">
                  <c:v>91.365217785150008</c:v>
                </c:pt>
                <c:pt idx="20">
                  <c:v>91.071909264990481</c:v>
                </c:pt>
                <c:pt idx="21">
                  <c:v>90.774538359618177</c:v>
                </c:pt>
                <c:pt idx="22">
                  <c:v>90.618125791056528</c:v>
                </c:pt>
                <c:pt idx="23">
                  <c:v>90.543476824658342</c:v>
                </c:pt>
                <c:pt idx="24">
                  <c:v>90.447442532436014</c:v>
                </c:pt>
                <c:pt idx="25">
                  <c:v>90.298416448400019</c:v>
                </c:pt>
                <c:pt idx="26">
                  <c:v>90.178973818577802</c:v>
                </c:pt>
                <c:pt idx="27">
                  <c:v>90.014602152032154</c:v>
                </c:pt>
                <c:pt idx="28">
                  <c:v>89.830472263103459</c:v>
                </c:pt>
                <c:pt idx="29">
                  <c:v>89.71544385076335</c:v>
                </c:pt>
                <c:pt idx="30">
                  <c:v>89.697485367345166</c:v>
                </c:pt>
                <c:pt idx="31">
                  <c:v>89.688207418409377</c:v>
                </c:pt>
                <c:pt idx="32">
                  <c:v>89.648138995896971</c:v>
                </c:pt>
                <c:pt idx="33">
                  <c:v>89.695099286332365</c:v>
                </c:pt>
                <c:pt idx="34">
                  <c:v>89.674376088068584</c:v>
                </c:pt>
                <c:pt idx="35">
                  <c:v>89.629720092083346</c:v>
                </c:pt>
                <c:pt idx="36">
                  <c:v>89.600187283094598</c:v>
                </c:pt>
                <c:pt idx="37">
                  <c:v>89.634800852902629</c:v>
                </c:pt>
                <c:pt idx="38">
                  <c:v>89.693525653828203</c:v>
                </c:pt>
                <c:pt idx="39">
                  <c:v>89.78911627155</c:v>
                </c:pt>
                <c:pt idx="40">
                  <c:v>89.887228108860967</c:v>
                </c:pt>
                <c:pt idx="41">
                  <c:v>89.946084447926182</c:v>
                </c:pt>
                <c:pt idx="42">
                  <c:v>90.033906888148834</c:v>
                </c:pt>
                <c:pt idx="43">
                  <c:v>90.124676866863624</c:v>
                </c:pt>
                <c:pt idx="44">
                  <c:v>90.207652035697777</c:v>
                </c:pt>
                <c:pt idx="45">
                  <c:v>90.251950491189135</c:v>
                </c:pt>
                <c:pt idx="46">
                  <c:v>90.341780121261706</c:v>
                </c:pt>
                <c:pt idx="47">
                  <c:v>90.413823800925002</c:v>
                </c:pt>
                <c:pt idx="48">
                  <c:v>90.48766026698776</c:v>
                </c:pt>
                <c:pt idx="49">
                  <c:v>90.588422824404006</c:v>
                </c:pt>
                <c:pt idx="50">
                  <c:v>90.708709228788237</c:v>
                </c:pt>
                <c:pt idx="51">
                  <c:v>90.837072032775012</c:v>
                </c:pt>
                <c:pt idx="52">
                  <c:v>91.01287978576039</c:v>
                </c:pt>
                <c:pt idx="53">
                  <c:v>91.188481587727793</c:v>
                </c:pt>
                <c:pt idx="54">
                  <c:v>91.374202273405473</c:v>
                </c:pt>
                <c:pt idx="55">
                  <c:v>91.533339730380376</c:v>
                </c:pt>
                <c:pt idx="56">
                  <c:v>91.656467222015806</c:v>
                </c:pt>
                <c:pt idx="57">
                  <c:v>91.71691666561037</c:v>
                </c:pt>
                <c:pt idx="58">
                  <c:v>91.701448563801719</c:v>
                </c:pt>
                <c:pt idx="59">
                  <c:v>91.710522974878359</c:v>
                </c:pt>
                <c:pt idx="60">
                  <c:v>91.719728506177077</c:v>
                </c:pt>
                <c:pt idx="61">
                  <c:v>91.712966351953241</c:v>
                </c:pt>
                <c:pt idx="62">
                  <c:v>91.638561220607954</c:v>
                </c:pt>
                <c:pt idx="63">
                  <c:v>91.597648539229709</c:v>
                </c:pt>
                <c:pt idx="64">
                  <c:v>91.556938916630784</c:v>
                </c:pt>
                <c:pt idx="65">
                  <c:v>91.460249338659111</c:v>
                </c:pt>
                <c:pt idx="66">
                  <c:v>91.358198429010471</c:v>
                </c:pt>
                <c:pt idx="67">
                  <c:v>91.203014004805894</c:v>
                </c:pt>
                <c:pt idx="68">
                  <c:v>91.085449079581181</c:v>
                </c:pt>
                <c:pt idx="69">
                  <c:v>90.965071996322877</c:v>
                </c:pt>
                <c:pt idx="70">
                  <c:v>90.849902943708457</c:v>
                </c:pt>
                <c:pt idx="71">
                  <c:v>90.765816590093067</c:v>
                </c:pt>
                <c:pt idx="72">
                  <c:v>90.703931887408231</c:v>
                </c:pt>
                <c:pt idx="73">
                  <c:v>90.663491802275686</c:v>
                </c:pt>
                <c:pt idx="74">
                  <c:v>90.629549899112007</c:v>
                </c:pt>
                <c:pt idx="75">
                  <c:v>90.592901636305271</c:v>
                </c:pt>
                <c:pt idx="76">
                  <c:v>90.534871010555861</c:v>
                </c:pt>
                <c:pt idx="77">
                  <c:v>90.430515050544884</c:v>
                </c:pt>
                <c:pt idx="78">
                  <c:v>90.298658439869627</c:v>
                </c:pt>
                <c:pt idx="79">
                  <c:v>90.189269843622512</c:v>
                </c:pt>
                <c:pt idx="80">
                  <c:v>90.081480394007414</c:v>
                </c:pt>
                <c:pt idx="81">
                  <c:v>90.017533654346352</c:v>
                </c:pt>
                <c:pt idx="82">
                  <c:v>89.93776241906869</c:v>
                </c:pt>
                <c:pt idx="83">
                  <c:v>89.841591959895254</c:v>
                </c:pt>
                <c:pt idx="84">
                  <c:v>89.75142527162707</c:v>
                </c:pt>
                <c:pt idx="85">
                  <c:v>89.684424833253502</c:v>
                </c:pt>
                <c:pt idx="86">
                  <c:v>89.569299760491973</c:v>
                </c:pt>
                <c:pt idx="87">
                  <c:v>89.463557261405697</c:v>
                </c:pt>
                <c:pt idx="88">
                  <c:v>89.361822464270787</c:v>
                </c:pt>
                <c:pt idx="89">
                  <c:v>89.233488955695563</c:v>
                </c:pt>
                <c:pt idx="90">
                  <c:v>89.071712379720893</c:v>
                </c:pt>
                <c:pt idx="91">
                  <c:v>88.91014676230327</c:v>
                </c:pt>
                <c:pt idx="92">
                  <c:v>88.762637229846234</c:v>
                </c:pt>
                <c:pt idx="93">
                  <c:v>88.615228039887228</c:v>
                </c:pt>
                <c:pt idx="94">
                  <c:v>88.471593295237895</c:v>
                </c:pt>
                <c:pt idx="95">
                  <c:v>88.322718088551042</c:v>
                </c:pt>
                <c:pt idx="96">
                  <c:v>88.194475394771146</c:v>
                </c:pt>
                <c:pt idx="97">
                  <c:v>88.096983483334697</c:v>
                </c:pt>
                <c:pt idx="98">
                  <c:v>88.011955790501005</c:v>
                </c:pt>
                <c:pt idx="99">
                  <c:v>87.914659412229</c:v>
                </c:pt>
                <c:pt idx="100">
                  <c:v>87.83418216702276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004672"/>
        <c:axId val="65006592"/>
      </c:scatterChart>
      <c:valAx>
        <c:axId val="65004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5006592"/>
        <c:crosses val="autoZero"/>
        <c:crossBetween val="midCat"/>
      </c:valAx>
      <c:valAx>
        <c:axId val="65006592"/>
        <c:scaling>
          <c:orientation val="minMax"/>
          <c:min val="7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500467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diff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S_plus!$I$1</c:f>
              <c:strCache>
                <c:ptCount val="1"/>
                <c:pt idx="0">
                  <c:v>diff_d_4</c:v>
                </c:pt>
              </c:strCache>
            </c:strRef>
          </c:tx>
          <c:marker>
            <c:symbol val="none"/>
          </c:marker>
          <c:yVal>
            <c:numRef>
              <c:f>S_plus!$I$2:$I$102</c:f>
              <c:numCache>
                <c:formatCode>0.000000</c:formatCode>
                <c:ptCount val="101"/>
                <c:pt idx="0">
                  <c:v>0</c:v>
                </c:pt>
                <c:pt idx="1">
                  <c:v>-0.37379585799999404</c:v>
                </c:pt>
                <c:pt idx="2">
                  <c:v>-1.218493602099997</c:v>
                </c:pt>
                <c:pt idx="3">
                  <c:v>-1.4268491272249975</c:v>
                </c:pt>
                <c:pt idx="4">
                  <c:v>0.4749812402600071</c:v>
                </c:pt>
                <c:pt idx="5">
                  <c:v>-9.4890178650004486E-2</c:v>
                </c:pt>
                <c:pt idx="6">
                  <c:v>-0.17613121928570763</c:v>
                </c:pt>
                <c:pt idx="7">
                  <c:v>-0.56952258394998978</c:v>
                </c:pt>
                <c:pt idx="8">
                  <c:v>0.17207114824445569</c:v>
                </c:pt>
                <c:pt idx="9">
                  <c:v>-0.22190408859664501</c:v>
                </c:pt>
                <c:pt idx="10">
                  <c:v>-0.54790611559391778</c:v>
                </c:pt>
                <c:pt idx="11">
                  <c:v>-1.0626127345999805</c:v>
                </c:pt>
                <c:pt idx="12">
                  <c:v>0.55018624479230027</c:v>
                </c:pt>
                <c:pt idx="13">
                  <c:v>-0.20185941243572358</c:v>
                </c:pt>
                <c:pt idx="14">
                  <c:v>-0.76824494078000782</c:v>
                </c:pt>
                <c:pt idx="15">
                  <c:v>-1.271071677918755</c:v>
                </c:pt>
                <c:pt idx="16">
                  <c:v>-6.0023351047107099E-3</c:v>
                </c:pt>
                <c:pt idx="17">
                  <c:v>-0.42066908065112329</c:v>
                </c:pt>
                <c:pt idx="18">
                  <c:v>-0.65591731515578999</c:v>
                </c:pt>
                <c:pt idx="19">
                  <c:v>-1.0254217704899986</c:v>
                </c:pt>
                <c:pt idx="20">
                  <c:v>-0.12124684167619648</c:v>
                </c:pt>
                <c:pt idx="21">
                  <c:v>-0.41861774704850063</c:v>
                </c:pt>
                <c:pt idx="22">
                  <c:v>-0.5750303156101495</c:v>
                </c:pt>
                <c:pt idx="23">
                  <c:v>-0.64967928200833569</c:v>
                </c:pt>
                <c:pt idx="24">
                  <c:v>-0.30992263314971069</c:v>
                </c:pt>
                <c:pt idx="25">
                  <c:v>-0.45894871718570585</c:v>
                </c:pt>
                <c:pt idx="26">
                  <c:v>-0.57839134700792272</c:v>
                </c:pt>
                <c:pt idx="27">
                  <c:v>-0.74276301355357077</c:v>
                </c:pt>
                <c:pt idx="28">
                  <c:v>-0.16657667842154922</c:v>
                </c:pt>
                <c:pt idx="29">
                  <c:v>-0.28160509076165852</c:v>
                </c:pt>
                <c:pt idx="30">
                  <c:v>-0.29956357417984236</c:v>
                </c:pt>
                <c:pt idx="31">
                  <c:v>-0.30884152311563184</c:v>
                </c:pt>
                <c:pt idx="32">
                  <c:v>-0.16767667162525868</c:v>
                </c:pt>
                <c:pt idx="33">
                  <c:v>-0.12071638118986527</c:v>
                </c:pt>
                <c:pt idx="34">
                  <c:v>-0.14143957945364605</c:v>
                </c:pt>
                <c:pt idx="35">
                  <c:v>-0.186095575438884</c:v>
                </c:pt>
                <c:pt idx="36">
                  <c:v>-8.7747433625409599E-2</c:v>
                </c:pt>
                <c:pt idx="37">
                  <c:v>-5.3133863817379279E-2</c:v>
                </c:pt>
                <c:pt idx="38">
                  <c:v>5.5909371081952486E-3</c:v>
                </c:pt>
                <c:pt idx="39">
                  <c:v>0.10118155482999214</c:v>
                </c:pt>
                <c:pt idx="40">
                  <c:v>-0.17559450645721597</c:v>
                </c:pt>
                <c:pt idx="41">
                  <c:v>-0.11673816739200049</c:v>
                </c:pt>
                <c:pt idx="42">
                  <c:v>-2.8915727169348315E-2</c:v>
                </c:pt>
                <c:pt idx="43">
                  <c:v>6.1854251545440775E-2</c:v>
                </c:pt>
                <c:pt idx="44">
                  <c:v>-0.17148198371056367</c:v>
                </c:pt>
                <c:pt idx="45">
                  <c:v>-0.12718352821920575</c:v>
                </c:pt>
                <c:pt idx="46">
                  <c:v>-3.7353898146633924E-2</c:v>
                </c:pt>
                <c:pt idx="47">
                  <c:v>3.4689781516661355E-2</c:v>
                </c:pt>
                <c:pt idx="48">
                  <c:v>-0.172448876927632</c:v>
                </c:pt>
                <c:pt idx="49">
                  <c:v>-7.1686319511385932E-2</c:v>
                </c:pt>
                <c:pt idx="50">
                  <c:v>4.8600084872845173E-2</c:v>
                </c:pt>
                <c:pt idx="51">
                  <c:v>0.17696288885962019</c:v>
                </c:pt>
                <c:pt idx="52">
                  <c:v>-0.32542748651819409</c:v>
                </c:pt>
                <c:pt idx="53">
                  <c:v>-0.14982568455079104</c:v>
                </c:pt>
                <c:pt idx="54">
                  <c:v>3.5895001126888815E-2</c:v>
                </c:pt>
                <c:pt idx="55">
                  <c:v>0.19503245810179237</c:v>
                </c:pt>
                <c:pt idx="56">
                  <c:v>-0.16272668235087906</c:v>
                </c:pt>
                <c:pt idx="57">
                  <c:v>-0.10227723875631511</c:v>
                </c:pt>
                <c:pt idx="58">
                  <c:v>-0.11774534056496577</c:v>
                </c:pt>
                <c:pt idx="59">
                  <c:v>-0.10867092948832635</c:v>
                </c:pt>
                <c:pt idx="60">
                  <c:v>-0.12776955317293925</c:v>
                </c:pt>
                <c:pt idx="61">
                  <c:v>-0.13453170739677489</c:v>
                </c:pt>
                <c:pt idx="62">
                  <c:v>-0.20893683874206204</c:v>
                </c:pt>
                <c:pt idx="63">
                  <c:v>-0.24984952012030703</c:v>
                </c:pt>
                <c:pt idx="64">
                  <c:v>-0.12020767277510913</c:v>
                </c:pt>
                <c:pt idx="65">
                  <c:v>-0.21689725074678279</c:v>
                </c:pt>
                <c:pt idx="66">
                  <c:v>-0.31894816039542206</c:v>
                </c:pt>
                <c:pt idx="67">
                  <c:v>-0.47413258459999952</c:v>
                </c:pt>
                <c:pt idx="68">
                  <c:v>-0.114691263985506</c:v>
                </c:pt>
                <c:pt idx="69">
                  <c:v>-0.23506834724381065</c:v>
                </c:pt>
                <c:pt idx="70">
                  <c:v>-0.35023739985822999</c:v>
                </c:pt>
                <c:pt idx="71">
                  <c:v>-0.4343237534736204</c:v>
                </c:pt>
                <c:pt idx="72">
                  <c:v>-0.23558176934440667</c:v>
                </c:pt>
                <c:pt idx="73">
                  <c:v>-0.27602185447695149</c:v>
                </c:pt>
                <c:pt idx="74">
                  <c:v>-0.30996375764063089</c:v>
                </c:pt>
                <c:pt idx="75">
                  <c:v>-0.34661202044736683</c:v>
                </c:pt>
                <c:pt idx="76">
                  <c:v>-0.16389413603914704</c:v>
                </c:pt>
                <c:pt idx="77">
                  <c:v>-0.2682500960501244</c:v>
                </c:pt>
                <c:pt idx="78">
                  <c:v>-0.4001067067253814</c:v>
                </c:pt>
                <c:pt idx="79">
                  <c:v>-0.50949530297249623</c:v>
                </c:pt>
                <c:pt idx="80">
                  <c:v>-0.17726376583544834</c:v>
                </c:pt>
                <c:pt idx="81">
                  <c:v>-0.24121050549651102</c:v>
                </c:pt>
                <c:pt idx="82">
                  <c:v>-0.32098174077417241</c:v>
                </c:pt>
                <c:pt idx="83">
                  <c:v>-0.41715219994760844</c:v>
                </c:pt>
                <c:pt idx="84">
                  <c:v>-0.13998612900020646</c:v>
                </c:pt>
                <c:pt idx="85">
                  <c:v>-0.20698656737377519</c:v>
                </c:pt>
                <c:pt idx="86">
                  <c:v>-0.32211164013530436</c:v>
                </c:pt>
                <c:pt idx="87">
                  <c:v>-0.42785413922158</c:v>
                </c:pt>
                <c:pt idx="88">
                  <c:v>-0.11731715008573929</c:v>
                </c:pt>
                <c:pt idx="89">
                  <c:v>-0.24565065866096347</c:v>
                </c:pt>
                <c:pt idx="90">
                  <c:v>-0.40742723463563379</c:v>
                </c:pt>
                <c:pt idx="91">
                  <c:v>-0.56899285205325612</c:v>
                </c:pt>
                <c:pt idx="92">
                  <c:v>-0.12119491073711686</c:v>
                </c:pt>
                <c:pt idx="93">
                  <c:v>-0.26860410069612328</c:v>
                </c:pt>
                <c:pt idx="94">
                  <c:v>-0.41223884534545618</c:v>
                </c:pt>
                <c:pt idx="95">
                  <c:v>-0.56111405203230902</c:v>
                </c:pt>
                <c:pt idx="96">
                  <c:v>-0.16933053186487257</c:v>
                </c:pt>
                <c:pt idx="97">
                  <c:v>-0.26682244330132221</c:v>
                </c:pt>
                <c:pt idx="98">
                  <c:v>-0.35185013613501326</c:v>
                </c:pt>
                <c:pt idx="99">
                  <c:v>-0.44914651440701903</c:v>
                </c:pt>
                <c:pt idx="100">
                  <c:v>-0.19972574883493621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S_plus!$J$1</c:f>
              <c:strCache>
                <c:ptCount val="1"/>
                <c:pt idx="0">
                  <c:v>diff_d_10</c:v>
                </c:pt>
              </c:strCache>
            </c:strRef>
          </c:tx>
          <c:marker>
            <c:symbol val="none"/>
          </c:marker>
          <c:xVal>
            <c:numRef>
              <c:f>S_plus!$K$2:$K$102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S_plus!$J$2:$J$102</c:f>
              <c:numCache>
                <c:formatCode>0.000000</c:formatCode>
                <c:ptCount val="101"/>
                <c:pt idx="0">
                  <c:v>0</c:v>
                </c:pt>
                <c:pt idx="1">
                  <c:v>-0.37379585799999404</c:v>
                </c:pt>
                <c:pt idx="2">
                  <c:v>-1.218493602099997</c:v>
                </c:pt>
                <c:pt idx="3">
                  <c:v>-1.4268491272249975</c:v>
                </c:pt>
                <c:pt idx="4">
                  <c:v>-2.2191196631399919</c:v>
                </c:pt>
                <c:pt idx="5">
                  <c:v>-2.7889910820500035</c:v>
                </c:pt>
                <c:pt idx="6">
                  <c:v>-2.8702321226857066</c:v>
                </c:pt>
                <c:pt idx="7">
                  <c:v>-3.2636234873499887</c:v>
                </c:pt>
                <c:pt idx="8">
                  <c:v>-3.5394999227888775</c:v>
                </c:pt>
                <c:pt idx="9">
                  <c:v>-3.9334751596299782</c:v>
                </c:pt>
                <c:pt idx="10">
                  <c:v>-0.49972845832725454</c:v>
                </c:pt>
                <c:pt idx="11">
                  <c:v>-1.0144350773333173</c:v>
                </c:pt>
                <c:pt idx="12">
                  <c:v>-1.6131665421076917</c:v>
                </c:pt>
                <c:pt idx="13">
                  <c:v>-2.3652121993357156</c:v>
                </c:pt>
                <c:pt idx="14">
                  <c:v>-2.9315977276799998</c:v>
                </c:pt>
                <c:pt idx="15">
                  <c:v>-3.434424464818747</c:v>
                </c:pt>
                <c:pt idx="16">
                  <c:v>-3.8556140511647072</c:v>
                </c:pt>
                <c:pt idx="17">
                  <c:v>-4.2702807967111198</c:v>
                </c:pt>
                <c:pt idx="18">
                  <c:v>-4.5055290312157865</c:v>
                </c:pt>
                <c:pt idx="19">
                  <c:v>-4.8750334865499951</c:v>
                </c:pt>
                <c:pt idx="20">
                  <c:v>-1.4901712034095169</c:v>
                </c:pt>
                <c:pt idx="21">
                  <c:v>-1.7875421087818211</c:v>
                </c:pt>
                <c:pt idx="22">
                  <c:v>-1.9439546773434699</c:v>
                </c:pt>
                <c:pt idx="23">
                  <c:v>-2.0186036437416561</c:v>
                </c:pt>
                <c:pt idx="24">
                  <c:v>-2.1146379359639838</c:v>
                </c:pt>
                <c:pt idx="25">
                  <c:v>-2.2636640199999789</c:v>
                </c:pt>
                <c:pt idx="26">
                  <c:v>-2.3831066498221958</c:v>
                </c:pt>
                <c:pt idx="27">
                  <c:v>-2.5474783163678438</c:v>
                </c:pt>
                <c:pt idx="28">
                  <c:v>-2.7316082052965385</c:v>
                </c:pt>
                <c:pt idx="29">
                  <c:v>-2.8466366176366478</c:v>
                </c:pt>
                <c:pt idx="30">
                  <c:v>-2.0137577001548408</c:v>
                </c:pt>
                <c:pt idx="31">
                  <c:v>-2.0230356490906303</c:v>
                </c:pt>
                <c:pt idx="32">
                  <c:v>-2.0631040716030355</c:v>
                </c:pt>
                <c:pt idx="33">
                  <c:v>-2.0161437811676421</c:v>
                </c:pt>
                <c:pt idx="34">
                  <c:v>-2.0368669794314229</c:v>
                </c:pt>
                <c:pt idx="35">
                  <c:v>-2.0815229754166609</c:v>
                </c:pt>
                <c:pt idx="36">
                  <c:v>-2.1110557844054085</c:v>
                </c:pt>
                <c:pt idx="37">
                  <c:v>-2.0764422145973782</c:v>
                </c:pt>
                <c:pt idx="38">
                  <c:v>-2.0177174136718037</c:v>
                </c:pt>
                <c:pt idx="39">
                  <c:v>-1.9221267959500068</c:v>
                </c:pt>
                <c:pt idx="40">
                  <c:v>-2.2441066653990447</c:v>
                </c:pt>
                <c:pt idx="41">
                  <c:v>-2.1852503263338292</c:v>
                </c:pt>
                <c:pt idx="42">
                  <c:v>-2.097427886111177</c:v>
                </c:pt>
                <c:pt idx="43">
                  <c:v>-2.0066579073963879</c:v>
                </c:pt>
                <c:pt idx="44">
                  <c:v>-1.9236827385622348</c:v>
                </c:pt>
                <c:pt idx="45">
                  <c:v>-1.8793842830708769</c:v>
                </c:pt>
                <c:pt idx="46">
                  <c:v>-1.7895546529983051</c:v>
                </c:pt>
                <c:pt idx="47">
                  <c:v>-1.7175109733350098</c:v>
                </c:pt>
                <c:pt idx="48">
                  <c:v>-1.6436745072722516</c:v>
                </c:pt>
                <c:pt idx="49">
                  <c:v>-1.5429119498560055</c:v>
                </c:pt>
                <c:pt idx="50">
                  <c:v>-2.187907991095102</c:v>
                </c:pt>
                <c:pt idx="51">
                  <c:v>-2.059545187108327</c:v>
                </c:pt>
                <c:pt idx="52">
                  <c:v>-1.8837374341229491</c:v>
                </c:pt>
                <c:pt idx="53">
                  <c:v>-1.7081356321555461</c:v>
                </c:pt>
                <c:pt idx="54">
                  <c:v>-1.5224149464778662</c:v>
                </c:pt>
                <c:pt idx="55">
                  <c:v>-1.3632774895029627</c:v>
                </c:pt>
                <c:pt idx="56">
                  <c:v>-1.2401499978675332</c:v>
                </c:pt>
                <c:pt idx="57">
                  <c:v>-1.1797005542729693</c:v>
                </c:pt>
                <c:pt idx="58">
                  <c:v>-1.1951686560816199</c:v>
                </c:pt>
                <c:pt idx="59">
                  <c:v>-1.1860942450049805</c:v>
                </c:pt>
                <c:pt idx="60">
                  <c:v>-1.0876663085943505</c:v>
                </c:pt>
                <c:pt idx="61">
                  <c:v>-1.0944284628181862</c:v>
                </c:pt>
                <c:pt idx="62">
                  <c:v>-1.1688335941634733</c:v>
                </c:pt>
                <c:pt idx="63">
                  <c:v>-1.2097462755417183</c:v>
                </c:pt>
                <c:pt idx="64">
                  <c:v>-1.2504558981406433</c:v>
                </c:pt>
                <c:pt idx="65">
                  <c:v>-1.3471454761123169</c:v>
                </c:pt>
                <c:pt idx="66">
                  <c:v>-1.4491963857609562</c:v>
                </c:pt>
                <c:pt idx="67">
                  <c:v>-1.6043808099655337</c:v>
                </c:pt>
                <c:pt idx="68">
                  <c:v>-1.7219457351902463</c:v>
                </c:pt>
                <c:pt idx="69">
                  <c:v>-1.8423228184485509</c:v>
                </c:pt>
                <c:pt idx="70">
                  <c:v>-0.70507617680404167</c:v>
                </c:pt>
                <c:pt idx="71">
                  <c:v>-0.78916253041943207</c:v>
                </c:pt>
                <c:pt idx="72">
                  <c:v>-0.85104723310426778</c:v>
                </c:pt>
                <c:pt idx="73">
                  <c:v>-0.8914873182368126</c:v>
                </c:pt>
                <c:pt idx="74">
                  <c:v>-0.925429221400492</c:v>
                </c:pt>
                <c:pt idx="75">
                  <c:v>-0.96207748420722794</c:v>
                </c:pt>
                <c:pt idx="76">
                  <c:v>-1.020108109956638</c:v>
                </c:pt>
                <c:pt idx="77">
                  <c:v>-1.1244640699676154</c:v>
                </c:pt>
                <c:pt idx="78">
                  <c:v>-1.2563206806428724</c:v>
                </c:pt>
                <c:pt idx="79">
                  <c:v>-1.3657092768899872</c:v>
                </c:pt>
                <c:pt idx="80">
                  <c:v>-0.35164820475925751</c:v>
                </c:pt>
                <c:pt idx="81">
                  <c:v>-0.41559494442032019</c:v>
                </c:pt>
                <c:pt idx="82">
                  <c:v>-0.49536617969798158</c:v>
                </c:pt>
                <c:pt idx="83">
                  <c:v>-0.59153663887141761</c:v>
                </c:pt>
                <c:pt idx="84">
                  <c:v>-0.68170332713960136</c:v>
                </c:pt>
                <c:pt idx="85">
                  <c:v>-0.74870376551317008</c:v>
                </c:pt>
                <c:pt idx="86">
                  <c:v>-0.86382883827469925</c:v>
                </c:pt>
                <c:pt idx="87">
                  <c:v>-0.96957133736097489</c:v>
                </c:pt>
                <c:pt idx="88">
                  <c:v>-1.0713061344958845</c:v>
                </c:pt>
                <c:pt idx="89">
                  <c:v>-1.1996396430711087</c:v>
                </c:pt>
                <c:pt idx="90">
                  <c:v>0.23071458663089572</c:v>
                </c:pt>
                <c:pt idx="91">
                  <c:v>6.9148969213273404E-2</c:v>
                </c:pt>
                <c:pt idx="92">
                  <c:v>-7.8360563243762726E-2</c:v>
                </c:pt>
                <c:pt idx="93">
                  <c:v>-0.22576975320276915</c:v>
                </c:pt>
                <c:pt idx="94">
                  <c:v>-0.36940449785210205</c:v>
                </c:pt>
                <c:pt idx="95">
                  <c:v>-0.51827970453895489</c:v>
                </c:pt>
                <c:pt idx="96">
                  <c:v>-0.64652239831885083</c:v>
                </c:pt>
                <c:pt idx="97">
                  <c:v>-0.74401430975530047</c:v>
                </c:pt>
                <c:pt idx="98">
                  <c:v>-0.82904200258899152</c:v>
                </c:pt>
                <c:pt idx="99">
                  <c:v>-0.92633838086099729</c:v>
                </c:pt>
                <c:pt idx="100">
                  <c:v>-0.18367561273178978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427072"/>
        <c:axId val="79425536"/>
      </c:scatterChart>
      <c:valAx>
        <c:axId val="79427072"/>
        <c:scaling>
          <c:orientation val="minMax"/>
        </c:scaling>
        <c:delete val="0"/>
        <c:axPos val="b"/>
        <c:majorTickMark val="out"/>
        <c:minorTickMark val="none"/>
        <c:tickLblPos val="nextTo"/>
        <c:crossAx val="79425536"/>
        <c:crosses val="autoZero"/>
        <c:crossBetween val="midCat"/>
      </c:valAx>
      <c:valAx>
        <c:axId val="79425536"/>
        <c:scaling>
          <c:orientation val="minMax"/>
        </c:scaling>
        <c:delete val="0"/>
        <c:axPos val="l"/>
        <c:majorGridlines/>
        <c:numFmt formatCode="0.000000" sourceLinked="1"/>
        <c:majorTickMark val="out"/>
        <c:minorTickMark val="none"/>
        <c:tickLblPos val="nextTo"/>
        <c:crossAx val="7942707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542925</xdr:colOff>
      <xdr:row>13</xdr:row>
      <xdr:rowOff>38100</xdr:rowOff>
    </xdr:from>
    <xdr:to>
      <xdr:col>19</xdr:col>
      <xdr:colOff>390525</xdr:colOff>
      <xdr:row>32</xdr:row>
      <xdr:rowOff>119062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581025</xdr:colOff>
      <xdr:row>17</xdr:row>
      <xdr:rowOff>52387</xdr:rowOff>
    </xdr:from>
    <xdr:to>
      <xdr:col>8</xdr:col>
      <xdr:colOff>142875</xdr:colOff>
      <xdr:row>31</xdr:row>
      <xdr:rowOff>128587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342900</xdr:colOff>
      <xdr:row>33</xdr:row>
      <xdr:rowOff>19050</xdr:rowOff>
    </xdr:from>
    <xdr:to>
      <xdr:col>17</xdr:col>
      <xdr:colOff>38100</xdr:colOff>
      <xdr:row>47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4</xdr:row>
      <xdr:rowOff>0</xdr:rowOff>
    </xdr:from>
    <xdr:to>
      <xdr:col>19</xdr:col>
      <xdr:colOff>304800</xdr:colOff>
      <xdr:row>18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104775</xdr:colOff>
      <xdr:row>2</xdr:row>
      <xdr:rowOff>85725</xdr:rowOff>
    </xdr:from>
    <xdr:to>
      <xdr:col>24</xdr:col>
      <xdr:colOff>504825</xdr:colOff>
      <xdr:row>21</xdr:row>
      <xdr:rowOff>180976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200025</xdr:colOff>
      <xdr:row>23</xdr:row>
      <xdr:rowOff>19050</xdr:rowOff>
    </xdr:from>
    <xdr:to>
      <xdr:col>21</xdr:col>
      <xdr:colOff>504825</xdr:colOff>
      <xdr:row>37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A13"/>
  <sheetViews>
    <sheetView zoomScaleNormal="100" workbookViewId="0">
      <selection activeCell="G7" sqref="G7"/>
    </sheetView>
  </sheetViews>
  <sheetFormatPr defaultRowHeight="15" x14ac:dyDescent="0.25"/>
  <cols>
    <col min="1" max="1" width="10.42578125" bestFit="1" customWidth="1"/>
    <col min="2" max="2" width="12" bestFit="1" customWidth="1"/>
    <col min="3" max="5" width="10.140625" bestFit="1" customWidth="1"/>
  </cols>
  <sheetData>
    <row r="1" spans="1:105" x14ac:dyDescent="0.25">
      <c r="A1" t="s">
        <v>0</v>
      </c>
      <c r="B1" s="1">
        <v>100</v>
      </c>
    </row>
    <row r="2" spans="1:105" x14ac:dyDescent="0.25">
      <c r="A2" t="s">
        <v>102</v>
      </c>
      <c r="B2" s="1">
        <v>100</v>
      </c>
    </row>
    <row r="3" spans="1:105" x14ac:dyDescent="0.25">
      <c r="A3" t="s">
        <v>103</v>
      </c>
      <c r="B3" s="1">
        <v>1</v>
      </c>
    </row>
    <row r="4" spans="1:105" x14ac:dyDescent="0.25">
      <c r="A4" t="s">
        <v>104</v>
      </c>
      <c r="B4" s="1">
        <v>0.2</v>
      </c>
    </row>
    <row r="5" spans="1:105" x14ac:dyDescent="0.25">
      <c r="A5" t="s">
        <v>105</v>
      </c>
      <c r="B5" s="1">
        <v>0.05</v>
      </c>
    </row>
    <row r="6" spans="1:105" x14ac:dyDescent="0.25">
      <c r="A6" t="s">
        <v>106</v>
      </c>
      <c r="B6" s="1">
        <f>expiry/100</f>
        <v>0.01</v>
      </c>
    </row>
    <row r="7" spans="1:105" x14ac:dyDescent="0.25">
      <c r="B7" s="3"/>
      <c r="F7">
        <f>discfac*AVERAGE(F11:DA12)</f>
        <v>5.5465914357485095</v>
      </c>
      <c r="G7">
        <f>_xlfn.STDEV.S(F11:DA12)</f>
        <v>7.5747076728580556</v>
      </c>
    </row>
    <row r="8" spans="1:105" x14ac:dyDescent="0.25">
      <c r="A8" s="2" t="s">
        <v>107</v>
      </c>
      <c r="B8">
        <f>EXP(-intrate*expiry)</f>
        <v>0.95122942450071402</v>
      </c>
    </row>
    <row r="10" spans="1:105" s="2" customFormat="1" x14ac:dyDescent="0.25">
      <c r="A10" s="2" t="s">
        <v>313</v>
      </c>
      <c r="B10" s="2" t="s">
        <v>314</v>
      </c>
      <c r="C10" s="2" t="s">
        <v>108</v>
      </c>
      <c r="D10" s="2" t="s">
        <v>109</v>
      </c>
      <c r="F10" s="2" t="s">
        <v>110</v>
      </c>
      <c r="G10" s="2" t="s">
        <v>111</v>
      </c>
      <c r="H10" s="2" t="s">
        <v>112</v>
      </c>
      <c r="I10" s="2" t="s">
        <v>113</v>
      </c>
      <c r="J10" s="2" t="s">
        <v>114</v>
      </c>
      <c r="K10" s="2" t="s">
        <v>115</v>
      </c>
      <c r="L10" s="2" t="s">
        <v>116</v>
      </c>
      <c r="M10" s="2" t="s">
        <v>117</v>
      </c>
      <c r="N10" s="2" t="s">
        <v>118</v>
      </c>
      <c r="O10" s="2" t="s">
        <v>119</v>
      </c>
      <c r="P10" s="2" t="s">
        <v>120</v>
      </c>
      <c r="Q10" s="2" t="s">
        <v>121</v>
      </c>
      <c r="R10" s="2" t="s">
        <v>122</v>
      </c>
      <c r="S10" s="2" t="s">
        <v>123</v>
      </c>
      <c r="T10" s="2" t="s">
        <v>124</v>
      </c>
      <c r="U10" s="2" t="s">
        <v>125</v>
      </c>
      <c r="V10" s="2" t="s">
        <v>126</v>
      </c>
      <c r="W10" s="2" t="s">
        <v>127</v>
      </c>
      <c r="X10" s="2" t="s">
        <v>128</v>
      </c>
      <c r="Y10" s="2" t="s">
        <v>129</v>
      </c>
      <c r="Z10" s="2" t="s">
        <v>130</v>
      </c>
      <c r="AA10" s="2" t="s">
        <v>131</v>
      </c>
      <c r="AB10" s="2" t="s">
        <v>132</v>
      </c>
      <c r="AC10" s="2" t="s">
        <v>133</v>
      </c>
      <c r="AD10" s="2" t="s">
        <v>134</v>
      </c>
      <c r="AE10" s="2" t="s">
        <v>135</v>
      </c>
      <c r="AF10" s="2" t="s">
        <v>136</v>
      </c>
      <c r="AG10" s="2" t="s">
        <v>137</v>
      </c>
      <c r="AH10" s="2" t="s">
        <v>138</v>
      </c>
      <c r="AI10" s="2" t="s">
        <v>139</v>
      </c>
      <c r="AJ10" s="2" t="s">
        <v>140</v>
      </c>
      <c r="AK10" s="2" t="s">
        <v>141</v>
      </c>
      <c r="AL10" s="2" t="s">
        <v>142</v>
      </c>
      <c r="AM10" s="2" t="s">
        <v>143</v>
      </c>
      <c r="AN10" s="2" t="s">
        <v>144</v>
      </c>
      <c r="AO10" s="2" t="s">
        <v>145</v>
      </c>
      <c r="AP10" s="2" t="s">
        <v>146</v>
      </c>
      <c r="AQ10" s="2" t="s">
        <v>147</v>
      </c>
      <c r="AR10" s="2" t="s">
        <v>148</v>
      </c>
      <c r="AS10" s="2" t="s">
        <v>149</v>
      </c>
      <c r="AT10" s="2" t="s">
        <v>150</v>
      </c>
      <c r="AU10" s="2" t="s">
        <v>151</v>
      </c>
      <c r="AV10" s="2" t="s">
        <v>152</v>
      </c>
      <c r="AW10" s="2" t="s">
        <v>153</v>
      </c>
      <c r="AX10" s="2" t="s">
        <v>154</v>
      </c>
      <c r="AY10" s="2" t="s">
        <v>155</v>
      </c>
      <c r="AZ10" s="2" t="s">
        <v>156</v>
      </c>
      <c r="BA10" s="2" t="s">
        <v>157</v>
      </c>
      <c r="BB10" s="2" t="s">
        <v>158</v>
      </c>
      <c r="BC10" s="2" t="s">
        <v>159</v>
      </c>
      <c r="BD10" s="2" t="s">
        <v>160</v>
      </c>
      <c r="BE10" s="2" t="s">
        <v>161</v>
      </c>
      <c r="BF10" s="2" t="s">
        <v>162</v>
      </c>
      <c r="BG10" s="2" t="s">
        <v>163</v>
      </c>
      <c r="BH10" s="2" t="s">
        <v>164</v>
      </c>
      <c r="BI10" s="2" t="s">
        <v>165</v>
      </c>
      <c r="BJ10" s="2" t="s">
        <v>166</v>
      </c>
      <c r="BK10" s="2" t="s">
        <v>167</v>
      </c>
      <c r="BL10" s="2" t="s">
        <v>168</v>
      </c>
      <c r="BM10" s="2" t="s">
        <v>169</v>
      </c>
      <c r="BN10" s="2" t="s">
        <v>170</v>
      </c>
      <c r="BO10" s="2" t="s">
        <v>171</v>
      </c>
      <c r="BP10" s="2" t="s">
        <v>172</v>
      </c>
      <c r="BQ10" s="2" t="s">
        <v>173</v>
      </c>
      <c r="BR10" s="2" t="s">
        <v>174</v>
      </c>
      <c r="BS10" s="2" t="s">
        <v>175</v>
      </c>
      <c r="BT10" s="2" t="s">
        <v>176</v>
      </c>
      <c r="BU10" s="2" t="s">
        <v>177</v>
      </c>
      <c r="BV10" s="2" t="s">
        <v>178</v>
      </c>
      <c r="BW10" s="2" t="s">
        <v>179</v>
      </c>
      <c r="BX10" s="2" t="s">
        <v>180</v>
      </c>
      <c r="BY10" s="2" t="s">
        <v>181</v>
      </c>
      <c r="BZ10" s="2" t="s">
        <v>182</v>
      </c>
      <c r="CA10" s="2" t="s">
        <v>183</v>
      </c>
      <c r="CB10" s="2" t="s">
        <v>184</v>
      </c>
      <c r="CC10" s="2" t="s">
        <v>185</v>
      </c>
      <c r="CD10" s="2" t="s">
        <v>186</v>
      </c>
      <c r="CE10" s="2" t="s">
        <v>187</v>
      </c>
      <c r="CF10" s="2" t="s">
        <v>188</v>
      </c>
      <c r="CG10" s="2" t="s">
        <v>189</v>
      </c>
      <c r="CH10" s="2" t="s">
        <v>190</v>
      </c>
      <c r="CI10" s="2" t="s">
        <v>191</v>
      </c>
      <c r="CJ10" s="2" t="s">
        <v>192</v>
      </c>
      <c r="CK10" s="2" t="s">
        <v>193</v>
      </c>
      <c r="CL10" s="2" t="s">
        <v>194</v>
      </c>
      <c r="CM10" s="2" t="s">
        <v>195</v>
      </c>
      <c r="CN10" s="2" t="s">
        <v>196</v>
      </c>
      <c r="CO10" s="2" t="s">
        <v>197</v>
      </c>
      <c r="CP10" s="2" t="s">
        <v>198</v>
      </c>
      <c r="CQ10" s="2" t="s">
        <v>199</v>
      </c>
      <c r="CR10" s="2" t="s">
        <v>200</v>
      </c>
      <c r="CS10" s="2" t="s">
        <v>201</v>
      </c>
      <c r="CT10" s="2" t="s">
        <v>202</v>
      </c>
      <c r="CU10" s="2" t="s">
        <v>203</v>
      </c>
      <c r="CV10" s="2" t="s">
        <v>204</v>
      </c>
      <c r="CW10" s="2" t="s">
        <v>205</v>
      </c>
      <c r="CX10" s="2" t="s">
        <v>206</v>
      </c>
      <c r="CY10" s="2" t="s">
        <v>207</v>
      </c>
      <c r="CZ10" s="2" t="s">
        <v>208</v>
      </c>
      <c r="DA10" s="2" t="s">
        <v>209</v>
      </c>
    </row>
    <row r="11" spans="1:105" x14ac:dyDescent="0.25">
      <c r="A11" t="s">
        <v>315</v>
      </c>
      <c r="B11" t="s">
        <v>316</v>
      </c>
      <c r="C11" t="s">
        <v>310</v>
      </c>
      <c r="D11">
        <f>discfac*AVERAGE(F11:DA11)</f>
        <v>4.9147787689909013</v>
      </c>
      <c r="F11">
        <f>MAX(AVERAGE(S_plus!M$2:M$102)-strike,0)</f>
        <v>0</v>
      </c>
      <c r="G11">
        <f>MAX(AVERAGE(S_plus!N$2:N$102)-strike,0)</f>
        <v>0</v>
      </c>
      <c r="H11">
        <f>MAX(AVERAGE(S_plus!O$2:O$102)-strike,0)</f>
        <v>5.7447214753257612</v>
      </c>
      <c r="I11">
        <f>MAX(AVERAGE(S_plus!P$2:P$102)-strike,0)</f>
        <v>0</v>
      </c>
      <c r="J11">
        <f>MAX(AVERAGE(S_plus!Q$2:Q$102)-strike,0)</f>
        <v>0</v>
      </c>
      <c r="K11">
        <f>MAX(AVERAGE(S_plus!R$2:R$102)-strike,0)</f>
        <v>0</v>
      </c>
      <c r="L11">
        <f>MAX(AVERAGE(S_plus!S$2:S$102)-strike,0)</f>
        <v>9.4661495792920647</v>
      </c>
      <c r="M11">
        <f>MAX(AVERAGE(S_plus!T$2:T$102)-strike,0)</f>
        <v>0</v>
      </c>
      <c r="N11">
        <f>MAX(AVERAGE(S_plus!U$2:U$102)-strike,0)</f>
        <v>12.808194240663383</v>
      </c>
      <c r="O11">
        <f>MAX(AVERAGE(S_plus!V$2:V$102)-strike,0)</f>
        <v>13.830639308603892</v>
      </c>
      <c r="P11">
        <f>MAX(AVERAGE(S_plus!W$2:W$102)-strike,0)</f>
        <v>4.4286354372445658</v>
      </c>
      <c r="Q11">
        <f>MAX(AVERAGE(S_plus!X$2:X$102)-strike,0)</f>
        <v>19.072724275811922</v>
      </c>
      <c r="R11">
        <f>MAX(AVERAGE(S_plus!Y$2:Y$102)-strike,0)</f>
        <v>0</v>
      </c>
      <c r="S11">
        <f>MAX(AVERAGE(S_plus!Z$2:Z$102)-strike,0)</f>
        <v>5.5087029557009828</v>
      </c>
      <c r="T11">
        <f>MAX(AVERAGE(S_plus!AA$2:AA$102)-strike,0)</f>
        <v>3.9584064339415335</v>
      </c>
      <c r="U11">
        <f>MAX(AVERAGE(S_plus!AB$2:AB$102)-strike,0)</f>
        <v>1.7529843177346009</v>
      </c>
      <c r="V11">
        <f>MAX(AVERAGE(S_plus!AC$2:AC$102)-strike,0)</f>
        <v>0</v>
      </c>
      <c r="W11">
        <f>MAX(AVERAGE(S_plus!AD$2:AD$102)-strike,0)</f>
        <v>0</v>
      </c>
      <c r="X11">
        <f>MAX(AVERAGE(S_plus!AE$2:AE$102)-strike,0)</f>
        <v>25.892813451272275</v>
      </c>
      <c r="Y11">
        <f>MAX(AVERAGE(S_plus!AF$2:AF$102)-strike,0)</f>
        <v>15.965684652565429</v>
      </c>
      <c r="Z11">
        <f>MAX(AVERAGE(S_plus!AG$2:AG$102)-strike,0)</f>
        <v>9.4127114050613869</v>
      </c>
      <c r="AA11">
        <f>MAX(AVERAGE(S_plus!AH$2:AH$102)-strike,0)</f>
        <v>9.448319902482254</v>
      </c>
      <c r="AB11">
        <f>MAX(AVERAGE(S_plus!AI$2:AI$102)-strike,0)</f>
        <v>0</v>
      </c>
      <c r="AC11">
        <f>MAX(AVERAGE(S_plus!AJ$2:AJ$102)-strike,0)</f>
        <v>0</v>
      </c>
      <c r="AD11">
        <f>MAX(AVERAGE(S_plus!AK$2:AK$102)-strike,0)</f>
        <v>7.6413870233346728</v>
      </c>
      <c r="AE11">
        <f>MAX(AVERAGE(S_plus!AL$2:AL$102)-strike,0)</f>
        <v>9.6676394211712875</v>
      </c>
      <c r="AF11">
        <f>MAX(AVERAGE(S_plus!AM$2:AM$102)-strike,0)</f>
        <v>0</v>
      </c>
      <c r="AG11">
        <f>MAX(AVERAGE(S_plus!AN$2:AN$102)-strike,0)</f>
        <v>8.6018389590851427</v>
      </c>
      <c r="AH11">
        <f>MAX(AVERAGE(S_plus!AO$2:AO$102)-strike,0)</f>
        <v>0.82326849910295152</v>
      </c>
      <c r="AI11">
        <f>MAX(AVERAGE(S_plus!AP$2:AP$102)-strike,0)</f>
        <v>0</v>
      </c>
      <c r="AJ11">
        <f>MAX(AVERAGE(S_plus!AQ$2:AQ$102)-strike,0)</f>
        <v>8.0345739544415835</v>
      </c>
      <c r="AK11">
        <f>MAX(AVERAGE(S_plus!AR$2:AR$102)-strike,0)</f>
        <v>0</v>
      </c>
      <c r="AL11">
        <f>MAX(AVERAGE(S_plus!AS$2:AS$102)-strike,0)</f>
        <v>20.944695519953484</v>
      </c>
      <c r="AM11">
        <f>MAX(AVERAGE(S_plus!AT$2:AT$102)-strike,0)</f>
        <v>0</v>
      </c>
      <c r="AN11">
        <f>MAX(AVERAGE(S_plus!AU$2:AU$102)-strike,0)</f>
        <v>7.6661231477267364</v>
      </c>
      <c r="AO11">
        <f>MAX(AVERAGE(S_plus!AV$2:AV$102)-strike,0)</f>
        <v>11.78453995565738</v>
      </c>
      <c r="AP11">
        <f>MAX(AVERAGE(S_plus!AW$2:AW$102)-strike,0)</f>
        <v>15.049619312712878</v>
      </c>
      <c r="AQ11">
        <f>MAX(AVERAGE(S_plus!AX$2:AX$102)-strike,0)</f>
        <v>0</v>
      </c>
      <c r="AR11">
        <f>MAX(AVERAGE(S_plus!AY$2:AY$102)-strike,0)</f>
        <v>0</v>
      </c>
      <c r="AS11">
        <f>MAX(AVERAGE(S_plus!AZ$2:AZ$102)-strike,0)</f>
        <v>21.083317132207895</v>
      </c>
      <c r="AT11">
        <f>MAX(AVERAGE(S_plus!BA$2:BA$102)-strike,0)</f>
        <v>16.436221864990102</v>
      </c>
      <c r="AU11">
        <f>MAX(AVERAGE(S_plus!BB$2:BB$102)-strike,0)</f>
        <v>5.7527895423247344</v>
      </c>
      <c r="AV11">
        <f>MAX(AVERAGE(S_plus!BC$2:BC$102)-strike,0)</f>
        <v>12.526322069962404</v>
      </c>
      <c r="AW11">
        <f>MAX(AVERAGE(S_plus!BD$2:BD$102)-strike,0)</f>
        <v>9.4853184569039257</v>
      </c>
      <c r="AX11">
        <f>MAX(AVERAGE(S_plus!BE$2:BE$102)-strike,0)</f>
        <v>0</v>
      </c>
      <c r="AY11">
        <f>MAX(AVERAGE(S_plus!BF$2:BF$102)-strike,0)</f>
        <v>0</v>
      </c>
      <c r="AZ11">
        <f>MAX(AVERAGE(S_plus!BG$2:BG$102)-strike,0)</f>
        <v>0</v>
      </c>
      <c r="BA11">
        <f>MAX(AVERAGE(S_plus!BH$2:BH$102)-strike,0)</f>
        <v>5.0311829185990149</v>
      </c>
      <c r="BB11">
        <f>MAX(AVERAGE(S_plus!BI$2:BI$102)-strike,0)</f>
        <v>6.9187123450663393</v>
      </c>
      <c r="BC11">
        <f>MAX(AVERAGE(S_plus!BJ$2:BJ$102)-strike,0)</f>
        <v>7.5051729285425779</v>
      </c>
      <c r="BD11">
        <f>MAX(AVERAGE(S_plus!BK$2:BK$102)-strike,0)</f>
        <v>0</v>
      </c>
      <c r="BE11">
        <f>MAX(AVERAGE(S_plus!BL$2:BL$102)-strike,0)</f>
        <v>0</v>
      </c>
      <c r="BF11">
        <f>MAX(AVERAGE(S_plus!BM$2:BM$102)-strike,0)</f>
        <v>5.1071963660356232</v>
      </c>
      <c r="BG11">
        <f>MAX(AVERAGE(S_plus!BN$2:BN$102)-strike,0)</f>
        <v>6.9508773879277186</v>
      </c>
      <c r="BH11">
        <f>MAX(AVERAGE(S_plus!BO$2:BO$102)-strike,0)</f>
        <v>0</v>
      </c>
      <c r="BI11">
        <f>MAX(AVERAGE(S_plus!BP$2:BP$102)-strike,0)</f>
        <v>0</v>
      </c>
      <c r="BJ11">
        <f>MAX(AVERAGE(S_plus!BQ$2:BQ$102)-strike,0)</f>
        <v>0</v>
      </c>
      <c r="BK11">
        <f>MAX(AVERAGE(S_plus!BR$2:BR$102)-strike,0)</f>
        <v>9.8847322871425547</v>
      </c>
      <c r="BL11">
        <f>MAX(AVERAGE(S_plus!BS$2:BS$102)-strike,0)</f>
        <v>10.869300663973277</v>
      </c>
      <c r="BM11">
        <f>MAX(AVERAGE(S_plus!BT$2:BT$102)-strike,0)</f>
        <v>15.03462851432279</v>
      </c>
      <c r="BN11">
        <f>MAX(AVERAGE(S_plus!BU$2:BU$102)-strike,0)</f>
        <v>0</v>
      </c>
      <c r="BO11">
        <f>MAX(AVERAGE(S_plus!BV$2:BV$102)-strike,0)</f>
        <v>0</v>
      </c>
      <c r="BP11">
        <f>MAX(AVERAGE(S_plus!BW$2:BW$102)-strike,0)</f>
        <v>2.1002887094197433</v>
      </c>
      <c r="BQ11">
        <f>MAX(AVERAGE(S_plus!BX$2:BX$102)-strike,0)</f>
        <v>0</v>
      </c>
      <c r="BR11">
        <f>MAX(AVERAGE(S_plus!BY$2:BY$102)-strike,0)</f>
        <v>0</v>
      </c>
      <c r="BS11">
        <f>MAX(AVERAGE(S_plus!BZ$2:BZ$102)-strike,0)</f>
        <v>11.932562735051448</v>
      </c>
      <c r="BT11">
        <f>MAX(AVERAGE(S_plus!CA$2:CA$102)-strike,0)</f>
        <v>0</v>
      </c>
      <c r="BU11">
        <f>MAX(AVERAGE(S_plus!CB$2:CB$102)-strike,0)</f>
        <v>0</v>
      </c>
      <c r="BV11">
        <f>MAX(AVERAGE(S_plus!CC$2:CC$102)-strike,0)</f>
        <v>0</v>
      </c>
      <c r="BW11">
        <f>MAX(AVERAGE(S_plus!CD$2:CD$102)-strike,0)</f>
        <v>0.53846172499800105</v>
      </c>
      <c r="BX11">
        <f>MAX(AVERAGE(S_plus!CE$2:CE$102)-strike,0)</f>
        <v>0</v>
      </c>
      <c r="BY11">
        <f>MAX(AVERAGE(S_plus!CF$2:CF$102)-strike,0)</f>
        <v>0</v>
      </c>
      <c r="BZ11">
        <f>MAX(AVERAGE(S_plus!CG$2:CG$102)-strike,0)</f>
        <v>0</v>
      </c>
      <c r="CA11">
        <f>MAX(AVERAGE(S_plus!CH$2:CH$102)-strike,0)</f>
        <v>18.100649784089057</v>
      </c>
      <c r="CB11">
        <f>MAX(AVERAGE(S_plus!CI$2:CI$102)-strike,0)</f>
        <v>0</v>
      </c>
      <c r="CC11">
        <f>MAX(AVERAGE(S_plus!CJ$2:CJ$102)-strike,0)</f>
        <v>0.1772843395524859</v>
      </c>
      <c r="CD11">
        <f>MAX(AVERAGE(S_plus!CK$2:CK$102)-strike,0)</f>
        <v>0</v>
      </c>
      <c r="CE11">
        <f>MAX(AVERAGE(S_plus!CL$2:CL$102)-strike,0)</f>
        <v>0</v>
      </c>
      <c r="CF11">
        <f>MAX(AVERAGE(S_plus!CM$2:CM$102)-strike,0)</f>
        <v>0</v>
      </c>
      <c r="CG11">
        <f>MAX(AVERAGE(S_plus!CN$2:CN$102)-strike,0)</f>
        <v>0</v>
      </c>
      <c r="CH11">
        <f>MAX(AVERAGE(S_plus!CO$2:CO$102)-strike,0)</f>
        <v>31.673313178475212</v>
      </c>
      <c r="CI11">
        <f>MAX(AVERAGE(S_plus!CP$2:CP$102)-strike,0)</f>
        <v>0</v>
      </c>
      <c r="CJ11">
        <f>MAX(AVERAGE(S_plus!CQ$2:CQ$102)-strike,0)</f>
        <v>0</v>
      </c>
      <c r="CK11">
        <f>MAX(AVERAGE(S_plus!CR$2:CR$102)-strike,0)</f>
        <v>1.5148231896198041</v>
      </c>
      <c r="CL11">
        <f>MAX(AVERAGE(S_plus!CS$2:CS$102)-strike,0)</f>
        <v>0.57758764005450303</v>
      </c>
      <c r="CM11">
        <f>MAX(AVERAGE(S_plus!CT$2:CT$102)-strike,0)</f>
        <v>16.685232499382181</v>
      </c>
      <c r="CN11">
        <f>MAX(AVERAGE(S_plus!CU$2:CU$102)-strike,0)</f>
        <v>7.413843117759356</v>
      </c>
      <c r="CO11">
        <f>MAX(AVERAGE(S_plus!CV$2:CV$102)-strike,0)</f>
        <v>0</v>
      </c>
      <c r="CP11">
        <f>MAX(AVERAGE(S_plus!CW$2:CW$102)-strike,0)</f>
        <v>7.368920332407896</v>
      </c>
      <c r="CQ11">
        <f>MAX(AVERAGE(S_plus!CX$2:CX$102)-strike,0)</f>
        <v>18.780972396679232</v>
      </c>
      <c r="CR11">
        <f>MAX(AVERAGE(S_plus!CY$2:CY$102)-strike,0)</f>
        <v>9.4875272457000079</v>
      </c>
      <c r="CS11">
        <f>MAX(AVERAGE(S_plus!CZ$2:CZ$102)-strike,0)</f>
        <v>8.5230104364772075</v>
      </c>
      <c r="CT11">
        <f>MAX(AVERAGE(S_plus!DA$2:DA$102)-strike,0)</f>
        <v>14.02619007689502</v>
      </c>
      <c r="CU11">
        <f>MAX(AVERAGE(S_plus!DB$2:DB$102)-strike,0)</f>
        <v>0</v>
      </c>
      <c r="CV11">
        <f>MAX(AVERAGE(S_plus!DC$2:DC$102)-strike,0)</f>
        <v>4.1089106076703104</v>
      </c>
      <c r="CW11">
        <f>MAX(AVERAGE(S_plus!DD$2:DD$102)-strike,0)</f>
        <v>0</v>
      </c>
      <c r="CX11">
        <f>MAX(AVERAGE(S_plus!DE$2:DE$102)-strike,0)</f>
        <v>3.5767627711504701</v>
      </c>
      <c r="CY11">
        <f>MAX(AVERAGE(S_plus!DF$2:DF$102)-strike,0)</f>
        <v>0</v>
      </c>
      <c r="CZ11">
        <f>MAX(AVERAGE(S_plus!DG$2:DG$102)-strike,0)</f>
        <v>0</v>
      </c>
      <c r="DA11">
        <f>MAX(AVERAGE(S_plus!DH$2:DH$102)-strike,0)</f>
        <v>0</v>
      </c>
    </row>
    <row r="12" spans="1:105" x14ac:dyDescent="0.25">
      <c r="A12" t="s">
        <v>315</v>
      </c>
      <c r="B12" t="s">
        <v>316</v>
      </c>
      <c r="C12" s="4" t="s">
        <v>311</v>
      </c>
      <c r="D12">
        <f>discfac*AVERAGE(F12:DA12)</f>
        <v>6.1784041025061196</v>
      </c>
      <c r="F12">
        <f>MAX(AVERAGE(S_minus!F$2:F$102)-strike,0)</f>
        <v>18.138933171168347</v>
      </c>
      <c r="G12">
        <f>MAX(AVERAGE(S_minus!G$2:G$102)-strike,0)</f>
        <v>5.9242212451980691</v>
      </c>
      <c r="H12">
        <f>MAX(AVERAGE(S_minus!H$2:H$102)-strike,0)</f>
        <v>0</v>
      </c>
      <c r="I12">
        <f>MAX(AVERAGE(S_minus!I$2:I$102)-strike,0)</f>
        <v>5.5396916627158532</v>
      </c>
      <c r="J12">
        <f>MAX(AVERAGE(S_minus!J$2:J$102)-strike,0)</f>
        <v>33.412510980072256</v>
      </c>
      <c r="K12">
        <f>MAX(AVERAGE(S_minus!K$2:K$102)-strike,0)</f>
        <v>8.3699441746989862</v>
      </c>
      <c r="L12">
        <f>MAX(AVERAGE(S_minus!L$2:L$102)-strike,0)</f>
        <v>0</v>
      </c>
      <c r="M12">
        <f>MAX(AVERAGE(S_minus!M$2:M$102)-strike,0)</f>
        <v>22.583633511664303</v>
      </c>
      <c r="N12">
        <f>MAX(AVERAGE(S_minus!N$2:N$102)-strike,0)</f>
        <v>0</v>
      </c>
      <c r="O12">
        <f>MAX(AVERAGE(S_minus!O$2:O$102)-strike,0)</f>
        <v>0</v>
      </c>
      <c r="P12">
        <f>MAX(AVERAGE(S_minus!P$2:P$102)-strike,0)</f>
        <v>0</v>
      </c>
      <c r="Q12">
        <f>MAX(AVERAGE(S_minus!Q$2:Q$102)-strike,0)</f>
        <v>0</v>
      </c>
      <c r="R12">
        <f>MAX(AVERAGE(S_minus!R$2:R$102)-strike,0)</f>
        <v>11.527683700236594</v>
      </c>
      <c r="S12">
        <f>MAX(AVERAGE(S_minus!S$2:S$102)-strike,0)</f>
        <v>0</v>
      </c>
      <c r="T12">
        <f>MAX(AVERAGE(S_minus!T$2:T$102)-strike,0)</f>
        <v>0</v>
      </c>
      <c r="U12">
        <f>MAX(AVERAGE(S_minus!U$2:U$102)-strike,0)</f>
        <v>1.9090587943604334</v>
      </c>
      <c r="V12">
        <f>MAX(AVERAGE(S_minus!V$2:V$102)-strike,0)</f>
        <v>18.121514163811881</v>
      </c>
      <c r="W12">
        <f>MAX(AVERAGE(S_minus!W$2:W$102)-strike,0)</f>
        <v>6.2076725403406101</v>
      </c>
      <c r="X12">
        <f>MAX(AVERAGE(S_minus!X$2:X$102)-strike,0)</f>
        <v>0</v>
      </c>
      <c r="Y12">
        <f>MAX(AVERAGE(S_minus!Y$2:Y$102)-strike,0)</f>
        <v>0</v>
      </c>
      <c r="Z12">
        <f>MAX(AVERAGE(S_minus!Z$2:Z$102)-strike,0)</f>
        <v>0</v>
      </c>
      <c r="AA12">
        <f>MAX(AVERAGE(S_minus!AA$2:AA$102)-strike,0)</f>
        <v>0</v>
      </c>
      <c r="AB12">
        <f>MAX(AVERAGE(S_minus!AB$2:AB$102)-strike,0)</f>
        <v>19.657856278197045</v>
      </c>
      <c r="AC12">
        <f>MAX(AVERAGE(S_minus!AC$2:AC$102)-strike,0)</f>
        <v>13.087488350184174</v>
      </c>
      <c r="AD12">
        <f>MAX(AVERAGE(S_minus!AD$2:AD$102)-strike,0)</f>
        <v>0</v>
      </c>
      <c r="AE12">
        <f>MAX(AVERAGE(S_minus!AE$2:AE$102)-strike,0)</f>
        <v>0</v>
      </c>
      <c r="AF12">
        <f>MAX(AVERAGE(S_minus!AF$2:AF$102)-strike,0)</f>
        <v>6.736273253189168</v>
      </c>
      <c r="AG12">
        <f>MAX(AVERAGE(S_minus!AG$2:AG$102)-strike,0)</f>
        <v>0</v>
      </c>
      <c r="AH12">
        <f>MAX(AVERAGE(S_minus!AH$2:AH$102)-strike,0)</f>
        <v>2.7099059187811747</v>
      </c>
      <c r="AI12">
        <f>MAX(AVERAGE(S_minus!AI$2:AI$102)-strike,0)</f>
        <v>12.476297636738579</v>
      </c>
      <c r="AJ12">
        <f>MAX(AVERAGE(S_minus!AJ$2:AJ$102)-strike,0)</f>
        <v>0</v>
      </c>
      <c r="AK12">
        <f>MAX(AVERAGE(S_minus!AK$2:AK$102)-strike,0)</f>
        <v>3.58177051904552</v>
      </c>
      <c r="AL12">
        <f>MAX(AVERAGE(S_minus!AL$2:AL$102)-strike,0)</f>
        <v>0</v>
      </c>
      <c r="AM12">
        <f>MAX(AVERAGE(S_minus!AM$2:AM$102)-strike,0)</f>
        <v>10.017067988434675</v>
      </c>
      <c r="AN12">
        <f>MAX(AVERAGE(S_minus!AN$2:AN$102)-strike,0)</f>
        <v>0</v>
      </c>
      <c r="AO12">
        <f>MAX(AVERAGE(S_minus!AO$2:AO$102)-strike,0)</f>
        <v>0</v>
      </c>
      <c r="AP12">
        <f>MAX(AVERAGE(S_minus!AP$2:AP$102)-strike,0)</f>
        <v>0</v>
      </c>
      <c r="AQ12">
        <f>MAX(AVERAGE(S_minus!AQ$2:AQ$102)-strike,0)</f>
        <v>5.9052641916643296</v>
      </c>
      <c r="AR12">
        <f>MAX(AVERAGE(S_minus!AR$2:AR$102)-strike,0)</f>
        <v>8.0818694618009914</v>
      </c>
      <c r="AS12">
        <f>MAX(AVERAGE(S_minus!AS$2:AS$102)-strike,0)</f>
        <v>0</v>
      </c>
      <c r="AT12">
        <f>MAX(AVERAGE(S_minus!AT$2:AT$102)-strike,0)</f>
        <v>0</v>
      </c>
      <c r="AU12">
        <f>MAX(AVERAGE(S_minus!AU$2:AU$102)-strike,0)</f>
        <v>0</v>
      </c>
      <c r="AV12">
        <f>MAX(AVERAGE(S_minus!AV$2:AV$102)-strike,0)</f>
        <v>0</v>
      </c>
      <c r="AW12">
        <f>MAX(AVERAGE(S_minus!AW$2:AW$102)-strike,0)</f>
        <v>0</v>
      </c>
      <c r="AX12">
        <f>MAX(AVERAGE(S_minus!AX$2:AX$102)-strike,0)</f>
        <v>8.8658664728514935</v>
      </c>
      <c r="AY12">
        <f>MAX(AVERAGE(S_minus!AY$2:AY$102)-strike,0)</f>
        <v>17.311010321940557</v>
      </c>
      <c r="AZ12">
        <f>MAX(AVERAGE(S_minus!AZ$2:AZ$102)-strike,0)</f>
        <v>13.492287602732674</v>
      </c>
      <c r="BA12">
        <f>MAX(AVERAGE(S_minus!BA$2:BA$102)-strike,0)</f>
        <v>0</v>
      </c>
      <c r="BB12">
        <f>MAX(AVERAGE(S_minus!BB$2:BB$102)-strike,0)</f>
        <v>0</v>
      </c>
      <c r="BC12">
        <f>MAX(AVERAGE(S_minus!BC$2:BC$102)-strike,0)</f>
        <v>0</v>
      </c>
      <c r="BD12">
        <f>MAX(AVERAGE(S_minus!BD$2:BD$102)-strike,0)</f>
        <v>3.457992317075238</v>
      </c>
      <c r="BE12">
        <f>MAX(AVERAGE(S_minus!BE$2:BE$102)-strike,0)</f>
        <v>20.946206135307989</v>
      </c>
      <c r="BF12">
        <f>MAX(AVERAGE(S_minus!BF$2:BF$102)-strike,0)</f>
        <v>0</v>
      </c>
      <c r="BG12">
        <f>MAX(AVERAGE(S_minus!BG$2:BG$102)-strike,0)</f>
        <v>0</v>
      </c>
      <c r="BH12">
        <f>MAX(AVERAGE(S_minus!BH$2:BH$102)-strike,0)</f>
        <v>18.696915767301988</v>
      </c>
      <c r="BI12">
        <f>MAX(AVERAGE(S_minus!BI$2:BI$102)-strike,0)</f>
        <v>22.484684781588143</v>
      </c>
      <c r="BJ12">
        <f>MAX(AVERAGE(S_minus!BJ$2:BJ$102)-strike,0)</f>
        <v>11.293010986003978</v>
      </c>
      <c r="BK12">
        <f>MAX(AVERAGE(S_minus!BK$2:BK$102)-strike,0)</f>
        <v>0</v>
      </c>
      <c r="BL12">
        <f>MAX(AVERAGE(S_minus!BL$2:BL$102)-strike,0)</f>
        <v>0</v>
      </c>
      <c r="BM12">
        <f>MAX(AVERAGE(S_minus!BM$2:BM$102)-strike,0)</f>
        <v>0</v>
      </c>
      <c r="BN12">
        <f>MAX(AVERAGE(S_minus!BN$2:BN$102)-strike,0)</f>
        <v>5.9392927640980275</v>
      </c>
      <c r="BO12">
        <f>MAX(AVERAGE(S_minus!BO$2:BO$102)-strike,0)</f>
        <v>11.356309621536596</v>
      </c>
      <c r="BP12">
        <f>MAX(AVERAGE(S_minus!BP$2:BP$102)-strike,0)</f>
        <v>2.2449260330237024</v>
      </c>
      <c r="BQ12">
        <f>MAX(AVERAGE(S_minus!BQ$2:BQ$102)-strike,0)</f>
        <v>30.803833001676253</v>
      </c>
      <c r="BR12">
        <f>MAX(AVERAGE(S_minus!BR$2:BR$102)-strike,0)</f>
        <v>9.3415654453752666</v>
      </c>
      <c r="BS12">
        <f>MAX(AVERAGE(S_minus!BS$2:BS$102)-strike,0)</f>
        <v>0</v>
      </c>
      <c r="BT12">
        <f>MAX(AVERAGE(S_minus!BT$2:BT$102)-strike,0)</f>
        <v>10.688496270062345</v>
      </c>
      <c r="BU12">
        <f>MAX(AVERAGE(S_minus!BU$2:BU$102)-strike,0)</f>
        <v>5.4762090232395764</v>
      </c>
      <c r="BV12">
        <f>MAX(AVERAGE(S_minus!BV$2:BV$102)-strike,0)</f>
        <v>22.828068884161397</v>
      </c>
      <c r="BW12">
        <f>MAX(AVERAGE(S_minus!BW$2:BW$102)-strike,0)</f>
        <v>2.6913315204811568</v>
      </c>
      <c r="BX12">
        <f>MAX(AVERAGE(S_minus!BX$2:BX$102)-strike,0)</f>
        <v>14.227237797468291</v>
      </c>
      <c r="BY12">
        <f>MAX(AVERAGE(S_minus!BY$2:BY$102)-strike,0)</f>
        <v>21.650485706049551</v>
      </c>
      <c r="BZ12">
        <f>MAX(AVERAGE(S_minus!BZ$2:BZ$102)-strike,0)</f>
        <v>5.3212496161851419</v>
      </c>
      <c r="CA12">
        <f>MAX(AVERAGE(S_minus!CA$2:CA$102)-strike,0)</f>
        <v>0</v>
      </c>
      <c r="CB12">
        <f>MAX(AVERAGE(S_minus!CB$2:CB$102)-strike,0)</f>
        <v>9.1245094035079291</v>
      </c>
      <c r="CC12">
        <f>MAX(AVERAGE(S_minus!CC$2:CC$102)-strike,0)</f>
        <v>3.1654751662089211</v>
      </c>
      <c r="CD12">
        <f>MAX(AVERAGE(S_minus!CD$2:CD$102)-strike,0)</f>
        <v>10.441996467900921</v>
      </c>
      <c r="CE12">
        <f>MAX(AVERAGE(S_minus!CE$2:CE$102)-strike,0)</f>
        <v>18.973733443130641</v>
      </c>
      <c r="CF12">
        <f>MAX(AVERAGE(S_minus!CF$2:CF$102)-strike,0)</f>
        <v>10.882123182099036</v>
      </c>
      <c r="CG12">
        <f>MAX(AVERAGE(S_minus!CG$2:CG$102)-strike,0)</f>
        <v>3.4717909623395826</v>
      </c>
      <c r="CH12">
        <f>MAX(AVERAGE(S_minus!CH$2:CH$102)-strike,0)</f>
        <v>0</v>
      </c>
      <c r="CI12">
        <f>MAX(AVERAGE(S_minus!CI$2:CI$102)-strike,0)</f>
        <v>13.399335728279169</v>
      </c>
      <c r="CJ12">
        <f>MAX(AVERAGE(S_minus!CJ$2:CJ$102)-strike,0)</f>
        <v>7.3341453324930654</v>
      </c>
      <c r="CK12">
        <f>MAX(AVERAGE(S_minus!CK$2:CK$102)-strike,0)</f>
        <v>1.704358532499981</v>
      </c>
      <c r="CL12">
        <f>MAX(AVERAGE(S_minus!CL$2:CL$102)-strike,0)</f>
        <v>3.0007484880198234</v>
      </c>
      <c r="CM12">
        <f>MAX(AVERAGE(S_minus!CM$2:CM$102)-strike,0)</f>
        <v>0</v>
      </c>
      <c r="CN12">
        <f>MAX(AVERAGE(S_minus!CN$2:CN$102)-strike,0)</f>
        <v>0</v>
      </c>
      <c r="CO12">
        <f>MAX(AVERAGE(S_minus!CO$2:CO$102)-strike,0)</f>
        <v>16.24658882500394</v>
      </c>
      <c r="CP12">
        <f>MAX(AVERAGE(S_minus!CP$2:CP$102)-strike,0)</f>
        <v>0</v>
      </c>
      <c r="CQ12">
        <f>MAX(AVERAGE(S_minus!CQ$2:CQ$102)-strike,0)</f>
        <v>0</v>
      </c>
      <c r="CR12">
        <f>MAX(AVERAGE(S_minus!CR$2:CR$102)-strike,0)</f>
        <v>0</v>
      </c>
      <c r="CS12">
        <f>MAX(AVERAGE(S_minus!CS$2:CS$102)-strike,0)</f>
        <v>0</v>
      </c>
      <c r="CT12">
        <f>MAX(AVERAGE(S_minus!CT$2:CT$102)-strike,0)</f>
        <v>0</v>
      </c>
      <c r="CU12">
        <f>MAX(AVERAGE(S_minus!CU$2:CU$102)-strike,0)</f>
        <v>24.654424154285167</v>
      </c>
      <c r="CV12">
        <f>MAX(AVERAGE(S_minus!CV$2:CV$102)-strike,0)</f>
        <v>0</v>
      </c>
      <c r="CW12">
        <f>MAX(AVERAGE(S_minus!CW$2:CW$102)-strike,0)</f>
        <v>8.168475587217813</v>
      </c>
      <c r="CX12">
        <f>MAX(AVERAGE(S_minus!CX$2:CX$102)-strike,0)</f>
        <v>0</v>
      </c>
      <c r="CY12">
        <f>MAX(AVERAGE(S_minus!CY$2:CY$102)-strike,0)</f>
        <v>20.664179784530702</v>
      </c>
      <c r="CZ12">
        <f>MAX(AVERAGE(S_minus!CZ$2:CZ$102)-strike,0)</f>
        <v>16.712474015065382</v>
      </c>
      <c r="DA12">
        <f>MAX(AVERAGE(S_minus!DA$2:DA$102)-strike,0)</f>
        <v>8.4677687865287794</v>
      </c>
    </row>
    <row r="13" spans="1:105" x14ac:dyDescent="0.25">
      <c r="A13" t="s">
        <v>315</v>
      </c>
      <c r="B13" t="s">
        <v>316</v>
      </c>
      <c r="C13" s="4" t="s">
        <v>312</v>
      </c>
      <c r="D13">
        <f>(D11+D12)/2</f>
        <v>5.5465914357485104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0:DA111"/>
  <sheetViews>
    <sheetView topLeftCell="A4" workbookViewId="0">
      <selection activeCell="F13" sqref="F13"/>
    </sheetView>
  </sheetViews>
  <sheetFormatPr defaultRowHeight="15" x14ac:dyDescent="0.25"/>
  <cols>
    <col min="2" max="2" width="11.140625" bestFit="1" customWidth="1"/>
  </cols>
  <sheetData>
    <row r="10" spans="1:105" x14ac:dyDescent="0.25">
      <c r="A10" s="2" t="s">
        <v>313</v>
      </c>
      <c r="B10" s="2" t="s">
        <v>314</v>
      </c>
      <c r="C10" s="2" t="s">
        <v>108</v>
      </c>
      <c r="D10" s="2" t="s">
        <v>109</v>
      </c>
      <c r="E10" s="2" t="s">
        <v>317</v>
      </c>
      <c r="F10" s="2" t="s">
        <v>110</v>
      </c>
      <c r="G10" s="2" t="s">
        <v>111</v>
      </c>
      <c r="H10" s="2" t="s">
        <v>112</v>
      </c>
      <c r="I10" s="2" t="s">
        <v>113</v>
      </c>
      <c r="J10" s="2" t="s">
        <v>114</v>
      </c>
      <c r="K10" s="2" t="s">
        <v>115</v>
      </c>
      <c r="L10" s="2" t="s">
        <v>116</v>
      </c>
      <c r="M10" s="2" t="s">
        <v>117</v>
      </c>
      <c r="N10" s="2" t="s">
        <v>118</v>
      </c>
      <c r="O10" s="2" t="s">
        <v>119</v>
      </c>
      <c r="P10" s="2" t="s">
        <v>120</v>
      </c>
      <c r="Q10" s="2" t="s">
        <v>121</v>
      </c>
      <c r="R10" s="2" t="s">
        <v>122</v>
      </c>
      <c r="S10" s="2" t="s">
        <v>123</v>
      </c>
      <c r="T10" s="2" t="s">
        <v>124</v>
      </c>
      <c r="U10" s="2" t="s">
        <v>125</v>
      </c>
      <c r="V10" s="2" t="s">
        <v>126</v>
      </c>
      <c r="W10" s="2" t="s">
        <v>127</v>
      </c>
      <c r="X10" s="2" t="s">
        <v>128</v>
      </c>
      <c r="Y10" s="2" t="s">
        <v>129</v>
      </c>
      <c r="Z10" s="2" t="s">
        <v>130</v>
      </c>
      <c r="AA10" s="2" t="s">
        <v>131</v>
      </c>
      <c r="AB10" s="2" t="s">
        <v>132</v>
      </c>
      <c r="AC10" s="2" t="s">
        <v>133</v>
      </c>
      <c r="AD10" s="2" t="s">
        <v>134</v>
      </c>
      <c r="AE10" s="2" t="s">
        <v>135</v>
      </c>
      <c r="AF10" s="2" t="s">
        <v>136</v>
      </c>
      <c r="AG10" s="2" t="s">
        <v>137</v>
      </c>
      <c r="AH10" s="2" t="s">
        <v>138</v>
      </c>
      <c r="AI10" s="2" t="s">
        <v>139</v>
      </c>
      <c r="AJ10" s="2" t="s">
        <v>140</v>
      </c>
      <c r="AK10" s="2" t="s">
        <v>141</v>
      </c>
      <c r="AL10" s="2" t="s">
        <v>142</v>
      </c>
      <c r="AM10" s="2" t="s">
        <v>143</v>
      </c>
      <c r="AN10" s="2" t="s">
        <v>144</v>
      </c>
      <c r="AO10" s="2" t="s">
        <v>145</v>
      </c>
      <c r="AP10" s="2" t="s">
        <v>146</v>
      </c>
      <c r="AQ10" s="2" t="s">
        <v>147</v>
      </c>
      <c r="AR10" s="2" t="s">
        <v>148</v>
      </c>
      <c r="AS10" s="2" t="s">
        <v>149</v>
      </c>
      <c r="AT10" s="2" t="s">
        <v>150</v>
      </c>
      <c r="AU10" s="2" t="s">
        <v>151</v>
      </c>
      <c r="AV10" s="2" t="s">
        <v>152</v>
      </c>
      <c r="AW10" s="2" t="s">
        <v>153</v>
      </c>
      <c r="AX10" s="2" t="s">
        <v>154</v>
      </c>
      <c r="AY10" s="2" t="s">
        <v>155</v>
      </c>
      <c r="AZ10" s="2" t="s">
        <v>156</v>
      </c>
      <c r="BA10" s="2" t="s">
        <v>157</v>
      </c>
      <c r="BB10" s="2" t="s">
        <v>158</v>
      </c>
      <c r="BC10" s="2" t="s">
        <v>159</v>
      </c>
      <c r="BD10" s="2" t="s">
        <v>160</v>
      </c>
      <c r="BE10" s="2" t="s">
        <v>161</v>
      </c>
      <c r="BF10" s="2" t="s">
        <v>162</v>
      </c>
      <c r="BG10" s="2" t="s">
        <v>163</v>
      </c>
      <c r="BH10" s="2" t="s">
        <v>164</v>
      </c>
      <c r="BI10" s="2" t="s">
        <v>165</v>
      </c>
      <c r="BJ10" s="2" t="s">
        <v>166</v>
      </c>
      <c r="BK10" s="2" t="s">
        <v>167</v>
      </c>
      <c r="BL10" s="2" t="s">
        <v>168</v>
      </c>
      <c r="BM10" s="2" t="s">
        <v>169</v>
      </c>
      <c r="BN10" s="2" t="s">
        <v>170</v>
      </c>
      <c r="BO10" s="2" t="s">
        <v>171</v>
      </c>
      <c r="BP10" s="2" t="s">
        <v>172</v>
      </c>
      <c r="BQ10" s="2" t="s">
        <v>173</v>
      </c>
      <c r="BR10" s="2" t="s">
        <v>174</v>
      </c>
      <c r="BS10" s="2" t="s">
        <v>175</v>
      </c>
      <c r="BT10" s="2" t="s">
        <v>176</v>
      </c>
      <c r="BU10" s="2" t="s">
        <v>177</v>
      </c>
      <c r="BV10" s="2" t="s">
        <v>178</v>
      </c>
      <c r="BW10" s="2" t="s">
        <v>179</v>
      </c>
      <c r="BX10" s="2" t="s">
        <v>180</v>
      </c>
      <c r="BY10" s="2" t="s">
        <v>181</v>
      </c>
      <c r="BZ10" s="2" t="s">
        <v>182</v>
      </c>
      <c r="CA10" s="2" t="s">
        <v>183</v>
      </c>
      <c r="CB10" s="2" t="s">
        <v>184</v>
      </c>
      <c r="CC10" s="2" t="s">
        <v>185</v>
      </c>
      <c r="CD10" s="2" t="s">
        <v>186</v>
      </c>
      <c r="CE10" s="2" t="s">
        <v>187</v>
      </c>
      <c r="CF10" s="2" t="s">
        <v>188</v>
      </c>
      <c r="CG10" s="2" t="s">
        <v>189</v>
      </c>
      <c r="CH10" s="2" t="s">
        <v>190</v>
      </c>
      <c r="CI10" s="2" t="s">
        <v>191</v>
      </c>
      <c r="CJ10" s="2" t="s">
        <v>192</v>
      </c>
      <c r="CK10" s="2" t="s">
        <v>193</v>
      </c>
      <c r="CL10" s="2" t="s">
        <v>194</v>
      </c>
      <c r="CM10" s="2" t="s">
        <v>195</v>
      </c>
      <c r="CN10" s="2" t="s">
        <v>196</v>
      </c>
      <c r="CO10" s="2" t="s">
        <v>197</v>
      </c>
      <c r="CP10" s="2" t="s">
        <v>198</v>
      </c>
      <c r="CQ10" s="2" t="s">
        <v>199</v>
      </c>
      <c r="CR10" s="2" t="s">
        <v>200</v>
      </c>
      <c r="CS10" s="2" t="s">
        <v>201</v>
      </c>
      <c r="CT10" s="2" t="s">
        <v>202</v>
      </c>
      <c r="CU10" s="2" t="s">
        <v>203</v>
      </c>
      <c r="CV10" s="2" t="s">
        <v>204</v>
      </c>
      <c r="CW10" s="2" t="s">
        <v>205</v>
      </c>
      <c r="CX10" s="2" t="s">
        <v>206</v>
      </c>
      <c r="CY10" s="2" t="s">
        <v>207</v>
      </c>
      <c r="CZ10" s="2" t="s">
        <v>208</v>
      </c>
      <c r="DA10" s="2" t="s">
        <v>209</v>
      </c>
    </row>
    <row r="11" spans="1:105" x14ac:dyDescent="0.25">
      <c r="A11" t="s">
        <v>315</v>
      </c>
      <c r="B11" t="s">
        <v>316</v>
      </c>
      <c r="C11" t="s">
        <v>310</v>
      </c>
      <c r="D11">
        <f>Asian!discfac*AVERAGE(F11:DA11)</f>
        <v>4.8601332879619914</v>
      </c>
      <c r="E11">
        <f>S_plus!L2</f>
        <v>0</v>
      </c>
      <c r="F11">
        <f>MAX(AVERAGE(S_plus!$M$2:$M2)-Asian!strike,0)</f>
        <v>0</v>
      </c>
      <c r="G11">
        <f>MAX(AVERAGE(S_plus!$N$2:$N2)-Asian!strike,0)</f>
        <v>0</v>
      </c>
      <c r="H11">
        <f>MAX(AVERAGE(S_plus!$O$2:$O2)-Asian!strike,0)</f>
        <v>0</v>
      </c>
      <c r="I11">
        <f>MAX(AVERAGE(S_plus!$P$2:$P2)-Asian!strike,0)</f>
        <v>0</v>
      </c>
      <c r="J11">
        <f>MAX(AVERAGE(S_plus!$Q$2:$Q2)-Asian!strike,0)</f>
        <v>0</v>
      </c>
      <c r="K11">
        <f>MAX(AVERAGE(S_plus!R$2:R$102)-Asian!strike,0)</f>
        <v>0</v>
      </c>
      <c r="L11">
        <f>MAX(AVERAGE(S_plus!S$2:S$102)-Asian!strike,0)</f>
        <v>9.4661495792920647</v>
      </c>
      <c r="M11">
        <f>MAX(AVERAGE(S_plus!T$2:T$102)-Asian!strike,0)</f>
        <v>0</v>
      </c>
      <c r="N11">
        <f>MAX(AVERAGE(S_plus!U$2:U$102)-Asian!strike,0)</f>
        <v>12.808194240663383</v>
      </c>
      <c r="O11">
        <f>MAX(AVERAGE(S_plus!V$2:V$102)-Asian!strike,0)</f>
        <v>13.830639308603892</v>
      </c>
      <c r="P11">
        <f>MAX(AVERAGE(S_plus!W$2:W$102)-Asian!strike,0)</f>
        <v>4.4286354372445658</v>
      </c>
      <c r="Q11">
        <f>MAX(AVERAGE(S_plus!X$2:X$102)-Asian!strike,0)</f>
        <v>19.072724275811922</v>
      </c>
      <c r="R11">
        <f>MAX(AVERAGE(S_plus!Y$2:Y$102)-Asian!strike,0)</f>
        <v>0</v>
      </c>
      <c r="S11">
        <f>MAX(AVERAGE(S_plus!Z$2:Z$102)-Asian!strike,0)</f>
        <v>5.5087029557009828</v>
      </c>
      <c r="T11">
        <f>MAX(AVERAGE(S_plus!AA$2:AA$102)-Asian!strike,0)</f>
        <v>3.9584064339415335</v>
      </c>
      <c r="U11">
        <f>MAX(AVERAGE(S_plus!AB$2:AB$102)-Asian!strike,0)</f>
        <v>1.7529843177346009</v>
      </c>
      <c r="V11">
        <f>MAX(AVERAGE(S_plus!AC$2:AC$102)-Asian!strike,0)</f>
        <v>0</v>
      </c>
      <c r="W11">
        <f>MAX(AVERAGE(S_plus!AD$2:AD$102)-Asian!strike,0)</f>
        <v>0</v>
      </c>
      <c r="X11">
        <f>MAX(AVERAGE(S_plus!AE$2:AE$102)-Asian!strike,0)</f>
        <v>25.892813451272275</v>
      </c>
      <c r="Y11">
        <f>MAX(AVERAGE(S_plus!AF$2:AF$102)-Asian!strike,0)</f>
        <v>15.965684652565429</v>
      </c>
      <c r="Z11">
        <f>MAX(AVERAGE(S_plus!AG$2:AG$102)-Asian!strike,0)</f>
        <v>9.4127114050613869</v>
      </c>
      <c r="AA11">
        <f>MAX(AVERAGE(S_plus!AH$2:AH$102)-Asian!strike,0)</f>
        <v>9.448319902482254</v>
      </c>
      <c r="AB11">
        <f>MAX(AVERAGE(S_plus!AI$2:AI$102)-Asian!strike,0)</f>
        <v>0</v>
      </c>
      <c r="AC11">
        <f>MAX(AVERAGE(S_plus!AJ$2:AJ$102)-Asian!strike,0)</f>
        <v>0</v>
      </c>
      <c r="AD11">
        <f>MAX(AVERAGE(S_plus!AK$2:AK$102)-Asian!strike,0)</f>
        <v>7.6413870233346728</v>
      </c>
      <c r="AE11">
        <f>MAX(AVERAGE(S_plus!AL$2:AL$102)-Asian!strike,0)</f>
        <v>9.6676394211712875</v>
      </c>
      <c r="AF11">
        <f>MAX(AVERAGE(S_plus!AM$2:AM$102)-Asian!strike,0)</f>
        <v>0</v>
      </c>
      <c r="AG11">
        <f>MAX(AVERAGE(S_plus!AN$2:AN$102)-Asian!strike,0)</f>
        <v>8.6018389590851427</v>
      </c>
      <c r="AH11">
        <f>MAX(AVERAGE(S_plus!AO$2:AO$102)-Asian!strike,0)</f>
        <v>0.82326849910295152</v>
      </c>
      <c r="AI11">
        <f>MAX(AVERAGE(S_plus!AP$2:AP$102)-Asian!strike,0)</f>
        <v>0</v>
      </c>
      <c r="AJ11">
        <f>MAX(AVERAGE(S_plus!AQ$2:AQ$102)-Asian!strike,0)</f>
        <v>8.0345739544415835</v>
      </c>
      <c r="AK11">
        <f>MAX(AVERAGE(S_plus!AR$2:AR$102)-Asian!strike,0)</f>
        <v>0</v>
      </c>
      <c r="AL11">
        <f>MAX(AVERAGE(S_plus!AS$2:AS$102)-Asian!strike,0)</f>
        <v>20.944695519953484</v>
      </c>
      <c r="AM11">
        <f>MAX(AVERAGE(S_plus!AT$2:AT$102)-Asian!strike,0)</f>
        <v>0</v>
      </c>
      <c r="AN11">
        <f>MAX(AVERAGE(S_plus!AU$2:AU$102)-Asian!strike,0)</f>
        <v>7.6661231477267364</v>
      </c>
      <c r="AO11">
        <f>MAX(AVERAGE(S_plus!AV$2:AV$102)-Asian!strike,0)</f>
        <v>11.78453995565738</v>
      </c>
      <c r="AP11">
        <f>MAX(AVERAGE(S_plus!AW$2:AW$102)-Asian!strike,0)</f>
        <v>15.049619312712878</v>
      </c>
      <c r="AQ11">
        <f>MAX(AVERAGE(S_plus!AX$2:AX$102)-Asian!strike,0)</f>
        <v>0</v>
      </c>
      <c r="AR11">
        <f>MAX(AVERAGE(S_plus!AY$2:AY$102)-Asian!strike,0)</f>
        <v>0</v>
      </c>
      <c r="AS11">
        <f>MAX(AVERAGE(S_plus!AZ$2:AZ$102)-Asian!strike,0)</f>
        <v>21.083317132207895</v>
      </c>
      <c r="AT11">
        <f>MAX(AVERAGE(S_plus!BA$2:BA$102)-Asian!strike,0)</f>
        <v>16.436221864990102</v>
      </c>
      <c r="AU11">
        <f>MAX(AVERAGE(S_plus!BB$2:BB$102)-Asian!strike,0)</f>
        <v>5.7527895423247344</v>
      </c>
      <c r="AV11">
        <f>MAX(AVERAGE(S_plus!BC$2:BC$102)-Asian!strike,0)</f>
        <v>12.526322069962404</v>
      </c>
      <c r="AW11">
        <f>MAX(AVERAGE(S_plus!BD$2:BD$102)-Asian!strike,0)</f>
        <v>9.4853184569039257</v>
      </c>
      <c r="AX11">
        <f>MAX(AVERAGE(S_plus!BE$2:BE$102)-Asian!strike,0)</f>
        <v>0</v>
      </c>
      <c r="AY11">
        <f>MAX(AVERAGE(S_plus!BF$2:BF$102)-Asian!strike,0)</f>
        <v>0</v>
      </c>
      <c r="AZ11">
        <f>MAX(AVERAGE(S_plus!BG$2:BG$102)-Asian!strike,0)</f>
        <v>0</v>
      </c>
      <c r="BA11">
        <f>MAX(AVERAGE(S_plus!BH$2:BH$102)-Asian!strike,0)</f>
        <v>5.0311829185990149</v>
      </c>
      <c r="BB11">
        <f>MAX(AVERAGE(S_plus!BI$2:BI$102)-Asian!strike,0)</f>
        <v>6.9187123450663393</v>
      </c>
      <c r="BC11">
        <f>MAX(AVERAGE(S_plus!BJ$2:BJ$102)-Asian!strike,0)</f>
        <v>7.5051729285425779</v>
      </c>
      <c r="BD11">
        <f>MAX(AVERAGE(S_plus!BK$2:BK$102)-Asian!strike,0)</f>
        <v>0</v>
      </c>
      <c r="BE11">
        <f>MAX(AVERAGE(S_plus!BL$2:BL$102)-Asian!strike,0)</f>
        <v>0</v>
      </c>
      <c r="BF11">
        <f>MAX(AVERAGE(S_plus!BM$2:BM$102)-Asian!strike,0)</f>
        <v>5.1071963660356232</v>
      </c>
      <c r="BG11">
        <f>MAX(AVERAGE(S_plus!BN$2:BN$102)-Asian!strike,0)</f>
        <v>6.9508773879277186</v>
      </c>
      <c r="BH11">
        <f>MAX(AVERAGE(S_plus!BO$2:BO$102)-Asian!strike,0)</f>
        <v>0</v>
      </c>
      <c r="BI11">
        <f>MAX(AVERAGE(S_plus!BP$2:BP$102)-Asian!strike,0)</f>
        <v>0</v>
      </c>
      <c r="BJ11">
        <f>MAX(AVERAGE(S_plus!BQ$2:BQ$102)-Asian!strike,0)</f>
        <v>0</v>
      </c>
      <c r="BK11">
        <f>MAX(AVERAGE(S_plus!BR$2:BR$102)-Asian!strike,0)</f>
        <v>9.8847322871425547</v>
      </c>
      <c r="BL11">
        <f>MAX(AVERAGE(S_plus!BS$2:BS$102)-Asian!strike,0)</f>
        <v>10.869300663973277</v>
      </c>
      <c r="BM11">
        <f>MAX(AVERAGE(S_plus!BT$2:BT$102)-Asian!strike,0)</f>
        <v>15.03462851432279</v>
      </c>
      <c r="BN11">
        <f>MAX(AVERAGE(S_plus!BU$2:BU$102)-Asian!strike,0)</f>
        <v>0</v>
      </c>
      <c r="BO11">
        <f>MAX(AVERAGE(S_plus!BV$2:BV$102)-Asian!strike,0)</f>
        <v>0</v>
      </c>
      <c r="BP11">
        <f>MAX(AVERAGE(S_plus!BW$2:BW$102)-Asian!strike,0)</f>
        <v>2.1002887094197433</v>
      </c>
      <c r="BQ11">
        <f>MAX(AVERAGE(S_plus!BX$2:BX$102)-Asian!strike,0)</f>
        <v>0</v>
      </c>
      <c r="BR11">
        <f>MAX(AVERAGE(S_plus!BY$2:BY$102)-Asian!strike,0)</f>
        <v>0</v>
      </c>
      <c r="BS11">
        <f>MAX(AVERAGE(S_plus!BZ$2:BZ$102)-Asian!strike,0)</f>
        <v>11.932562735051448</v>
      </c>
      <c r="BT11">
        <f>MAX(AVERAGE(S_plus!CA$2:CA$102)-Asian!strike,0)</f>
        <v>0</v>
      </c>
      <c r="BU11">
        <f>MAX(AVERAGE(S_plus!CB$2:CB$102)-Asian!strike,0)</f>
        <v>0</v>
      </c>
      <c r="BV11">
        <f>MAX(AVERAGE(S_plus!CC$2:CC$102)-Asian!strike,0)</f>
        <v>0</v>
      </c>
      <c r="BW11">
        <f>MAX(AVERAGE(S_plus!CD$2:CD$102)-Asian!strike,0)</f>
        <v>0.53846172499800105</v>
      </c>
      <c r="BX11">
        <f>MAX(AVERAGE(S_plus!CE$2:CE$102)-Asian!strike,0)</f>
        <v>0</v>
      </c>
      <c r="BY11">
        <f>MAX(AVERAGE(S_plus!CF$2:CF$102)-Asian!strike,0)</f>
        <v>0</v>
      </c>
      <c r="BZ11">
        <f>MAX(AVERAGE(S_plus!CG$2:CG$102)-Asian!strike,0)</f>
        <v>0</v>
      </c>
      <c r="CA11">
        <f>MAX(AVERAGE(S_plus!CH$2:CH$102)-Asian!strike,0)</f>
        <v>18.100649784089057</v>
      </c>
      <c r="CB11">
        <f>MAX(AVERAGE(S_plus!CI$2:CI$102)-Asian!strike,0)</f>
        <v>0</v>
      </c>
      <c r="CC11">
        <f>MAX(AVERAGE(S_plus!CJ$2:CJ$102)-Asian!strike,0)</f>
        <v>0.1772843395524859</v>
      </c>
      <c r="CD11">
        <f>MAX(AVERAGE(S_plus!CK$2:CK$102)-Asian!strike,0)</f>
        <v>0</v>
      </c>
      <c r="CE11">
        <f>MAX(AVERAGE(S_plus!CL$2:CL$102)-Asian!strike,0)</f>
        <v>0</v>
      </c>
      <c r="CF11">
        <f>MAX(AVERAGE(S_plus!CM$2:CM$102)-Asian!strike,0)</f>
        <v>0</v>
      </c>
      <c r="CG11">
        <f>MAX(AVERAGE(S_plus!CN$2:CN$102)-Asian!strike,0)</f>
        <v>0</v>
      </c>
      <c r="CH11">
        <f>MAX(AVERAGE(S_plus!CO$2:CO$102)-Asian!strike,0)</f>
        <v>31.673313178475212</v>
      </c>
      <c r="CI11">
        <f>MAX(AVERAGE(S_plus!CP$2:CP$102)-Asian!strike,0)</f>
        <v>0</v>
      </c>
      <c r="CJ11">
        <f>MAX(AVERAGE(S_plus!CQ$2:CQ$102)-Asian!strike,0)</f>
        <v>0</v>
      </c>
      <c r="CK11">
        <f>MAX(AVERAGE(S_plus!CR$2:CR$102)-Asian!strike,0)</f>
        <v>1.5148231896198041</v>
      </c>
      <c r="CL11">
        <f>MAX(AVERAGE(S_plus!CS$2:CS$102)-Asian!strike,0)</f>
        <v>0.57758764005450303</v>
      </c>
      <c r="CM11">
        <f>MAX(AVERAGE(S_plus!CT$2:CT$102)-Asian!strike,0)</f>
        <v>16.685232499382181</v>
      </c>
      <c r="CN11">
        <f>MAX(AVERAGE(S_plus!CU$2:CU$102)-Asian!strike,0)</f>
        <v>7.413843117759356</v>
      </c>
      <c r="CO11">
        <f>MAX(AVERAGE(S_plus!CV$2:CV$102)-Asian!strike,0)</f>
        <v>0</v>
      </c>
      <c r="CP11">
        <f>MAX(AVERAGE(S_plus!CW$2:CW$102)-Asian!strike,0)</f>
        <v>7.368920332407896</v>
      </c>
      <c r="CQ11">
        <f>MAX(AVERAGE(S_plus!CX$2:CX$102)-Asian!strike,0)</f>
        <v>18.780972396679232</v>
      </c>
      <c r="CR11">
        <f>MAX(AVERAGE(S_plus!CY$2:CY$102)-Asian!strike,0)</f>
        <v>9.4875272457000079</v>
      </c>
      <c r="CS11">
        <f>MAX(AVERAGE(S_plus!CZ$2:CZ$102)-Asian!strike,0)</f>
        <v>8.5230104364772075</v>
      </c>
      <c r="CT11">
        <f>MAX(AVERAGE(S_plus!DA$2:DA$102)-Asian!strike,0)</f>
        <v>14.02619007689502</v>
      </c>
      <c r="CU11">
        <f>MAX(AVERAGE(S_plus!DB$2:DB$102)-Asian!strike,0)</f>
        <v>0</v>
      </c>
      <c r="CV11">
        <f>MAX(AVERAGE(S_plus!DC$2:DC$102)-Asian!strike,0)</f>
        <v>4.1089106076703104</v>
      </c>
      <c r="CW11">
        <f>MAX(AVERAGE(S_plus!DD$2:DD$102)-Asian!strike,0)</f>
        <v>0</v>
      </c>
      <c r="CX11">
        <f>MAX(AVERAGE(S_plus!DE$2:DE$102)-Asian!strike,0)</f>
        <v>3.5767627711504701</v>
      </c>
      <c r="CY11">
        <f>MAX(AVERAGE(S_plus!DF$2:DF$102)-Asian!strike,0)</f>
        <v>0</v>
      </c>
      <c r="CZ11">
        <f>MAX(AVERAGE(S_plus!DG$2:DG$102)-Asian!strike,0)</f>
        <v>0</v>
      </c>
      <c r="DA11">
        <f>MAX(AVERAGE(S_plus!DH$2:DH$102)-Asian!strike,0)</f>
        <v>0</v>
      </c>
    </row>
    <row r="12" spans="1:105" x14ac:dyDescent="0.25">
      <c r="C12" s="4"/>
      <c r="E12">
        <f>S_plus!L3</f>
        <v>0.01</v>
      </c>
      <c r="F12">
        <f>MAX(AVERAGE(S_plus!$M$2:$M3)-Asian!strike,0)</f>
        <v>0</v>
      </c>
      <c r="G12">
        <f>MAX(AVERAGE(S_plus!$N$2:$N3)-Asian!strike,0)</f>
        <v>0</v>
      </c>
      <c r="H12">
        <f>MAX(AVERAGE(S_plus!$O$2:$O3)-Asian!strike,0)</f>
        <v>2.001972472999995</v>
      </c>
      <c r="I12">
        <f>MAX(AVERAGE(S_plus!$P$2:$P3)-Asian!strike,0)</f>
        <v>0</v>
      </c>
      <c r="J12">
        <f>MAX(AVERAGE(S_plus!$Q$2:$Q3)-Asian!strike,0)</f>
        <v>0</v>
      </c>
    </row>
    <row r="13" spans="1:105" x14ac:dyDescent="0.25">
      <c r="C13" s="4"/>
      <c r="E13">
        <f>S_plus!L4</f>
        <v>0.02</v>
      </c>
      <c r="F13">
        <f>MAX(AVERAGE(S_plus!$M$2:$M4)-Asian!strike,0)</f>
        <v>0</v>
      </c>
      <c r="G13">
        <f>MAX(AVERAGE(S_plus!$N$2:$N4)-Asian!strike,0)</f>
        <v>0</v>
      </c>
      <c r="H13">
        <f>MAX(AVERAGE(S_plus!$O$2:$O4)-Asian!strike,0)</f>
        <v>3.2059701660000002</v>
      </c>
      <c r="I13">
        <f>MAX(AVERAGE(S_plus!$P$2:$P4)-Asian!strike,0)</f>
        <v>0</v>
      </c>
      <c r="J13">
        <f>MAX(AVERAGE(S_plus!$Q$2:$Q4)-Asian!strike,0)</f>
        <v>0</v>
      </c>
    </row>
    <row r="14" spans="1:105" x14ac:dyDescent="0.25">
      <c r="E14">
        <f>S_plus!L5</f>
        <v>0.03</v>
      </c>
      <c r="F14">
        <f>MAX(AVERAGE(S_plus!$M$2:$M5)-Asian!strike,0)</f>
        <v>0</v>
      </c>
      <c r="G14">
        <f>MAX(AVERAGE(S_plus!$N$2:$N5)-Asian!strike,0)</f>
        <v>0</v>
      </c>
      <c r="H14">
        <f>MAX(AVERAGE(S_plus!$O$2:$O5)-Asian!strike,0)</f>
        <v>4.2229533097500109</v>
      </c>
      <c r="I14">
        <f>MAX(AVERAGE(S_plus!$P$2:$P5)-Asian!strike,0)</f>
        <v>0</v>
      </c>
      <c r="J14">
        <f>MAX(AVERAGE(S_plus!$Q$2:$Q5)-Asian!strike,0)</f>
        <v>0</v>
      </c>
    </row>
    <row r="15" spans="1:105" x14ac:dyDescent="0.25">
      <c r="E15">
        <f>S_plus!L6</f>
        <v>0.04</v>
      </c>
      <c r="F15">
        <f>MAX(AVERAGE(S_plus!$M$2:$M6)-Asian!strike,0)</f>
        <v>0</v>
      </c>
      <c r="G15">
        <f>MAX(AVERAGE(S_plus!$N$2:$N6)-Asian!strike,0)</f>
        <v>0</v>
      </c>
      <c r="H15">
        <f>MAX(AVERAGE(S_plus!$O$2:$O6)-Asian!strike,0)</f>
        <v>5.5044675288000064</v>
      </c>
      <c r="I15">
        <f>MAX(AVERAGE(S_plus!$P$2:$P6)-Asian!strike,0)</f>
        <v>3.377402047999567E-2</v>
      </c>
      <c r="J15">
        <f>MAX(AVERAGE(S_plus!$Q$2:$Q6)-Asian!strike,0)</f>
        <v>0</v>
      </c>
    </row>
    <row r="16" spans="1:105" x14ac:dyDescent="0.25">
      <c r="E16">
        <f>S_plus!L7</f>
        <v>0.05</v>
      </c>
      <c r="F16">
        <f>MAX(AVERAGE(S_plus!$M$2:$M7)-Asian!strike,0)</f>
        <v>0</v>
      </c>
      <c r="G16">
        <f>MAX(AVERAGE(S_plus!$N$2:$N7)-Asian!strike,0)</f>
        <v>0</v>
      </c>
      <c r="H16">
        <f>MAX(AVERAGE(S_plus!$O$2:$O7)-Asian!strike,0)</f>
        <v>6.5264209383333309</v>
      </c>
      <c r="I16">
        <f>MAX(AVERAGE(S_plus!$P$2:$P7)-Asian!strike,0)</f>
        <v>0</v>
      </c>
      <c r="J16">
        <f>MAX(AVERAGE(S_plus!$Q$2:$Q7)-Asian!strike,0)</f>
        <v>0</v>
      </c>
    </row>
    <row r="17" spans="5:10" x14ac:dyDescent="0.25">
      <c r="E17">
        <f>S_plus!L8</f>
        <v>6.0000000000000005E-2</v>
      </c>
      <c r="F17">
        <f>MAX(AVERAGE(S_plus!$M$2:$M8)-Asian!strike,0)</f>
        <v>0</v>
      </c>
      <c r="G17">
        <f>MAX(AVERAGE(S_plus!$N$2:$N8)-Asian!strike,0)</f>
        <v>0</v>
      </c>
      <c r="H17">
        <f>MAX(AVERAGE(S_plus!$O$2:$O8)-Asian!strike,0)</f>
        <v>6.9530510014285625</v>
      </c>
      <c r="I17">
        <f>MAX(AVERAGE(S_plus!$P$2:$P8)-Asian!strike,0)</f>
        <v>0</v>
      </c>
      <c r="J17">
        <f>MAX(AVERAGE(S_plus!$Q$2:$Q8)-Asian!strike,0)</f>
        <v>0.35715019619999566</v>
      </c>
    </row>
    <row r="18" spans="5:10" x14ac:dyDescent="0.25">
      <c r="E18">
        <f>S_plus!L9</f>
        <v>7.0000000000000007E-2</v>
      </c>
      <c r="F18">
        <f>MAX(AVERAGE(S_plus!$M$2:$M9)-Asian!strike,0)</f>
        <v>0</v>
      </c>
      <c r="G18">
        <f>MAX(AVERAGE(S_plus!$N$2:$N9)-Asian!strike,0)</f>
        <v>0</v>
      </c>
      <c r="H18">
        <f>MAX(AVERAGE(S_plus!$O$2:$O9)-Asian!strike,0)</f>
        <v>7.3051393023749966</v>
      </c>
      <c r="I18">
        <f>MAX(AVERAGE(S_plus!$P$2:$P9)-Asian!strike,0)</f>
        <v>0</v>
      </c>
      <c r="J18">
        <f>MAX(AVERAGE(S_plus!$Q$2:$Q9)-Asian!strike,0)</f>
        <v>0.81032960429999434</v>
      </c>
    </row>
    <row r="19" spans="5:10" x14ac:dyDescent="0.25">
      <c r="E19">
        <f>S_plus!L10</f>
        <v>0.08</v>
      </c>
      <c r="F19">
        <f>MAX(AVERAGE(S_plus!$M$2:$M10)-Asian!strike,0)</f>
        <v>0</v>
      </c>
      <c r="G19">
        <f>MAX(AVERAGE(S_plus!$N$2:$N10)-Asian!strike,0)</f>
        <v>0</v>
      </c>
      <c r="H19">
        <f>MAX(AVERAGE(S_plus!$O$2:$O10)-Asian!strike,0)</f>
        <v>7.4190845232222244</v>
      </c>
      <c r="I19">
        <f>MAX(AVERAGE(S_plus!$P$2:$P10)-Asian!strike,0)</f>
        <v>0</v>
      </c>
      <c r="J19">
        <f>MAX(AVERAGE(S_plus!$Q$2:$Q10)-Asian!strike,0)</f>
        <v>1.2680226887111132</v>
      </c>
    </row>
    <row r="20" spans="5:10" x14ac:dyDescent="0.25">
      <c r="E20">
        <f>S_plus!L11</f>
        <v>0.09</v>
      </c>
      <c r="F20">
        <f>MAX(AVERAGE(S_plus!$M$2:$M11)-Asian!strike,0)</f>
        <v>0</v>
      </c>
      <c r="G20">
        <f>MAX(AVERAGE(S_plus!$N$2:$N11)-Asian!strike,0)</f>
        <v>0</v>
      </c>
      <c r="H20">
        <f>MAX(AVERAGE(S_plus!$O$2:$O11)-Asian!strike,0)</f>
        <v>7.6924964686000123</v>
      </c>
      <c r="I20">
        <f>MAX(AVERAGE(S_plus!$P$2:$P11)-Asian!strike,0)</f>
        <v>0</v>
      </c>
      <c r="J20">
        <f>MAX(AVERAGE(S_plus!$Q$2:$Q11)-Asian!strike,0)</f>
        <v>1.5063702894399995</v>
      </c>
    </row>
    <row r="21" spans="5:10" x14ac:dyDescent="0.25">
      <c r="E21">
        <f>S_plus!L12</f>
        <v>9.9999999999999992E-2</v>
      </c>
      <c r="F21">
        <f>MAX(AVERAGE(S_plus!$M$2:$M12)-Asian!strike,0)</f>
        <v>0</v>
      </c>
      <c r="G21">
        <f>MAX(AVERAGE(S_plus!$N$2:$N12)-Asian!strike,0)</f>
        <v>0</v>
      </c>
      <c r="H21">
        <f>MAX(AVERAGE(S_plus!$O$2:$O12)-Asian!strike,0)</f>
        <v>8.1772150324545549</v>
      </c>
      <c r="I21">
        <f>MAX(AVERAGE(S_plus!$P$2:$P12)-Asian!strike,0)</f>
        <v>0</v>
      </c>
      <c r="J21">
        <f>MAX(AVERAGE(S_plus!$Q$2:$Q12)-Asian!strike,0)</f>
        <v>1.979013402763627</v>
      </c>
    </row>
    <row r="22" spans="5:10" x14ac:dyDescent="0.25">
      <c r="E22">
        <f>S_plus!L13</f>
        <v>0.10999999999999999</v>
      </c>
      <c r="F22">
        <f>MAX(AVERAGE(S_plus!$M$2:$M13)-Asian!strike,0)</f>
        <v>0</v>
      </c>
      <c r="G22">
        <f>MAX(AVERAGE(S_plus!$N$2:$N13)-Asian!strike,0)</f>
        <v>0</v>
      </c>
      <c r="H22">
        <f>MAX(AVERAGE(S_plus!$O$2:$O13)-Asian!strike,0)</f>
        <v>8.6952948842500035</v>
      </c>
      <c r="I22">
        <f>MAX(AVERAGE(S_plus!$P$2:$P13)-Asian!strike,0)</f>
        <v>0</v>
      </c>
      <c r="J22">
        <f>MAX(AVERAGE(S_plus!$Q$2:$Q13)-Asian!strike,0)</f>
        <v>2.1283045192833328</v>
      </c>
    </row>
    <row r="23" spans="5:10" x14ac:dyDescent="0.25">
      <c r="E23">
        <f>S_plus!L14</f>
        <v>0.11999999999999998</v>
      </c>
      <c r="F23">
        <f>MAX(AVERAGE(S_plus!$M$2:$M14)-Asian!strike,0)</f>
        <v>0</v>
      </c>
      <c r="G23">
        <f>MAX(AVERAGE(S_plus!$N$2:$N14)-Asian!strike,0)</f>
        <v>0</v>
      </c>
      <c r="H23">
        <f>MAX(AVERAGE(S_plus!$O$2:$O14)-Asian!strike,0)</f>
        <v>9.2178580549230702</v>
      </c>
      <c r="I23">
        <f>MAX(AVERAGE(S_plus!$P$2:$P14)-Asian!strike,0)</f>
        <v>0</v>
      </c>
      <c r="J23">
        <f>MAX(AVERAGE(S_plus!$Q$2:$Q14)-Asian!strike,0)</f>
        <v>2.4950971428769151</v>
      </c>
    </row>
    <row r="24" spans="5:10" x14ac:dyDescent="0.25">
      <c r="E24">
        <f>S_plus!L15</f>
        <v>0.12999999999999998</v>
      </c>
      <c r="F24">
        <f>MAX(AVERAGE(S_plus!$M$2:$M15)-Asian!strike,0)</f>
        <v>0</v>
      </c>
      <c r="G24">
        <f>MAX(AVERAGE(S_plus!$N$2:$N15)-Asian!strike,0)</f>
        <v>0</v>
      </c>
      <c r="H24">
        <f>MAX(AVERAGE(S_plus!$O$2:$O15)-Asian!strike,0)</f>
        <v>9.8720935461428496</v>
      </c>
      <c r="I24">
        <f>MAX(AVERAGE(S_plus!$P$2:$P15)-Asian!strike,0)</f>
        <v>0</v>
      </c>
      <c r="J24">
        <f>MAX(AVERAGE(S_plus!$Q$2:$Q15)-Asian!strike,0)</f>
        <v>2.5373871440285711</v>
      </c>
    </row>
    <row r="25" spans="5:10" x14ac:dyDescent="0.25">
      <c r="E25">
        <f>S_plus!L16</f>
        <v>0.13999999999999999</v>
      </c>
      <c r="F25">
        <f>MAX(AVERAGE(S_plus!$M$2:$M16)-Asian!strike,0)</f>
        <v>0</v>
      </c>
      <c r="G25">
        <f>MAX(AVERAGE(S_plus!$N$2:$N16)-Asian!strike,0)</f>
        <v>0</v>
      </c>
      <c r="H25">
        <f>MAX(AVERAGE(S_plus!$O$2:$O16)-Asian!strike,0)</f>
        <v>10.49676192393332</v>
      </c>
      <c r="I25">
        <f>MAX(AVERAGE(S_plus!$P$2:$P16)-Asian!strike,0)</f>
        <v>0</v>
      </c>
      <c r="J25">
        <f>MAX(AVERAGE(S_plus!$Q$2:$Q16)-Asian!strike,0)</f>
        <v>2.4646339469600065</v>
      </c>
    </row>
    <row r="26" spans="5:10" x14ac:dyDescent="0.25">
      <c r="E26">
        <f>S_plus!L17</f>
        <v>0.15</v>
      </c>
      <c r="F26">
        <f>MAX(AVERAGE(S_plus!$M$2:$M17)-Asian!strike,0)</f>
        <v>0</v>
      </c>
      <c r="G26">
        <f>MAX(AVERAGE(S_plus!$N$2:$N17)-Asian!strike,0)</f>
        <v>0</v>
      </c>
      <c r="H26">
        <f>MAX(AVERAGE(S_plus!$O$2:$O17)-Asian!strike,0)</f>
        <v>10.825434320624993</v>
      </c>
      <c r="I26">
        <f>MAX(AVERAGE(S_plus!$P$2:$P17)-Asian!strike,0)</f>
        <v>0</v>
      </c>
      <c r="J26">
        <f>MAX(AVERAGE(S_plus!$Q$2:$Q17)-Asian!strike,0)</f>
        <v>2.2001092256562487</v>
      </c>
    </row>
    <row r="27" spans="5:10" x14ac:dyDescent="0.25">
      <c r="E27">
        <f>S_plus!L18</f>
        <v>0.16</v>
      </c>
      <c r="F27">
        <f>MAX(AVERAGE(S_plus!$M$2:$M18)-Asian!strike,0)</f>
        <v>0</v>
      </c>
      <c r="G27">
        <f>MAX(AVERAGE(S_plus!$N$2:$N18)-Asian!strike,0)</f>
        <v>0</v>
      </c>
      <c r="H27">
        <f>MAX(AVERAGE(S_plus!$O$2:$O18)-Asian!strike,0)</f>
        <v>11.012032652588232</v>
      </c>
      <c r="I27">
        <f>MAX(AVERAGE(S_plus!$P$2:$P18)-Asian!strike,0)</f>
        <v>0</v>
      </c>
      <c r="J27">
        <f>MAX(AVERAGE(S_plus!$Q$2:$Q18)-Asian!strike,0)</f>
        <v>1.9000169776000035</v>
      </c>
    </row>
    <row r="28" spans="5:10" x14ac:dyDescent="0.25">
      <c r="E28">
        <f>S_plus!L19</f>
        <v>0.17</v>
      </c>
      <c r="F28">
        <f>MAX(AVERAGE(S_plus!$M$2:$M19)-Asian!strike,0)</f>
        <v>0</v>
      </c>
      <c r="G28">
        <f>MAX(AVERAGE(S_plus!$N$2:$N19)-Asian!strike,0)</f>
        <v>0</v>
      </c>
      <c r="H28">
        <f>MAX(AVERAGE(S_plus!$O$2:$O19)-Asian!strike,0)</f>
        <v>11.073518549111114</v>
      </c>
      <c r="I28">
        <f>MAX(AVERAGE(S_plus!$P$2:$P19)-Asian!strike,0)</f>
        <v>0</v>
      </c>
      <c r="J28">
        <f>MAX(AVERAGE(S_plus!$Q$2:$Q19)-Asian!strike,0)</f>
        <v>1.8128866732889009</v>
      </c>
    </row>
    <row r="29" spans="5:10" x14ac:dyDescent="0.25">
      <c r="E29">
        <f>S_plus!L20</f>
        <v>0.18000000000000002</v>
      </c>
      <c r="F29">
        <f>MAX(AVERAGE(S_plus!$M$2:$M20)-Asian!strike,0)</f>
        <v>0</v>
      </c>
      <c r="G29">
        <f>MAX(AVERAGE(S_plus!$N$2:$N20)-Asian!strike,0)</f>
        <v>0</v>
      </c>
      <c r="H29">
        <f>MAX(AVERAGE(S_plus!$O$2:$O20)-Asian!strike,0)</f>
        <v>11.333604382947357</v>
      </c>
      <c r="I29">
        <f>MAX(AVERAGE(S_plus!$P$2:$P20)-Asian!strike,0)</f>
        <v>0</v>
      </c>
      <c r="J29">
        <f>MAX(AVERAGE(S_plus!$Q$2:$Q20)-Asian!strike,0)</f>
        <v>1.556667290389484</v>
      </c>
    </row>
    <row r="30" spans="5:10" x14ac:dyDescent="0.25">
      <c r="E30">
        <f>S_plus!L21</f>
        <v>0.19000000000000003</v>
      </c>
      <c r="F30">
        <f>MAX(AVERAGE(S_plus!$M$2:$M21)-Asian!strike,0)</f>
        <v>0</v>
      </c>
      <c r="G30">
        <f>MAX(AVERAGE(S_plus!$N$2:$N21)-Asian!strike,0)</f>
        <v>0</v>
      </c>
      <c r="H30">
        <f>MAX(AVERAGE(S_plus!$O$2:$O21)-Asian!strike,0)</f>
        <v>11.556291195399993</v>
      </c>
      <c r="I30">
        <f>MAX(AVERAGE(S_plus!$P$2:$P21)-Asian!strike,0)</f>
        <v>0</v>
      </c>
      <c r="J30">
        <f>MAX(AVERAGE(S_plus!$Q$2:$Q21)-Asian!strike,0)</f>
        <v>1.2548243051599997</v>
      </c>
    </row>
    <row r="31" spans="5:10" x14ac:dyDescent="0.25">
      <c r="E31">
        <f>S_plus!L22</f>
        <v>0.20000000000000004</v>
      </c>
      <c r="F31">
        <f>MAX(AVERAGE(S_plus!$M$2:$M22)-Asian!strike,0)</f>
        <v>0</v>
      </c>
      <c r="G31">
        <f>MAX(AVERAGE(S_plus!$N$2:$N22)-Asian!strike,0)</f>
        <v>0</v>
      </c>
      <c r="H31">
        <f>MAX(AVERAGE(S_plus!$O$2:$O22)-Asian!strike,0)</f>
        <v>11.546102096619023</v>
      </c>
      <c r="I31">
        <f>MAX(AVERAGE(S_plus!$P$2:$P22)-Asian!strike,0)</f>
        <v>0</v>
      </c>
      <c r="J31">
        <f>MAX(AVERAGE(S_plus!$Q$2:$Q22)-Asian!strike,0)</f>
        <v>0.81005948809048789</v>
      </c>
    </row>
    <row r="32" spans="5:10" x14ac:dyDescent="0.25">
      <c r="E32">
        <f>S_plus!L23</f>
        <v>0.21000000000000005</v>
      </c>
      <c r="F32">
        <f>MAX(AVERAGE(S_plus!$M$2:$M23)-Asian!strike,0)</f>
        <v>0</v>
      </c>
      <c r="G32">
        <f>MAX(AVERAGE(S_plus!$N$2:$N23)-Asian!strike,0)</f>
        <v>0</v>
      </c>
      <c r="H32">
        <f>MAX(AVERAGE(S_plus!$O$2:$O23)-Asian!strike,0)</f>
        <v>11.602146249772716</v>
      </c>
      <c r="I32">
        <f>MAX(AVERAGE(S_plus!$P$2:$P23)-Asian!strike,0)</f>
        <v>0</v>
      </c>
      <c r="J32">
        <f>MAX(AVERAGE(S_plus!$Q$2:$Q23)-Asian!strike,0)</f>
        <v>0.38114742998637041</v>
      </c>
    </row>
    <row r="33" spans="5:10" x14ac:dyDescent="0.25">
      <c r="E33">
        <f>S_plus!L24</f>
        <v>0.22000000000000006</v>
      </c>
      <c r="F33">
        <f>MAX(AVERAGE(S_plus!$M$2:$M24)-Asian!strike,0)</f>
        <v>0</v>
      </c>
      <c r="G33">
        <f>MAX(AVERAGE(S_plus!$N$2:$N24)-Asian!strike,0)</f>
        <v>0</v>
      </c>
      <c r="H33">
        <f>MAX(AVERAGE(S_plus!$O$2:$O24)-Asian!strike,0)</f>
        <v>11.55190623978261</v>
      </c>
      <c r="I33">
        <f>MAX(AVERAGE(S_plus!$P$2:$P24)-Asian!strike,0)</f>
        <v>0</v>
      </c>
      <c r="J33">
        <f>MAX(AVERAGE(S_plus!$Q$2:$Q24)-Asian!strike,0)</f>
        <v>0</v>
      </c>
    </row>
    <row r="34" spans="5:10" x14ac:dyDescent="0.25">
      <c r="E34">
        <f>S_plus!L25</f>
        <v>0.23000000000000007</v>
      </c>
      <c r="F34">
        <f>MAX(AVERAGE(S_plus!$M$2:$M25)-Asian!strike,0)</f>
        <v>0</v>
      </c>
      <c r="G34">
        <f>MAX(AVERAGE(S_plus!$N$2:$N25)-Asian!strike,0)</f>
        <v>0</v>
      </c>
      <c r="H34">
        <f>MAX(AVERAGE(S_plus!$O$2:$O25)-Asian!strike,0)</f>
        <v>11.497800157541676</v>
      </c>
      <c r="I34">
        <f>MAX(AVERAGE(S_plus!$P$2:$P25)-Asian!strike,0)</f>
        <v>0</v>
      </c>
      <c r="J34">
        <f>MAX(AVERAGE(S_plus!$Q$2:$Q25)-Asian!strike,0)</f>
        <v>0</v>
      </c>
    </row>
    <row r="35" spans="5:10" x14ac:dyDescent="0.25">
      <c r="E35">
        <f>S_plus!L26</f>
        <v>0.24000000000000007</v>
      </c>
      <c r="F35">
        <f>MAX(AVERAGE(S_plus!$M$2:$M26)-Asian!strike,0)</f>
        <v>0</v>
      </c>
      <c r="G35">
        <f>MAX(AVERAGE(S_plus!$N$2:$N26)-Asian!strike,0)</f>
        <v>0</v>
      </c>
      <c r="H35">
        <f>MAX(AVERAGE(S_plus!$O$2:$O26)-Asian!strike,0)</f>
        <v>11.254247004320007</v>
      </c>
      <c r="I35">
        <f>MAX(AVERAGE(S_plus!$P$2:$P26)-Asian!strike,0)</f>
        <v>0</v>
      </c>
      <c r="J35">
        <f>MAX(AVERAGE(S_plus!$Q$2:$Q26)-Asian!strike,0)</f>
        <v>0</v>
      </c>
    </row>
    <row r="36" spans="5:10" x14ac:dyDescent="0.25">
      <c r="E36">
        <f>S_plus!L27</f>
        <v>0.25000000000000006</v>
      </c>
      <c r="F36">
        <f>MAX(AVERAGE(S_plus!$M$2:$M27)-Asian!strike,0)</f>
        <v>0</v>
      </c>
      <c r="G36">
        <f>MAX(AVERAGE(S_plus!$N$2:$N27)-Asian!strike,0)</f>
        <v>0</v>
      </c>
      <c r="H36">
        <f>MAX(AVERAGE(S_plus!$O$2:$O27)-Asian!strike,0)</f>
        <v>10.966861452076927</v>
      </c>
      <c r="I36">
        <f>MAX(AVERAGE(S_plus!$P$2:$P27)-Asian!strike,0)</f>
        <v>0</v>
      </c>
      <c r="J36">
        <f>MAX(AVERAGE(S_plus!$Q$2:$Q27)-Asian!strike,0)</f>
        <v>0</v>
      </c>
    </row>
    <row r="37" spans="5:10" x14ac:dyDescent="0.25">
      <c r="E37">
        <f>S_plus!L28</f>
        <v>0.26000000000000006</v>
      </c>
      <c r="F37">
        <f>MAX(AVERAGE(S_plus!$M$2:$M28)-Asian!strike,0)</f>
        <v>0</v>
      </c>
      <c r="G37">
        <f>MAX(AVERAGE(S_plus!$N$2:$N28)-Asian!strike,0)</f>
        <v>0</v>
      </c>
      <c r="H37">
        <f>MAX(AVERAGE(S_plus!$O$2:$O28)-Asian!strike,0)</f>
        <v>10.707013402962971</v>
      </c>
      <c r="I37">
        <f>MAX(AVERAGE(S_plus!$P$2:$P28)-Asian!strike,0)</f>
        <v>0</v>
      </c>
      <c r="J37">
        <f>MAX(AVERAGE(S_plus!$Q$2:$Q28)-Asian!strike,0)</f>
        <v>0</v>
      </c>
    </row>
    <row r="38" spans="5:10" x14ac:dyDescent="0.25">
      <c r="E38">
        <f>S_plus!L29</f>
        <v>0.27000000000000007</v>
      </c>
      <c r="F38">
        <f>MAX(AVERAGE(S_plus!$M$2:$M29)-Asian!strike,0)</f>
        <v>0</v>
      </c>
      <c r="G38">
        <f>MAX(AVERAGE(S_plus!$N$2:$N29)-Asian!strike,0)</f>
        <v>0</v>
      </c>
      <c r="H38">
        <f>MAX(AVERAGE(S_plus!$O$2:$O29)-Asian!strike,0)</f>
        <v>10.433245490535711</v>
      </c>
      <c r="I38">
        <f>MAX(AVERAGE(S_plus!$P$2:$P29)-Asian!strike,0)</f>
        <v>0</v>
      </c>
      <c r="J38">
        <f>MAX(AVERAGE(S_plus!$Q$2:$Q29)-Asian!strike,0)</f>
        <v>0</v>
      </c>
    </row>
    <row r="39" spans="5:10" x14ac:dyDescent="0.25">
      <c r="E39">
        <f>S_plus!L30</f>
        <v>0.28000000000000008</v>
      </c>
      <c r="F39">
        <f>MAX(AVERAGE(S_plus!$M$2:$M30)-Asian!strike,0)</f>
        <v>0</v>
      </c>
      <c r="G39">
        <f>MAX(AVERAGE(S_plus!$N$2:$N30)-Asian!strike,0)</f>
        <v>0</v>
      </c>
      <c r="H39">
        <f>MAX(AVERAGE(S_plus!$O$2:$O30)-Asian!strike,0)</f>
        <v>10.039365377693102</v>
      </c>
      <c r="I39">
        <f>MAX(AVERAGE(S_plus!$P$2:$P30)-Asian!strike,0)</f>
        <v>0</v>
      </c>
      <c r="J39">
        <f>MAX(AVERAGE(S_plus!$Q$2:$Q30)-Asian!strike,0)</f>
        <v>0</v>
      </c>
    </row>
    <row r="40" spans="5:10" x14ac:dyDescent="0.25">
      <c r="E40">
        <f>S_plus!L31</f>
        <v>0.29000000000000009</v>
      </c>
      <c r="F40">
        <f>MAX(AVERAGE(S_plus!$M$2:$M31)-Asian!strike,0)</f>
        <v>0</v>
      </c>
      <c r="G40">
        <f>MAX(AVERAGE(S_plus!$N$2:$N31)-Asian!strike,0)</f>
        <v>0</v>
      </c>
      <c r="H40">
        <f>MAX(AVERAGE(S_plus!$O$2:$O31)-Asian!strike,0)</f>
        <v>9.7103329097366782</v>
      </c>
      <c r="I40">
        <f>MAX(AVERAGE(S_plus!$P$2:$P31)-Asian!strike,0)</f>
        <v>0</v>
      </c>
      <c r="J40">
        <f>MAX(AVERAGE(S_plus!$Q$2:$Q31)-Asian!strike,0)</f>
        <v>0</v>
      </c>
    </row>
    <row r="41" spans="5:10" x14ac:dyDescent="0.25">
      <c r="E41">
        <f>S_plus!L32</f>
        <v>0.3000000000000001</v>
      </c>
      <c r="F41">
        <f>MAX(AVERAGE(S_plus!$M$2:$M32)-Asian!strike,0)</f>
        <v>0</v>
      </c>
      <c r="G41">
        <f>MAX(AVERAGE(S_plus!$N$2:$N32)-Asian!strike,0)</f>
        <v>0</v>
      </c>
      <c r="H41">
        <f>MAX(AVERAGE(S_plus!$O$2:$O32)-Asian!strike,0)</f>
        <v>9.5005671763580608</v>
      </c>
      <c r="I41">
        <f>MAX(AVERAGE(S_plus!$P$2:$P32)-Asian!strike,0)</f>
        <v>7.612339978062721E-2</v>
      </c>
      <c r="J41">
        <f>MAX(AVERAGE(S_plus!$Q$2:$Q32)-Asian!strike,0)</f>
        <v>0</v>
      </c>
    </row>
    <row r="42" spans="5:10" x14ac:dyDescent="0.25">
      <c r="E42">
        <f>S_plus!L33</f>
        <v>0.31000000000000011</v>
      </c>
      <c r="F42">
        <f>MAX(AVERAGE(S_plus!$M$2:$M33)-Asian!strike,0)</f>
        <v>0</v>
      </c>
      <c r="G42">
        <f>MAX(AVERAGE(S_plus!$N$2:$N33)-Asian!strike,0)</f>
        <v>0</v>
      </c>
      <c r="H42">
        <f>MAX(AVERAGE(S_plus!$O$2:$O33)-Asian!strike,0)</f>
        <v>9.2488889367531328</v>
      </c>
      <c r="I42">
        <f>MAX(AVERAGE(S_plus!$P$2:$P33)-Asian!strike,0)</f>
        <v>0.1285133916624801</v>
      </c>
      <c r="J42">
        <f>MAX(AVERAGE(S_plus!$Q$2:$Q33)-Asian!strike,0)</f>
        <v>0</v>
      </c>
    </row>
    <row r="43" spans="5:10" x14ac:dyDescent="0.25">
      <c r="E43">
        <f>S_plus!L34</f>
        <v>0.32000000000000012</v>
      </c>
      <c r="F43">
        <f>MAX(AVERAGE(S_plus!$M$2:$M34)-Asian!strike,0)</f>
        <v>0</v>
      </c>
      <c r="G43">
        <f>MAX(AVERAGE(S_plus!$N$2:$N34)-Asian!strike,0)</f>
        <v>0</v>
      </c>
      <c r="H43">
        <f>MAX(AVERAGE(S_plus!$O$2:$O34)-Asian!strike,0)</f>
        <v>8.9999725968818183</v>
      </c>
      <c r="I43">
        <f>MAX(AVERAGE(S_plus!$P$2:$P34)-Asian!strike,0)</f>
        <v>0.21315505827875825</v>
      </c>
      <c r="J43">
        <f>MAX(AVERAGE(S_plus!$Q$2:$Q34)-Asian!strike,0)</f>
        <v>0</v>
      </c>
    </row>
    <row r="44" spans="5:10" x14ac:dyDescent="0.25">
      <c r="E44">
        <f>S_plus!L35</f>
        <v>0.33000000000000013</v>
      </c>
      <c r="F44">
        <f>MAX(AVERAGE(S_plus!$M$2:$M35)-Asian!strike,0)</f>
        <v>0</v>
      </c>
      <c r="G44">
        <f>MAX(AVERAGE(S_plus!$N$2:$N35)-Asian!strike,0)</f>
        <v>0</v>
      </c>
      <c r="H44">
        <f>MAX(AVERAGE(S_plus!$O$2:$O35)-Asian!strike,0)</f>
        <v>8.8037348197970715</v>
      </c>
      <c r="I44">
        <f>MAX(AVERAGE(S_plus!$P$2:$P35)-Asian!strike,0)</f>
        <v>0.28449569571174038</v>
      </c>
      <c r="J44">
        <f>MAX(AVERAGE(S_plus!$Q$2:$Q35)-Asian!strike,0)</f>
        <v>0</v>
      </c>
    </row>
    <row r="45" spans="5:10" x14ac:dyDescent="0.25">
      <c r="E45">
        <f>S_plus!L36</f>
        <v>0.34000000000000014</v>
      </c>
      <c r="F45">
        <f>MAX(AVERAGE(S_plus!$M$2:$M36)-Asian!strike,0)</f>
        <v>0</v>
      </c>
      <c r="G45">
        <f>MAX(AVERAGE(S_plus!$N$2:$N36)-Asian!strike,0)</f>
        <v>0</v>
      </c>
      <c r="H45">
        <f>MAX(AVERAGE(S_plus!$O$2:$O36)-Asian!strike,0)</f>
        <v>8.5430744648228654</v>
      </c>
      <c r="I45">
        <f>MAX(AVERAGE(S_plus!$P$2:$P36)-Asian!strike,0)</f>
        <v>0.27902312517711891</v>
      </c>
      <c r="J45">
        <f>MAX(AVERAGE(S_plus!$Q$2:$Q36)-Asian!strike,0)</f>
        <v>0</v>
      </c>
    </row>
    <row r="46" spans="5:10" x14ac:dyDescent="0.25">
      <c r="E46">
        <f>S_plus!L37</f>
        <v>0.35000000000000014</v>
      </c>
      <c r="F46">
        <f>MAX(AVERAGE(S_plus!$M$2:$M37)-Asian!strike,0)</f>
        <v>0</v>
      </c>
      <c r="G46">
        <f>MAX(AVERAGE(S_plus!$N$2:$N37)-Asian!strike,0)</f>
        <v>0</v>
      </c>
      <c r="H46">
        <f>MAX(AVERAGE(S_plus!$O$2:$O37)-Asian!strike,0)</f>
        <v>8.2977982831638997</v>
      </c>
      <c r="I46">
        <f>MAX(AVERAGE(S_plus!$P$2:$P37)-Asian!strike,0)</f>
        <v>0.30477662906109515</v>
      </c>
      <c r="J46">
        <f>MAX(AVERAGE(S_plus!$Q$2:$Q37)-Asian!strike,0)</f>
        <v>0</v>
      </c>
    </row>
    <row r="47" spans="5:10" x14ac:dyDescent="0.25">
      <c r="E47">
        <f>S_plus!L38</f>
        <v>0.36000000000000015</v>
      </c>
      <c r="F47">
        <f>MAX(AVERAGE(S_plus!$M$2:$M38)-Asian!strike,0)</f>
        <v>0</v>
      </c>
      <c r="G47">
        <f>MAX(AVERAGE(S_plus!$N$2:$N38)-Asian!strike,0)</f>
        <v>0</v>
      </c>
      <c r="H47">
        <f>MAX(AVERAGE(S_plus!$O$2:$O38)-Asian!strike,0)</f>
        <v>8.1448539217270337</v>
      </c>
      <c r="I47">
        <f>MAX(AVERAGE(S_plus!$P$2:$P38)-Asian!strike,0)</f>
        <v>0.3744816909783566</v>
      </c>
      <c r="J47">
        <f>MAX(AVERAGE(S_plus!$Q$2:$Q38)-Asian!strike,0)</f>
        <v>0</v>
      </c>
    </row>
    <row r="48" spans="5:10" x14ac:dyDescent="0.25">
      <c r="E48">
        <f>S_plus!L39</f>
        <v>0.37000000000000016</v>
      </c>
      <c r="F48">
        <f>MAX(AVERAGE(S_plus!$M$2:$M39)-Asian!strike,0)</f>
        <v>0</v>
      </c>
      <c r="G48">
        <f>MAX(AVERAGE(S_plus!$N$2:$N39)-Asian!strike,0)</f>
        <v>0</v>
      </c>
      <c r="H48">
        <f>MAX(AVERAGE(S_plus!$O$2:$O39)-Asian!strike,0)</f>
        <v>7.9257100039315844</v>
      </c>
      <c r="I48">
        <f>MAX(AVERAGE(S_plus!$P$2:$P39)-Asian!strike,0)</f>
        <v>0.43052938984733657</v>
      </c>
      <c r="J48">
        <f>MAX(AVERAGE(S_plus!$Q$2:$Q39)-Asian!strike,0)</f>
        <v>0</v>
      </c>
    </row>
    <row r="49" spans="5:10" x14ac:dyDescent="0.25">
      <c r="E49">
        <f>S_plus!L40</f>
        <v>0.38000000000000017</v>
      </c>
      <c r="F49">
        <f>MAX(AVERAGE(S_plus!$M$2:$M40)-Asian!strike,0)</f>
        <v>0</v>
      </c>
      <c r="G49">
        <f>MAX(AVERAGE(S_plus!$N$2:$N40)-Asian!strike,0)</f>
        <v>0</v>
      </c>
      <c r="H49">
        <f>MAX(AVERAGE(S_plus!$O$2:$O40)-Asian!strike,0)</f>
        <v>7.7578810891641155</v>
      </c>
      <c r="I49">
        <f>MAX(AVERAGE(S_plus!$P$2:$P40)-Asian!strike,0)</f>
        <v>0.45048214236408057</v>
      </c>
      <c r="J49">
        <f>MAX(AVERAGE(S_plus!$Q$2:$Q40)-Asian!strike,0)</f>
        <v>0</v>
      </c>
    </row>
    <row r="50" spans="5:10" x14ac:dyDescent="0.25">
      <c r="E50">
        <f>S_plus!L41</f>
        <v>0.39000000000000018</v>
      </c>
      <c r="F50">
        <f>MAX(AVERAGE(S_plus!$M$2:$M41)-Asian!strike,0)</f>
        <v>0</v>
      </c>
      <c r="G50">
        <f>MAX(AVERAGE(S_plus!$N$2:$N41)-Asian!strike,0)</f>
        <v>0</v>
      </c>
      <c r="H50">
        <f>MAX(AVERAGE(S_plus!$O$2:$O41)-Asian!strike,0)</f>
        <v>7.6369854645350159</v>
      </c>
      <c r="I50">
        <f>MAX(AVERAGE(S_plus!$P$2:$P41)-Asian!strike,0)</f>
        <v>0.54598545787997921</v>
      </c>
      <c r="J50">
        <f>MAX(AVERAGE(S_plus!$Q$2:$Q41)-Asian!strike,0)</f>
        <v>0</v>
      </c>
    </row>
    <row r="51" spans="5:10" x14ac:dyDescent="0.25">
      <c r="E51">
        <f>S_plus!L42</f>
        <v>0.40000000000000019</v>
      </c>
      <c r="F51">
        <f>MAX(AVERAGE(S_plus!$M$2:$M42)-Asian!strike,0)</f>
        <v>0</v>
      </c>
      <c r="G51">
        <f>MAX(AVERAGE(S_plus!$N$2:$N42)-Asian!strike,0)</f>
        <v>0</v>
      </c>
      <c r="H51">
        <f>MAX(AVERAGE(S_plus!$O$2:$O42)-Asian!strike,0)</f>
        <v>7.5248736861317269</v>
      </c>
      <c r="I51">
        <f>MAX(AVERAGE(S_plus!$P$2:$P42)-Asian!strike,0)</f>
        <v>0.58683312915120212</v>
      </c>
      <c r="J51">
        <f>MAX(AVERAGE(S_plus!$Q$2:$Q42)-Asian!strike,0)</f>
        <v>0</v>
      </c>
    </row>
    <row r="52" spans="5:10" x14ac:dyDescent="0.25">
      <c r="E52">
        <f>S_plus!L43</f>
        <v>0.4100000000000002</v>
      </c>
      <c r="F52">
        <f>MAX(AVERAGE(S_plus!$M$2:$M43)-Asian!strike,0)</f>
        <v>0</v>
      </c>
      <c r="G52">
        <f>MAX(AVERAGE(S_plus!$N$2:$N43)-Asian!strike,0)</f>
        <v>0</v>
      </c>
      <c r="H52">
        <f>MAX(AVERAGE(S_plus!$O$2:$O43)-Asian!strike,0)</f>
        <v>7.3758358514619147</v>
      </c>
      <c r="I52">
        <f>MAX(AVERAGE(S_plus!$P$2:$P43)-Asian!strike,0)</f>
        <v>0.66500812102856344</v>
      </c>
      <c r="J52">
        <f>MAX(AVERAGE(S_plus!$Q$2:$Q43)-Asian!strike,0)</f>
        <v>0</v>
      </c>
    </row>
    <row r="53" spans="5:10" x14ac:dyDescent="0.25">
      <c r="E53">
        <f>S_plus!L44</f>
        <v>0.42000000000000021</v>
      </c>
      <c r="F53">
        <f>MAX(AVERAGE(S_plus!$M$2:$M44)-Asian!strike,0)</f>
        <v>0</v>
      </c>
      <c r="G53">
        <f>MAX(AVERAGE(S_plus!$N$2:$N44)-Asian!strike,0)</f>
        <v>0</v>
      </c>
      <c r="H53">
        <f>MAX(AVERAGE(S_plus!$O$2:$O44)-Asian!strike,0)</f>
        <v>7.2352118973116575</v>
      </c>
      <c r="I53">
        <f>MAX(AVERAGE(S_plus!$P$2:$P44)-Asian!strike,0)</f>
        <v>0.67436352188836679</v>
      </c>
      <c r="J53">
        <f>MAX(AVERAGE(S_plus!$Q$2:$Q44)-Asian!strike,0)</f>
        <v>0</v>
      </c>
    </row>
    <row r="54" spans="5:10" x14ac:dyDescent="0.25">
      <c r="E54">
        <f>S_plus!L45</f>
        <v>0.43000000000000022</v>
      </c>
      <c r="F54">
        <f>MAX(AVERAGE(S_plus!$M$2:$M45)-Asian!strike,0)</f>
        <v>0</v>
      </c>
      <c r="G54">
        <f>MAX(AVERAGE(S_plus!$N$2:$N45)-Asian!strike,0)</f>
        <v>0</v>
      </c>
      <c r="H54">
        <f>MAX(AVERAGE(S_plus!$O$2:$O45)-Asian!strike,0)</f>
        <v>7.1455391866682021</v>
      </c>
      <c r="I54">
        <f>MAX(AVERAGE(S_plus!$P$2:$P45)-Asian!strike,0)</f>
        <v>0.6741859937318111</v>
      </c>
      <c r="J54">
        <f>MAX(AVERAGE(S_plus!$Q$2:$Q45)-Asian!strike,0)</f>
        <v>0</v>
      </c>
    </row>
    <row r="55" spans="5:10" x14ac:dyDescent="0.25">
      <c r="E55">
        <f>S_plus!L46</f>
        <v>0.44000000000000022</v>
      </c>
      <c r="F55">
        <f>MAX(AVERAGE(S_plus!$M$2:$M46)-Asian!strike,0)</f>
        <v>0</v>
      </c>
      <c r="G55">
        <f>MAX(AVERAGE(S_plus!$N$2:$N46)-Asian!strike,0)</f>
        <v>0</v>
      </c>
      <c r="H55">
        <f>MAX(AVERAGE(S_plus!$O$2:$O46)-Asian!strike,0)</f>
        <v>7.0696886502977918</v>
      </c>
      <c r="I55">
        <f>MAX(AVERAGE(S_plus!$P$2:$P46)-Asian!strike,0)</f>
        <v>0.57457518761553672</v>
      </c>
      <c r="J55">
        <f>MAX(AVERAGE(S_plus!$Q$2:$Q46)-Asian!strike,0)</f>
        <v>0</v>
      </c>
    </row>
    <row r="56" spans="5:10" x14ac:dyDescent="0.25">
      <c r="E56">
        <f>S_plus!L47</f>
        <v>0.45000000000000023</v>
      </c>
      <c r="F56">
        <f>MAX(AVERAGE(S_plus!$M$2:$M47)-Asian!strike,0)</f>
        <v>0</v>
      </c>
      <c r="G56">
        <f>MAX(AVERAGE(S_plus!$N$2:$N47)-Asian!strike,0)</f>
        <v>0</v>
      </c>
      <c r="H56">
        <f>MAX(AVERAGE(S_plus!$O$2:$O47)-Asian!strike,0)</f>
        <v>6.9535619521826391</v>
      </c>
      <c r="I56">
        <f>MAX(AVERAGE(S_plus!$P$2:$P47)-Asian!strike,0)</f>
        <v>0.4457777811238941</v>
      </c>
      <c r="J56">
        <f>MAX(AVERAGE(S_plus!$Q$2:$Q47)-Asian!strike,0)</f>
        <v>0</v>
      </c>
    </row>
    <row r="57" spans="5:10" x14ac:dyDescent="0.25">
      <c r="E57">
        <f>S_plus!L48</f>
        <v>0.46000000000000024</v>
      </c>
      <c r="F57">
        <f>MAX(AVERAGE(S_plus!$M$2:$M48)-Asian!strike,0)</f>
        <v>0</v>
      </c>
      <c r="G57">
        <f>MAX(AVERAGE(S_plus!$N$2:$N48)-Asian!strike,0)</f>
        <v>0</v>
      </c>
      <c r="H57">
        <f>MAX(AVERAGE(S_plus!$O$2:$O48)-Asian!strike,0)</f>
        <v>6.8735571543064111</v>
      </c>
      <c r="I57">
        <f>MAX(AVERAGE(S_plus!$P$2:$P48)-Asian!strike,0)</f>
        <v>0.36130605069999433</v>
      </c>
      <c r="J57">
        <f>MAX(AVERAGE(S_plus!$Q$2:$Q48)-Asian!strike,0)</f>
        <v>0</v>
      </c>
    </row>
    <row r="58" spans="5:10" x14ac:dyDescent="0.25">
      <c r="E58">
        <f>S_plus!L49</f>
        <v>0.47000000000000025</v>
      </c>
      <c r="F58">
        <f>MAX(AVERAGE(S_plus!$M$2:$M49)-Asian!strike,0)</f>
        <v>0</v>
      </c>
      <c r="G58">
        <f>MAX(AVERAGE(S_plus!$N$2:$N49)-Asian!strike,0)</f>
        <v>0</v>
      </c>
      <c r="H58">
        <f>MAX(AVERAGE(S_plus!$O$2:$O49)-Asian!strike,0)</f>
        <v>6.7448042760916991</v>
      </c>
      <c r="I58">
        <f>MAX(AVERAGE(S_plus!$P$2:$P49)-Asian!strike,0)</f>
        <v>0.27450404273541551</v>
      </c>
      <c r="J58">
        <f>MAX(AVERAGE(S_plus!$Q$2:$Q49)-Asian!strike,0)</f>
        <v>0</v>
      </c>
    </row>
    <row r="59" spans="5:10" x14ac:dyDescent="0.25">
      <c r="E59">
        <f>S_plus!L50</f>
        <v>0.48000000000000026</v>
      </c>
      <c r="F59">
        <f>MAX(AVERAGE(S_plus!$M$2:$M50)-Asian!strike,0)</f>
        <v>0</v>
      </c>
      <c r="G59">
        <f>MAX(AVERAGE(S_plus!$N$2:$N50)-Asian!strike,0)</f>
        <v>0</v>
      </c>
      <c r="H59">
        <f>MAX(AVERAGE(S_plus!$O$2:$O50)-Asian!strike,0)</f>
        <v>6.6201833425388088</v>
      </c>
      <c r="I59">
        <f>MAX(AVERAGE(S_plus!$P$2:$P50)-Asian!strike,0)</f>
        <v>0.11882308412653231</v>
      </c>
      <c r="J59">
        <f>MAX(AVERAGE(S_plus!$Q$2:$Q50)-Asian!strike,0)</f>
        <v>0</v>
      </c>
    </row>
    <row r="60" spans="5:10" x14ac:dyDescent="0.25">
      <c r="E60">
        <f>S_plus!L51</f>
        <v>0.49000000000000027</v>
      </c>
      <c r="F60">
        <f>MAX(AVERAGE(S_plus!$M$2:$M51)-Asian!strike,0)</f>
        <v>0</v>
      </c>
      <c r="G60">
        <f>MAX(AVERAGE(S_plus!$N$2:$N51)-Asian!strike,0)</f>
        <v>0</v>
      </c>
      <c r="H60">
        <f>MAX(AVERAGE(S_plus!$O$2:$O51)-Asian!strike,0)</f>
        <v>6.4983533436280396</v>
      </c>
      <c r="I60">
        <f>MAX(AVERAGE(S_plus!$P$2:$P51)-Asian!strike,0)</f>
        <v>0</v>
      </c>
      <c r="J60">
        <f>MAX(AVERAGE(S_plus!$Q$2:$Q51)-Asian!strike,0)</f>
        <v>0</v>
      </c>
    </row>
    <row r="61" spans="5:10" x14ac:dyDescent="0.25">
      <c r="E61">
        <f>S_plus!L52</f>
        <v>0.50000000000000022</v>
      </c>
      <c r="F61">
        <f>MAX(AVERAGE(S_plus!$M$2:$M52)-Asian!strike,0)</f>
        <v>0</v>
      </c>
      <c r="G61">
        <f>MAX(AVERAGE(S_plus!$N$2:$N52)-Asian!strike,0)</f>
        <v>0</v>
      </c>
      <c r="H61">
        <f>MAX(AVERAGE(S_plus!$O$2:$O52)-Asian!strike,0)</f>
        <v>6.3487343211353249</v>
      </c>
      <c r="I61">
        <f>MAX(AVERAGE(S_plus!$P$2:$P52)-Asian!strike,0)</f>
        <v>0</v>
      </c>
      <c r="J61">
        <f>MAX(AVERAGE(S_plus!$Q$2:$Q52)-Asian!strike,0)</f>
        <v>0</v>
      </c>
    </row>
    <row r="62" spans="5:10" x14ac:dyDescent="0.25">
      <c r="E62">
        <f>S_plus!L53</f>
        <v>0.51000000000000023</v>
      </c>
      <c r="F62">
        <f>MAX(AVERAGE(S_plus!$M$2:$M53)-Asian!strike,0)</f>
        <v>0</v>
      </c>
      <c r="G62">
        <f>MAX(AVERAGE(S_plus!$N$2:$N53)-Asian!strike,0)</f>
        <v>0</v>
      </c>
      <c r="H62">
        <f>MAX(AVERAGE(S_plus!$O$2:$O53)-Asian!strike,0)</f>
        <v>6.2368433599981188</v>
      </c>
      <c r="I62">
        <f>MAX(AVERAGE(S_plus!$P$2:$P53)-Asian!strike,0)</f>
        <v>0</v>
      </c>
      <c r="J62">
        <f>MAX(AVERAGE(S_plus!$Q$2:$Q53)-Asian!strike,0)</f>
        <v>0</v>
      </c>
    </row>
    <row r="63" spans="5:10" x14ac:dyDescent="0.25">
      <c r="E63">
        <f>S_plus!L54</f>
        <v>0.52000000000000024</v>
      </c>
      <c r="F63">
        <f>MAX(AVERAGE(S_plus!$M$2:$M54)-Asian!strike,0)</f>
        <v>0</v>
      </c>
      <c r="G63">
        <f>MAX(AVERAGE(S_plus!$N$2:$N54)-Asian!strike,0)</f>
        <v>0</v>
      </c>
      <c r="H63">
        <f>MAX(AVERAGE(S_plus!$O$2:$O54)-Asian!strike,0)</f>
        <v>6.1494528278094691</v>
      </c>
      <c r="I63">
        <f>MAX(AVERAGE(S_plus!$P$2:$P54)-Asian!strike,0)</f>
        <v>0</v>
      </c>
      <c r="J63">
        <f>MAX(AVERAGE(S_plus!$Q$2:$Q54)-Asian!strike,0)</f>
        <v>0</v>
      </c>
    </row>
    <row r="64" spans="5:10" x14ac:dyDescent="0.25">
      <c r="E64">
        <f>S_plus!L55</f>
        <v>0.53000000000000025</v>
      </c>
      <c r="F64">
        <f>MAX(AVERAGE(S_plus!$M$2:$M55)-Asian!strike,0)</f>
        <v>0</v>
      </c>
      <c r="G64">
        <f>MAX(AVERAGE(S_plus!$N$2:$N55)-Asian!strike,0)</f>
        <v>0</v>
      </c>
      <c r="H64">
        <f>MAX(AVERAGE(S_plus!$O$2:$O55)-Asian!strike,0)</f>
        <v>6.0906859419055763</v>
      </c>
      <c r="I64">
        <f>MAX(AVERAGE(S_plus!$P$2:$P55)-Asian!strike,0)</f>
        <v>0</v>
      </c>
      <c r="J64">
        <f>MAX(AVERAGE(S_plus!$Q$2:$Q55)-Asian!strike,0)</f>
        <v>0</v>
      </c>
    </row>
    <row r="65" spans="5:10" x14ac:dyDescent="0.25">
      <c r="E65">
        <f>S_plus!L56</f>
        <v>0.54000000000000026</v>
      </c>
      <c r="F65">
        <f>MAX(AVERAGE(S_plus!$M$2:$M56)-Asian!strike,0)</f>
        <v>0</v>
      </c>
      <c r="G65">
        <f>MAX(AVERAGE(S_plus!$N$2:$N56)-Asian!strike,0)</f>
        <v>0</v>
      </c>
      <c r="H65">
        <f>MAX(AVERAGE(S_plus!$O$2:$O56)-Asian!strike,0)</f>
        <v>6.0843722367800268</v>
      </c>
      <c r="I65">
        <f>MAX(AVERAGE(S_plus!$P$2:$P56)-Asian!strike,0)</f>
        <v>0</v>
      </c>
      <c r="J65">
        <f>MAX(AVERAGE(S_plus!$Q$2:$Q56)-Asian!strike,0)</f>
        <v>0</v>
      </c>
    </row>
    <row r="66" spans="5:10" x14ac:dyDescent="0.25">
      <c r="E66">
        <f>S_plus!L57</f>
        <v>0.55000000000000027</v>
      </c>
      <c r="F66">
        <f>MAX(AVERAGE(S_plus!$M$2:$M57)-Asian!strike,0)</f>
        <v>0</v>
      </c>
      <c r="G66">
        <f>MAX(AVERAGE(S_plus!$N$2:$N57)-Asian!strike,0)</f>
        <v>0</v>
      </c>
      <c r="H66">
        <f>MAX(AVERAGE(S_plus!$O$2:$O57)-Asian!strike,0)</f>
        <v>6.1131253586768111</v>
      </c>
      <c r="I66">
        <f>MAX(AVERAGE(S_plus!$P$2:$P57)-Asian!strike,0)</f>
        <v>0</v>
      </c>
      <c r="J66">
        <f>MAX(AVERAGE(S_plus!$Q$2:$Q57)-Asian!strike,0)</f>
        <v>0</v>
      </c>
    </row>
    <row r="67" spans="5:10" x14ac:dyDescent="0.25">
      <c r="E67">
        <f>S_plus!L58</f>
        <v>0.56000000000000028</v>
      </c>
      <c r="F67">
        <f>MAX(AVERAGE(S_plus!$M$2:$M58)-Asian!strike,0)</f>
        <v>0</v>
      </c>
      <c r="G67">
        <f>MAX(AVERAGE(S_plus!$N$2:$N58)-Asian!strike,0)</f>
        <v>0</v>
      </c>
      <c r="H67">
        <f>MAX(AVERAGE(S_plus!$O$2:$O58)-Asian!strike,0)</f>
        <v>6.1081276412789833</v>
      </c>
      <c r="I67">
        <f>MAX(AVERAGE(S_plus!$P$2:$P58)-Asian!strike,0)</f>
        <v>0</v>
      </c>
      <c r="J67">
        <f>MAX(AVERAGE(S_plus!$Q$2:$Q58)-Asian!strike,0)</f>
        <v>0</v>
      </c>
    </row>
    <row r="68" spans="5:10" x14ac:dyDescent="0.25">
      <c r="E68">
        <f>S_plus!L59</f>
        <v>0.57000000000000028</v>
      </c>
      <c r="F68">
        <f>MAX(AVERAGE(S_plus!$M$2:$M59)-Asian!strike,0)</f>
        <v>0</v>
      </c>
      <c r="G68">
        <f>MAX(AVERAGE(S_plus!$N$2:$N59)-Asian!strike,0)</f>
        <v>0</v>
      </c>
      <c r="H68">
        <f>MAX(AVERAGE(S_plus!$O$2:$O59)-Asian!strike,0)</f>
        <v>6.0928680809810771</v>
      </c>
      <c r="I68">
        <f>MAX(AVERAGE(S_plus!$P$2:$P59)-Asian!strike,0)</f>
        <v>0</v>
      </c>
      <c r="J68">
        <f>MAX(AVERAGE(S_plus!$Q$2:$Q59)-Asian!strike,0)</f>
        <v>0</v>
      </c>
    </row>
    <row r="69" spans="5:10" x14ac:dyDescent="0.25">
      <c r="E69">
        <f>S_plus!L60</f>
        <v>0.58000000000000029</v>
      </c>
      <c r="F69">
        <f>MAX(AVERAGE(S_plus!$M$2:$M60)-Asian!strike,0)</f>
        <v>0</v>
      </c>
      <c r="G69">
        <f>MAX(AVERAGE(S_plus!$N$2:$N60)-Asian!strike,0)</f>
        <v>0</v>
      </c>
      <c r="H69">
        <f>MAX(AVERAGE(S_plus!$O$2:$O60)-Asian!strike,0)</f>
        <v>6.0814613676084974</v>
      </c>
      <c r="I69">
        <f>MAX(AVERAGE(S_plus!$P$2:$P60)-Asian!strike,0)</f>
        <v>0</v>
      </c>
      <c r="J69">
        <f>MAX(AVERAGE(S_plus!$Q$2:$Q60)-Asian!strike,0)</f>
        <v>0</v>
      </c>
    </row>
    <row r="70" spans="5:10" x14ac:dyDescent="0.25">
      <c r="E70">
        <f>S_plus!L61</f>
        <v>0.5900000000000003</v>
      </c>
      <c r="F70">
        <f>MAX(AVERAGE(S_plus!$M$2:$M61)-Asian!strike,0)</f>
        <v>0</v>
      </c>
      <c r="G70">
        <f>MAX(AVERAGE(S_plus!$N$2:$N61)-Asian!strike,0)</f>
        <v>0</v>
      </c>
      <c r="H70">
        <f>MAX(AVERAGE(S_plus!$O$2:$O61)-Asian!strike,0)</f>
        <v>6.0799976582983675</v>
      </c>
      <c r="I70">
        <f>MAX(AVERAGE(S_plus!$P$2:$P61)-Asian!strike,0)</f>
        <v>0</v>
      </c>
      <c r="J70">
        <f>MAX(AVERAGE(S_plus!$Q$2:$Q61)-Asian!strike,0)</f>
        <v>0</v>
      </c>
    </row>
    <row r="71" spans="5:10" x14ac:dyDescent="0.25">
      <c r="E71">
        <f>S_plus!L62</f>
        <v>0.60000000000000031</v>
      </c>
      <c r="F71">
        <f>MAX(AVERAGE(S_plus!$M$2:$M62)-Asian!strike,0)</f>
        <v>0</v>
      </c>
      <c r="G71">
        <f>MAX(AVERAGE(S_plus!$N$2:$N62)-Asian!strike,0)</f>
        <v>0</v>
      </c>
      <c r="H71">
        <f>MAX(AVERAGE(S_plus!$O$2:$O62)-Asian!strike,0)</f>
        <v>6.0440083955229795</v>
      </c>
      <c r="I71">
        <f>MAX(AVERAGE(S_plus!$P$2:$P62)-Asian!strike,0)</f>
        <v>0</v>
      </c>
      <c r="J71">
        <f>MAX(AVERAGE(S_plus!$Q$2:$Q62)-Asian!strike,0)</f>
        <v>0</v>
      </c>
    </row>
    <row r="72" spans="5:10" x14ac:dyDescent="0.25">
      <c r="E72">
        <f>S_plus!L63</f>
        <v>0.61000000000000032</v>
      </c>
      <c r="F72">
        <f>MAX(AVERAGE(S_plus!$M$2:$M63)-Asian!strike,0)</f>
        <v>0</v>
      </c>
      <c r="G72">
        <f>MAX(AVERAGE(S_plus!$N$2:$N63)-Asian!strike,0)</f>
        <v>0</v>
      </c>
      <c r="H72">
        <f>MAX(AVERAGE(S_plus!$O$2:$O63)-Asian!strike,0)</f>
        <v>5.9616916566113218</v>
      </c>
      <c r="I72">
        <f>MAX(AVERAGE(S_plus!$P$2:$P63)-Asian!strike,0)</f>
        <v>0</v>
      </c>
      <c r="J72">
        <f>MAX(AVERAGE(S_plus!$Q$2:$Q63)-Asian!strike,0)</f>
        <v>0</v>
      </c>
    </row>
    <row r="73" spans="5:10" x14ac:dyDescent="0.25">
      <c r="E73">
        <f>S_plus!L64</f>
        <v>0.62000000000000033</v>
      </c>
      <c r="F73">
        <f>MAX(AVERAGE(S_plus!$M$2:$M64)-Asian!strike,0)</f>
        <v>0</v>
      </c>
      <c r="G73">
        <f>MAX(AVERAGE(S_plus!$N$2:$N64)-Asian!strike,0)</f>
        <v>0</v>
      </c>
      <c r="H73">
        <f>MAX(AVERAGE(S_plus!$O$2:$O64)-Asian!strike,0)</f>
        <v>5.8712016518238386</v>
      </c>
      <c r="I73">
        <f>MAX(AVERAGE(S_plus!$P$2:$P64)-Asian!strike,0)</f>
        <v>0</v>
      </c>
      <c r="J73">
        <f>MAX(AVERAGE(S_plus!$Q$2:$Q64)-Asian!strike,0)</f>
        <v>0</v>
      </c>
    </row>
    <row r="74" spans="5:10" x14ac:dyDescent="0.25">
      <c r="E74">
        <f>S_plus!L65</f>
        <v>0.63000000000000034</v>
      </c>
      <c r="F74">
        <f>MAX(AVERAGE(S_plus!$M$2:$M65)-Asian!strike,0)</f>
        <v>0</v>
      </c>
      <c r="G74">
        <f>MAX(AVERAGE(S_plus!$N$2:$N65)-Asian!strike,0)</f>
        <v>0</v>
      </c>
      <c r="H74">
        <f>MAX(AVERAGE(S_plus!$O$2:$O65)-Asian!strike,0)</f>
        <v>5.796795772014093</v>
      </c>
      <c r="I74">
        <f>MAX(AVERAGE(S_plus!$P$2:$P65)-Asian!strike,0)</f>
        <v>0</v>
      </c>
      <c r="J74">
        <f>MAX(AVERAGE(S_plus!$Q$2:$Q65)-Asian!strike,0)</f>
        <v>0</v>
      </c>
    </row>
    <row r="75" spans="5:10" x14ac:dyDescent="0.25">
      <c r="E75">
        <f>S_plus!L66</f>
        <v>0.64000000000000035</v>
      </c>
      <c r="F75">
        <f>MAX(AVERAGE(S_plus!$M$2:$M66)-Asian!strike,0)</f>
        <v>0</v>
      </c>
      <c r="G75">
        <f>MAX(AVERAGE(S_plus!$N$2:$N66)-Asian!strike,0)</f>
        <v>0</v>
      </c>
      <c r="H75">
        <f>MAX(AVERAGE(S_plus!$O$2:$O66)-Asian!strike,0)</f>
        <v>5.7716906945215669</v>
      </c>
      <c r="I75">
        <f>MAX(AVERAGE(S_plus!$P$2:$P66)-Asian!strike,0)</f>
        <v>0</v>
      </c>
      <c r="J75">
        <f>MAX(AVERAGE(S_plus!$Q$2:$Q66)-Asian!strike,0)</f>
        <v>0</v>
      </c>
    </row>
    <row r="76" spans="5:10" x14ac:dyDescent="0.25">
      <c r="E76">
        <f>S_plus!L67</f>
        <v>0.65000000000000036</v>
      </c>
      <c r="F76">
        <f>MAX(AVERAGE(S_plus!$M$2:$M67)-Asian!strike,0)</f>
        <v>0</v>
      </c>
      <c r="G76">
        <f>MAX(AVERAGE(S_plus!$N$2:$N67)-Asian!strike,0)</f>
        <v>0</v>
      </c>
      <c r="H76">
        <f>MAX(AVERAGE(S_plus!$O$2:$O67)-Asian!strike,0)</f>
        <v>5.7398088674833616</v>
      </c>
      <c r="I76">
        <f>MAX(AVERAGE(S_plus!$P$2:$P67)-Asian!strike,0)</f>
        <v>0</v>
      </c>
      <c r="J76">
        <f>MAX(AVERAGE(S_plus!$Q$2:$Q67)-Asian!strike,0)</f>
        <v>0</v>
      </c>
    </row>
    <row r="77" spans="5:10" x14ac:dyDescent="0.25">
      <c r="E77">
        <f>S_plus!L68</f>
        <v>0.66000000000000036</v>
      </c>
      <c r="F77">
        <f>MAX(AVERAGE(S_plus!$M$2:$M68)-Asian!strike,0)</f>
        <v>0</v>
      </c>
      <c r="G77">
        <f>MAX(AVERAGE(S_plus!$N$2:$N68)-Asian!strike,0)</f>
        <v>0</v>
      </c>
      <c r="H77">
        <f>MAX(AVERAGE(S_plus!$O$2:$O68)-Asian!strike,0)</f>
        <v>5.6882278029238904</v>
      </c>
      <c r="I77">
        <f>MAX(AVERAGE(S_plus!$P$2:$P68)-Asian!strike,0)</f>
        <v>0</v>
      </c>
      <c r="J77">
        <f>MAX(AVERAGE(S_plus!$Q$2:$Q68)-Asian!strike,0)</f>
        <v>0</v>
      </c>
    </row>
    <row r="78" spans="5:10" x14ac:dyDescent="0.25">
      <c r="E78">
        <f>S_plus!L69</f>
        <v>0.67000000000000037</v>
      </c>
      <c r="F78">
        <f>MAX(AVERAGE(S_plus!$M$2:$M69)-Asian!strike,0)</f>
        <v>0</v>
      </c>
      <c r="G78">
        <f>MAX(AVERAGE(S_plus!$N$2:$N69)-Asian!strike,0)</f>
        <v>0</v>
      </c>
      <c r="H78">
        <f>MAX(AVERAGE(S_plus!$O$2:$O69)-Asian!strike,0)</f>
        <v>5.6289693459397085</v>
      </c>
      <c r="I78">
        <f>MAX(AVERAGE(S_plus!$P$2:$P69)-Asian!strike,0)</f>
        <v>0</v>
      </c>
      <c r="J78">
        <f>MAX(AVERAGE(S_plus!$Q$2:$Q69)-Asian!strike,0)</f>
        <v>0</v>
      </c>
    </row>
    <row r="79" spans="5:10" x14ac:dyDescent="0.25">
      <c r="E79">
        <f>S_plus!L70</f>
        <v>0.68000000000000038</v>
      </c>
      <c r="F79">
        <f>MAX(AVERAGE(S_plus!$M$2:$M70)-Asian!strike,0)</f>
        <v>0</v>
      </c>
      <c r="G79">
        <f>MAX(AVERAGE(S_plus!$N$2:$N70)-Asian!strike,0)</f>
        <v>0</v>
      </c>
      <c r="H79">
        <f>MAX(AVERAGE(S_plus!$O$2:$O70)-Asian!strike,0)</f>
        <v>5.6033874671289965</v>
      </c>
      <c r="I79">
        <f>MAX(AVERAGE(S_plus!$P$2:$P70)-Asian!strike,0)</f>
        <v>0</v>
      </c>
      <c r="J79">
        <f>MAX(AVERAGE(S_plus!$Q$2:$Q70)-Asian!strike,0)</f>
        <v>0</v>
      </c>
    </row>
    <row r="80" spans="5:10" x14ac:dyDescent="0.25">
      <c r="E80">
        <f>S_plus!L71</f>
        <v>0.69000000000000039</v>
      </c>
      <c r="F80">
        <f>MAX(AVERAGE(S_plus!$M$2:$M71)-Asian!strike,0)</f>
        <v>0</v>
      </c>
      <c r="G80">
        <f>MAX(AVERAGE(S_plus!$N$2:$N71)-Asian!strike,0)</f>
        <v>0</v>
      </c>
      <c r="H80">
        <f>MAX(AVERAGE(S_plus!$O$2:$O71)-Asian!strike,0)</f>
        <v>5.5998686754557241</v>
      </c>
      <c r="I80">
        <f>MAX(AVERAGE(S_plus!$P$2:$P71)-Asian!strike,0)</f>
        <v>0</v>
      </c>
      <c r="J80">
        <f>MAX(AVERAGE(S_plus!$Q$2:$Q71)-Asian!strike,0)</f>
        <v>0</v>
      </c>
    </row>
    <row r="81" spans="5:10" x14ac:dyDescent="0.25">
      <c r="E81">
        <f>S_plus!L72</f>
        <v>0.7000000000000004</v>
      </c>
      <c r="F81">
        <f>MAX(AVERAGE(S_plus!$M$2:$M72)-Asian!strike,0)</f>
        <v>0</v>
      </c>
      <c r="G81">
        <f>MAX(AVERAGE(S_plus!$N$2:$N72)-Asian!strike,0)</f>
        <v>0</v>
      </c>
      <c r="H81">
        <f>MAX(AVERAGE(S_plus!$O$2:$O72)-Asian!strike,0)</f>
        <v>5.6129360168295932</v>
      </c>
      <c r="I81">
        <f>MAX(AVERAGE(S_plus!$P$2:$P72)-Asian!strike,0)</f>
        <v>0</v>
      </c>
      <c r="J81">
        <f>MAX(AVERAGE(S_plus!$Q$2:$Q72)-Asian!strike,0)</f>
        <v>0</v>
      </c>
    </row>
    <row r="82" spans="5:10" x14ac:dyDescent="0.25">
      <c r="E82">
        <f>S_plus!L73</f>
        <v>0.71000000000000041</v>
      </c>
      <c r="F82">
        <f>MAX(AVERAGE(S_plus!$M$2:$M73)-Asian!strike,0)</f>
        <v>0</v>
      </c>
      <c r="G82">
        <f>MAX(AVERAGE(S_plus!$N$2:$N73)-Asian!strike,0)</f>
        <v>0</v>
      </c>
      <c r="H82">
        <f>MAX(AVERAGE(S_plus!$O$2:$O73)-Asian!strike,0)</f>
        <v>5.6453264972347483</v>
      </c>
      <c r="I82">
        <f>MAX(AVERAGE(S_plus!$P$2:$P73)-Asian!strike,0)</f>
        <v>0</v>
      </c>
      <c r="J82">
        <f>MAX(AVERAGE(S_plus!$Q$2:$Q73)-Asian!strike,0)</f>
        <v>0</v>
      </c>
    </row>
    <row r="83" spans="5:10" x14ac:dyDescent="0.25">
      <c r="E83">
        <f>S_plus!L74</f>
        <v>0.72000000000000042</v>
      </c>
      <c r="F83">
        <f>MAX(AVERAGE(S_plus!$M$2:$M74)-Asian!strike,0)</f>
        <v>0</v>
      </c>
      <c r="G83">
        <f>MAX(AVERAGE(S_plus!$N$2:$N74)-Asian!strike,0)</f>
        <v>0</v>
      </c>
      <c r="H83">
        <f>MAX(AVERAGE(S_plus!$O$2:$O74)-Asian!strike,0)</f>
        <v>5.7039273527794734</v>
      </c>
      <c r="I83">
        <f>MAX(AVERAGE(S_plus!$P$2:$P74)-Asian!strike,0)</f>
        <v>0</v>
      </c>
      <c r="J83">
        <f>MAX(AVERAGE(S_plus!$Q$2:$Q74)-Asian!strike,0)</f>
        <v>0</v>
      </c>
    </row>
    <row r="84" spans="5:10" x14ac:dyDescent="0.25">
      <c r="E84">
        <f>S_plus!L75</f>
        <v>0.73000000000000043</v>
      </c>
      <c r="F84">
        <f>MAX(AVERAGE(S_plus!$M$2:$M75)-Asian!strike,0)</f>
        <v>0</v>
      </c>
      <c r="G84">
        <f>MAX(AVERAGE(S_plus!$N$2:$N75)-Asian!strike,0)</f>
        <v>0</v>
      </c>
      <c r="H84">
        <f>MAX(AVERAGE(S_plus!$O$2:$O75)-Asian!strike,0)</f>
        <v>5.7761078118770399</v>
      </c>
      <c r="I84">
        <f>MAX(AVERAGE(S_plus!$P$2:$P75)-Asian!strike,0)</f>
        <v>0</v>
      </c>
      <c r="J84">
        <f>MAX(AVERAGE(S_plus!$Q$2:$Q75)-Asian!strike,0)</f>
        <v>0</v>
      </c>
    </row>
    <row r="85" spans="5:10" x14ac:dyDescent="0.25">
      <c r="E85">
        <f>S_plus!L76</f>
        <v>0.74000000000000044</v>
      </c>
      <c r="F85">
        <f>MAX(AVERAGE(S_plus!$M$2:$M76)-Asian!strike,0)</f>
        <v>0</v>
      </c>
      <c r="G85">
        <f>MAX(AVERAGE(S_plus!$N$2:$N76)-Asian!strike,0)</f>
        <v>0</v>
      </c>
      <c r="H85">
        <f>MAX(AVERAGE(S_plus!$O$2:$O76)-Asian!strike,0)</f>
        <v>5.8148231711986824</v>
      </c>
      <c r="I85">
        <f>MAX(AVERAGE(S_plus!$P$2:$P76)-Asian!strike,0)</f>
        <v>0</v>
      </c>
      <c r="J85">
        <f>MAX(AVERAGE(S_plus!$Q$2:$Q76)-Asian!strike,0)</f>
        <v>0</v>
      </c>
    </row>
    <row r="86" spans="5:10" x14ac:dyDescent="0.25">
      <c r="E86">
        <f>S_plus!L77</f>
        <v>0.75000000000000044</v>
      </c>
      <c r="F86">
        <f>MAX(AVERAGE(S_plus!$M$2:$M77)-Asian!strike,0)</f>
        <v>0</v>
      </c>
      <c r="G86">
        <f>MAX(AVERAGE(S_plus!$N$2:$N77)-Asian!strike,0)</f>
        <v>0</v>
      </c>
      <c r="H86">
        <f>MAX(AVERAGE(S_plus!$O$2:$O77)-Asian!strike,0)</f>
        <v>5.8314352021171203</v>
      </c>
      <c r="I86">
        <f>MAX(AVERAGE(S_plus!$P$2:$P77)-Asian!strike,0)</f>
        <v>0</v>
      </c>
      <c r="J86">
        <f>MAX(AVERAGE(S_plus!$Q$2:$Q77)-Asian!strike,0)</f>
        <v>0</v>
      </c>
    </row>
    <row r="87" spans="5:10" x14ac:dyDescent="0.25">
      <c r="E87">
        <f>S_plus!L78</f>
        <v>0.76000000000000045</v>
      </c>
      <c r="F87">
        <f>MAX(AVERAGE(S_plus!$M$2:$M78)-Asian!strike,0)</f>
        <v>0</v>
      </c>
      <c r="G87">
        <f>MAX(AVERAGE(S_plus!$N$2:$N78)-Asian!strike,0)</f>
        <v>0</v>
      </c>
      <c r="H87">
        <f>MAX(AVERAGE(S_plus!$O$2:$O78)-Asian!strike,0)</f>
        <v>5.857904936946781</v>
      </c>
      <c r="I87">
        <f>MAX(AVERAGE(S_plus!$P$2:$P78)-Asian!strike,0)</f>
        <v>0</v>
      </c>
      <c r="J87">
        <f>MAX(AVERAGE(S_plus!$Q$2:$Q78)-Asian!strike,0)</f>
        <v>0</v>
      </c>
    </row>
    <row r="88" spans="5:10" x14ac:dyDescent="0.25">
      <c r="E88">
        <f>S_plus!L79</f>
        <v>0.77000000000000046</v>
      </c>
      <c r="F88">
        <f>MAX(AVERAGE(S_plus!$M$2:$M79)-Asian!strike,0)</f>
        <v>0</v>
      </c>
      <c r="G88">
        <f>MAX(AVERAGE(S_plus!$N$2:$N79)-Asian!strike,0)</f>
        <v>0</v>
      </c>
      <c r="H88">
        <f>MAX(AVERAGE(S_plus!$O$2:$O79)-Asian!strike,0)</f>
        <v>5.8308568885371983</v>
      </c>
      <c r="I88">
        <f>MAX(AVERAGE(S_plus!$P$2:$P79)-Asian!strike,0)</f>
        <v>0</v>
      </c>
      <c r="J88">
        <f>MAX(AVERAGE(S_plus!$Q$2:$Q79)-Asian!strike,0)</f>
        <v>0</v>
      </c>
    </row>
    <row r="89" spans="5:10" x14ac:dyDescent="0.25">
      <c r="E89">
        <f>S_plus!L80</f>
        <v>0.78000000000000047</v>
      </c>
      <c r="F89">
        <f>MAX(AVERAGE(S_plus!$M$2:$M80)-Asian!strike,0)</f>
        <v>0</v>
      </c>
      <c r="G89">
        <f>MAX(AVERAGE(S_plus!$N$2:$N80)-Asian!strike,0)</f>
        <v>0</v>
      </c>
      <c r="H89">
        <f>MAX(AVERAGE(S_plus!$O$2:$O80)-Asian!strike,0)</f>
        <v>5.8148568319354581</v>
      </c>
      <c r="I89">
        <f>MAX(AVERAGE(S_plus!$P$2:$P80)-Asian!strike,0)</f>
        <v>0</v>
      </c>
      <c r="J89">
        <f>MAX(AVERAGE(S_plus!$Q$2:$Q80)-Asian!strike,0)</f>
        <v>0</v>
      </c>
    </row>
    <row r="90" spans="5:10" x14ac:dyDescent="0.25">
      <c r="E90">
        <f>S_plus!L81</f>
        <v>0.79000000000000048</v>
      </c>
      <c r="F90">
        <f>MAX(AVERAGE(S_plus!$M$2:$M81)-Asian!strike,0)</f>
        <v>0</v>
      </c>
      <c r="G90">
        <f>MAX(AVERAGE(S_plus!$N$2:$N81)-Asian!strike,0)</f>
        <v>0</v>
      </c>
      <c r="H90">
        <f>MAX(AVERAGE(S_plus!$O$2:$O81)-Asian!strike,0)</f>
        <v>5.7954205614237679</v>
      </c>
      <c r="I90">
        <f>MAX(AVERAGE(S_plus!$P$2:$P81)-Asian!strike,0)</f>
        <v>0</v>
      </c>
      <c r="J90">
        <f>MAX(AVERAGE(S_plus!$Q$2:$Q81)-Asian!strike,0)</f>
        <v>0</v>
      </c>
    </row>
    <row r="91" spans="5:10" x14ac:dyDescent="0.25">
      <c r="E91">
        <f>S_plus!L82</f>
        <v>0.80000000000000049</v>
      </c>
      <c r="F91">
        <f>MAX(AVERAGE(S_plus!$M$2:$M82)-Asian!strike,0)</f>
        <v>0</v>
      </c>
      <c r="G91">
        <f>MAX(AVERAGE(S_plus!$N$2:$N82)-Asian!strike,0)</f>
        <v>0</v>
      </c>
      <c r="H91">
        <f>MAX(AVERAGE(S_plus!$O$2:$O82)-Asian!strike,0)</f>
        <v>5.7891621262827329</v>
      </c>
      <c r="I91">
        <f>MAX(AVERAGE(S_plus!$P$2:$P82)-Asian!strike,0)</f>
        <v>0</v>
      </c>
      <c r="J91">
        <f>MAX(AVERAGE(S_plus!$Q$2:$Q82)-Asian!strike,0)</f>
        <v>0</v>
      </c>
    </row>
    <row r="92" spans="5:10" x14ac:dyDescent="0.25">
      <c r="E92">
        <f>S_plus!L83</f>
        <v>0.8100000000000005</v>
      </c>
      <c r="F92">
        <f>MAX(AVERAGE(S_plus!$M$2:$M83)-Asian!strike,0)</f>
        <v>0</v>
      </c>
      <c r="G92">
        <f>MAX(AVERAGE(S_plus!$N$2:$N83)-Asian!strike,0)</f>
        <v>0</v>
      </c>
      <c r="H92">
        <f>MAX(AVERAGE(S_plus!$O$2:$O83)-Asian!strike,0)</f>
        <v>5.7806661803524548</v>
      </c>
      <c r="I92">
        <f>MAX(AVERAGE(S_plus!$P$2:$P83)-Asian!strike,0)</f>
        <v>0</v>
      </c>
      <c r="J92">
        <f>MAX(AVERAGE(S_plus!$Q$2:$Q83)-Asian!strike,0)</f>
        <v>0</v>
      </c>
    </row>
    <row r="93" spans="5:10" x14ac:dyDescent="0.25">
      <c r="E93">
        <f>S_plus!L84</f>
        <v>0.82000000000000051</v>
      </c>
      <c r="F93">
        <f>MAX(AVERAGE(S_plus!$M$2:$M84)-Asian!strike,0)</f>
        <v>0</v>
      </c>
      <c r="G93">
        <f>MAX(AVERAGE(S_plus!$N$2:$N84)-Asian!strike,0)</f>
        <v>0</v>
      </c>
      <c r="H93">
        <f>MAX(AVERAGE(S_plus!$O$2:$O84)-Asian!strike,0)</f>
        <v>5.7650875999988074</v>
      </c>
      <c r="I93">
        <f>MAX(AVERAGE(S_plus!$P$2:$P84)-Asian!strike,0)</f>
        <v>0</v>
      </c>
      <c r="J93">
        <f>MAX(AVERAGE(S_plus!$Q$2:$Q84)-Asian!strike,0)</f>
        <v>0</v>
      </c>
    </row>
    <row r="94" spans="5:10" x14ac:dyDescent="0.25">
      <c r="E94">
        <f>S_plus!L85</f>
        <v>0.83000000000000052</v>
      </c>
      <c r="F94">
        <f>MAX(AVERAGE(S_plus!$M$2:$M85)-Asian!strike,0)</f>
        <v>0</v>
      </c>
      <c r="G94">
        <f>MAX(AVERAGE(S_plus!$N$2:$N85)-Asian!strike,0)</f>
        <v>0</v>
      </c>
      <c r="H94">
        <f>MAX(AVERAGE(S_plus!$O$2:$O85)-Asian!strike,0)</f>
        <v>5.7688747061535821</v>
      </c>
      <c r="I94">
        <f>MAX(AVERAGE(S_plus!$P$2:$P85)-Asian!strike,0)</f>
        <v>0</v>
      </c>
      <c r="J94">
        <f>MAX(AVERAGE(S_plus!$Q$2:$Q85)-Asian!strike,0)</f>
        <v>0</v>
      </c>
    </row>
    <row r="95" spans="5:10" x14ac:dyDescent="0.25">
      <c r="E95">
        <f>S_plus!L86</f>
        <v>0.84000000000000052</v>
      </c>
      <c r="F95">
        <f>MAX(AVERAGE(S_plus!$M$2:$M86)-Asian!strike,0)</f>
        <v>0</v>
      </c>
      <c r="G95">
        <f>MAX(AVERAGE(S_plus!$N$2:$N86)-Asian!strike,0)</f>
        <v>0</v>
      </c>
      <c r="H95">
        <f>MAX(AVERAGE(S_plus!$O$2:$O86)-Asian!strike,0)</f>
        <v>5.7605546956576461</v>
      </c>
      <c r="I95">
        <f>MAX(AVERAGE(S_plus!$P$2:$P86)-Asian!strike,0)</f>
        <v>0</v>
      </c>
      <c r="J95">
        <f>MAX(AVERAGE(S_plus!$Q$2:$Q86)-Asian!strike,0)</f>
        <v>0</v>
      </c>
    </row>
    <row r="96" spans="5:10" x14ac:dyDescent="0.25">
      <c r="E96">
        <f>S_plus!L87</f>
        <v>0.85000000000000053</v>
      </c>
      <c r="F96">
        <f>MAX(AVERAGE(S_plus!$M$2:$M87)-Asian!strike,0)</f>
        <v>0</v>
      </c>
      <c r="G96">
        <f>MAX(AVERAGE(S_plus!$N$2:$N87)-Asian!strike,0)</f>
        <v>0</v>
      </c>
      <c r="H96">
        <f>MAX(AVERAGE(S_plus!$O$2:$O87)-Asian!strike,0)</f>
        <v>5.7639327745104652</v>
      </c>
      <c r="I96">
        <f>MAX(AVERAGE(S_plus!$P$2:$P87)-Asian!strike,0)</f>
        <v>0</v>
      </c>
      <c r="J96">
        <f>MAX(AVERAGE(S_plus!$Q$2:$Q87)-Asian!strike,0)</f>
        <v>0</v>
      </c>
    </row>
    <row r="97" spans="5:10" x14ac:dyDescent="0.25">
      <c r="E97">
        <f>S_plus!L88</f>
        <v>0.86000000000000054</v>
      </c>
      <c r="F97">
        <f>MAX(AVERAGE(S_plus!$M$2:$M88)-Asian!strike,0)</f>
        <v>0</v>
      </c>
      <c r="G97">
        <f>MAX(AVERAGE(S_plus!$N$2:$N88)-Asian!strike,0)</f>
        <v>0</v>
      </c>
      <c r="H97">
        <f>MAX(AVERAGE(S_plus!$O$2:$O88)-Asian!strike,0)</f>
        <v>5.7757780907344909</v>
      </c>
      <c r="I97">
        <f>MAX(AVERAGE(S_plus!$P$2:$P88)-Asian!strike,0)</f>
        <v>0</v>
      </c>
      <c r="J97">
        <f>MAX(AVERAGE(S_plus!$Q$2:$Q88)-Asian!strike,0)</f>
        <v>0</v>
      </c>
    </row>
    <row r="98" spans="5:10" x14ac:dyDescent="0.25">
      <c r="E98">
        <f>S_plus!L89</f>
        <v>0.87000000000000055</v>
      </c>
      <c r="F98">
        <f>MAX(AVERAGE(S_plus!$M$2:$M89)-Asian!strike,0)</f>
        <v>0</v>
      </c>
      <c r="G98">
        <f>MAX(AVERAGE(S_plus!$N$2:$N89)-Asian!strike,0)</f>
        <v>0</v>
      </c>
      <c r="H98">
        <f>MAX(AVERAGE(S_plus!$O$2:$O89)-Asian!strike,0)</f>
        <v>5.7886575820215995</v>
      </c>
      <c r="I98">
        <f>MAX(AVERAGE(S_plus!$P$2:$P89)-Asian!strike,0)</f>
        <v>0</v>
      </c>
      <c r="J98">
        <f>MAX(AVERAGE(S_plus!$Q$2:$Q89)-Asian!strike,0)</f>
        <v>0</v>
      </c>
    </row>
    <row r="99" spans="5:10" x14ac:dyDescent="0.25">
      <c r="E99">
        <f>S_plus!L90</f>
        <v>0.88000000000000056</v>
      </c>
      <c r="F99">
        <f>MAX(AVERAGE(S_plus!$M$2:$M90)-Asian!strike,0)</f>
        <v>0</v>
      </c>
      <c r="G99">
        <f>MAX(AVERAGE(S_plus!$N$2:$N90)-Asian!strike,0)</f>
        <v>0</v>
      </c>
      <c r="H99">
        <f>MAX(AVERAGE(S_plus!$O$2:$O90)-Asian!strike,0)</f>
        <v>5.8083901505045077</v>
      </c>
      <c r="I99">
        <f>MAX(AVERAGE(S_plus!$P$2:$P90)-Asian!strike,0)</f>
        <v>0</v>
      </c>
      <c r="J99">
        <f>MAX(AVERAGE(S_plus!$Q$2:$Q90)-Asian!strike,0)</f>
        <v>0</v>
      </c>
    </row>
    <row r="100" spans="5:10" x14ac:dyDescent="0.25">
      <c r="E100">
        <f>S_plus!L91</f>
        <v>0.89000000000000057</v>
      </c>
      <c r="F100">
        <f>MAX(AVERAGE(S_plus!$M$2:$M91)-Asian!strike,0)</f>
        <v>0</v>
      </c>
      <c r="G100">
        <f>MAX(AVERAGE(S_plus!$N$2:$N91)-Asian!strike,0)</f>
        <v>0</v>
      </c>
      <c r="H100">
        <f>MAX(AVERAGE(S_plus!$O$2:$O91)-Asian!strike,0)</f>
        <v>5.8183895006100244</v>
      </c>
      <c r="I100">
        <f>MAX(AVERAGE(S_plus!$P$2:$P91)-Asian!strike,0)</f>
        <v>0</v>
      </c>
      <c r="J100">
        <f>MAX(AVERAGE(S_plus!$Q$2:$Q91)-Asian!strike,0)</f>
        <v>0</v>
      </c>
    </row>
    <row r="101" spans="5:10" x14ac:dyDescent="0.25">
      <c r="E101">
        <f>S_plus!L92</f>
        <v>0.90000000000000058</v>
      </c>
      <c r="F101">
        <f>MAX(AVERAGE(S_plus!$M$2:$M92)-Asian!strike,0)</f>
        <v>0</v>
      </c>
      <c r="G101">
        <f>MAX(AVERAGE(S_plus!$N$2:$N92)-Asian!strike,0)</f>
        <v>0</v>
      </c>
      <c r="H101">
        <f>MAX(AVERAGE(S_plus!$O$2:$O92)-Asian!strike,0)</f>
        <v>5.8303977017022106</v>
      </c>
      <c r="I101">
        <f>MAX(AVERAGE(S_plus!$P$2:$P92)-Asian!strike,0)</f>
        <v>0</v>
      </c>
      <c r="J101">
        <f>MAX(AVERAGE(S_plus!$Q$2:$Q92)-Asian!strike,0)</f>
        <v>0</v>
      </c>
    </row>
    <row r="102" spans="5:10" x14ac:dyDescent="0.25">
      <c r="E102">
        <f>S_plus!L93</f>
        <v>0.91000000000000059</v>
      </c>
      <c r="F102">
        <f>MAX(AVERAGE(S_plus!$M$2:$M93)-Asian!strike,0)</f>
        <v>0</v>
      </c>
      <c r="G102">
        <f>MAX(AVERAGE(S_plus!$N$2:$N93)-Asian!strike,0)</f>
        <v>0</v>
      </c>
      <c r="H102">
        <f>MAX(AVERAGE(S_plus!$O$2:$O93)-Asian!strike,0)</f>
        <v>5.8648749714663211</v>
      </c>
      <c r="I102">
        <f>MAX(AVERAGE(S_plus!$P$2:$P93)-Asian!strike,0)</f>
        <v>0</v>
      </c>
      <c r="J102">
        <f>MAX(AVERAGE(S_plus!$Q$2:$Q93)-Asian!strike,0)</f>
        <v>0</v>
      </c>
    </row>
    <row r="103" spans="5:10" x14ac:dyDescent="0.25">
      <c r="E103">
        <f>S_plus!L94</f>
        <v>0.9200000000000006</v>
      </c>
      <c r="F103">
        <f>MAX(AVERAGE(S_plus!$M$2:$M94)-Asian!strike,0)</f>
        <v>0</v>
      </c>
      <c r="G103">
        <f>MAX(AVERAGE(S_plus!$N$2:$N94)-Asian!strike,0)</f>
        <v>0</v>
      </c>
      <c r="H103">
        <f>MAX(AVERAGE(S_plus!$O$2:$O94)-Asian!strike,0)</f>
        <v>5.8823384929236795</v>
      </c>
      <c r="I103">
        <f>MAX(AVERAGE(S_plus!$P$2:$P94)-Asian!strike,0)</f>
        <v>0</v>
      </c>
      <c r="J103">
        <f>MAX(AVERAGE(S_plus!$Q$2:$Q94)-Asian!strike,0)</f>
        <v>0</v>
      </c>
    </row>
    <row r="104" spans="5:10" x14ac:dyDescent="0.25">
      <c r="E104">
        <f>S_plus!L95</f>
        <v>0.9300000000000006</v>
      </c>
      <c r="F104">
        <f>MAX(AVERAGE(S_plus!$M$2:$M95)-Asian!strike,0)</f>
        <v>0</v>
      </c>
      <c r="G104">
        <f>MAX(AVERAGE(S_plus!$N$2:$N95)-Asian!strike,0)</f>
        <v>0</v>
      </c>
      <c r="H104">
        <f>MAX(AVERAGE(S_plus!$O$2:$O95)-Asian!strike,0)</f>
        <v>5.8783569028819329</v>
      </c>
      <c r="I104">
        <f>MAX(AVERAGE(S_plus!$P$2:$P95)-Asian!strike,0)</f>
        <v>0</v>
      </c>
      <c r="J104">
        <f>MAX(AVERAGE(S_plus!$Q$2:$Q95)-Asian!strike,0)</f>
        <v>0</v>
      </c>
    </row>
    <row r="105" spans="5:10" x14ac:dyDescent="0.25">
      <c r="E105">
        <f>S_plus!L96</f>
        <v>0.94000000000000061</v>
      </c>
      <c r="F105">
        <f>MAX(AVERAGE(S_plus!$M$2:$M96)-Asian!strike,0)</f>
        <v>0</v>
      </c>
      <c r="G105">
        <f>MAX(AVERAGE(S_plus!$N$2:$N96)-Asian!strike,0)</f>
        <v>0</v>
      </c>
      <c r="H105">
        <f>MAX(AVERAGE(S_plus!$O$2:$O96)-Asian!strike,0)</f>
        <v>5.8731536730094973</v>
      </c>
      <c r="I105">
        <f>MAX(AVERAGE(S_plus!$P$2:$P96)-Asian!strike,0)</f>
        <v>0</v>
      </c>
      <c r="J105">
        <f>MAX(AVERAGE(S_plus!$Q$2:$Q96)-Asian!strike,0)</f>
        <v>0</v>
      </c>
    </row>
    <row r="106" spans="5:10" x14ac:dyDescent="0.25">
      <c r="E106">
        <f>S_plus!L97</f>
        <v>0.95000000000000062</v>
      </c>
      <c r="F106">
        <f>MAX(AVERAGE(S_plus!$M$2:$M97)-Asian!strike,0)</f>
        <v>0</v>
      </c>
      <c r="G106">
        <f>MAX(AVERAGE(S_plus!$N$2:$N97)-Asian!strike,0)</f>
        <v>0</v>
      </c>
      <c r="H106">
        <f>MAX(AVERAGE(S_plus!$O$2:$O97)-Asian!strike,0)</f>
        <v>5.8341686531448005</v>
      </c>
      <c r="I106">
        <f>MAX(AVERAGE(S_plus!$P$2:$P97)-Asian!strike,0)</f>
        <v>0</v>
      </c>
      <c r="J106">
        <f>MAX(AVERAGE(S_plus!$Q$2:$Q97)-Asian!strike,0)</f>
        <v>0</v>
      </c>
    </row>
    <row r="107" spans="5:10" x14ac:dyDescent="0.25">
      <c r="E107">
        <f>S_plus!L98</f>
        <v>0.96000000000000063</v>
      </c>
      <c r="F107">
        <f>MAX(AVERAGE(S_plus!$M$2:$M98)-Asian!strike,0)</f>
        <v>0</v>
      </c>
      <c r="G107">
        <f>MAX(AVERAGE(S_plus!$N$2:$N98)-Asian!strike,0)</f>
        <v>0</v>
      </c>
      <c r="H107">
        <f>MAX(AVERAGE(S_plus!$O$2:$O98)-Asian!strike,0)</f>
        <v>5.8228826481433202</v>
      </c>
      <c r="I107">
        <f>MAX(AVERAGE(S_plus!$P$2:$P98)-Asian!strike,0)</f>
        <v>0</v>
      </c>
      <c r="J107">
        <f>MAX(AVERAGE(S_plus!$Q$2:$Q98)-Asian!strike,0)</f>
        <v>0</v>
      </c>
    </row>
    <row r="108" spans="5:10" x14ac:dyDescent="0.25">
      <c r="E108">
        <f>S_plus!L99</f>
        <v>0.97000000000000064</v>
      </c>
      <c r="F108">
        <f>MAX(AVERAGE(S_plus!$M$2:$M99)-Asian!strike,0)</f>
        <v>0</v>
      </c>
      <c r="G108">
        <f>MAX(AVERAGE(S_plus!$N$2:$N99)-Asian!strike,0)</f>
        <v>0</v>
      </c>
      <c r="H108">
        <f>MAX(AVERAGE(S_plus!$O$2:$O99)-Asian!strike,0)</f>
        <v>5.8220860450398106</v>
      </c>
      <c r="I108">
        <f>MAX(AVERAGE(S_plus!$P$2:$P99)-Asian!strike,0)</f>
        <v>0</v>
      </c>
      <c r="J108">
        <f>MAX(AVERAGE(S_plus!$Q$2:$Q99)-Asian!strike,0)</f>
        <v>0</v>
      </c>
    </row>
    <row r="109" spans="5:10" x14ac:dyDescent="0.25">
      <c r="E109">
        <f>S_plus!L100</f>
        <v>0.98000000000000065</v>
      </c>
      <c r="F109">
        <f>MAX(AVERAGE(S_plus!$M$2:$M100)-Asian!strike,0)</f>
        <v>0</v>
      </c>
      <c r="G109">
        <f>MAX(AVERAGE(S_plus!$N$2:$N100)-Asian!strike,0)</f>
        <v>0</v>
      </c>
      <c r="H109">
        <f>MAX(AVERAGE(S_plus!$O$2:$O100)-Asian!strike,0)</f>
        <v>5.7958365027464822</v>
      </c>
      <c r="I109">
        <f>MAX(AVERAGE(S_plus!$P$2:$P100)-Asian!strike,0)</f>
        <v>0</v>
      </c>
      <c r="J109">
        <f>MAX(AVERAGE(S_plus!$Q$2:$Q100)-Asian!strike,0)</f>
        <v>0</v>
      </c>
    </row>
    <row r="110" spans="5:10" x14ac:dyDescent="0.25">
      <c r="E110">
        <f>S_plus!L101</f>
        <v>0.99000000000000066</v>
      </c>
      <c r="F110">
        <f>MAX(AVERAGE(S_plus!$M$2:$M101)-Asian!strike,0)</f>
        <v>0</v>
      </c>
      <c r="G110">
        <f>MAX(AVERAGE(S_plus!$N$2:$N101)-Asian!strike,0)</f>
        <v>0</v>
      </c>
      <c r="H110">
        <f>MAX(AVERAGE(S_plus!$O$2:$O101)-Asian!strike,0)</f>
        <v>5.7813533617690211</v>
      </c>
      <c r="I110">
        <f>MAX(AVERAGE(S_plus!$P$2:$P101)-Asian!strike,0)</f>
        <v>0</v>
      </c>
      <c r="J110">
        <f>MAX(AVERAGE(S_plus!$Q$2:$Q101)-Asian!strike,0)</f>
        <v>0</v>
      </c>
    </row>
    <row r="111" spans="5:10" x14ac:dyDescent="0.25">
      <c r="E111">
        <f>S_plus!L102</f>
        <v>1.0000000000000007</v>
      </c>
      <c r="F111">
        <f>MAX(AVERAGE(S_plus!$M$2:$M102)-Asian!strike,0)</f>
        <v>0</v>
      </c>
      <c r="G111">
        <f>MAX(AVERAGE(S_plus!$N$2:$N102)-Asian!strike,0)</f>
        <v>0</v>
      </c>
      <c r="H111">
        <f>MAX(AVERAGE(S_plus!$O$2:$O102)-Asian!strike,0)</f>
        <v>5.7447214753257612</v>
      </c>
      <c r="I111">
        <f>MAX(AVERAGE(S_plus!$P$2:$P102)-Asian!strike,0)</f>
        <v>0</v>
      </c>
      <c r="J111">
        <f>MAX(AVERAGE(S_plus!$Q$2:$Q102)-Asian!strike,0)</f>
        <v>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C1:DA102"/>
  <sheetViews>
    <sheetView workbookViewId="0">
      <selection activeCell="F1" sqref="F1"/>
    </sheetView>
  </sheetViews>
  <sheetFormatPr defaultRowHeight="15" x14ac:dyDescent="0.25"/>
  <cols>
    <col min="6" max="6" width="10.5703125" bestFit="1" customWidth="1"/>
  </cols>
  <sheetData>
    <row r="1" spans="3:105" x14ac:dyDescent="0.25"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6</v>
      </c>
      <c r="K1" t="s">
        <v>7</v>
      </c>
      <c r="L1" t="s">
        <v>8</v>
      </c>
      <c r="M1" t="s">
        <v>9</v>
      </c>
      <c r="N1" t="s">
        <v>10</v>
      </c>
      <c r="O1" t="s">
        <v>11</v>
      </c>
      <c r="P1" t="s">
        <v>12</v>
      </c>
      <c r="Q1" t="s">
        <v>13</v>
      </c>
      <c r="R1" t="s">
        <v>14</v>
      </c>
      <c r="S1" t="s">
        <v>15</v>
      </c>
      <c r="T1" t="s">
        <v>16</v>
      </c>
      <c r="U1" t="s">
        <v>17</v>
      </c>
      <c r="V1" t="s">
        <v>18</v>
      </c>
      <c r="W1" t="s">
        <v>19</v>
      </c>
      <c r="X1" t="s">
        <v>20</v>
      </c>
      <c r="Y1" t="s">
        <v>21</v>
      </c>
      <c r="Z1" t="s">
        <v>22</v>
      </c>
      <c r="AA1" t="s">
        <v>23</v>
      </c>
      <c r="AB1" t="s">
        <v>24</v>
      </c>
      <c r="AC1" t="s">
        <v>25</v>
      </c>
      <c r="AD1" t="s">
        <v>26</v>
      </c>
      <c r="AE1" t="s">
        <v>27</v>
      </c>
      <c r="AF1" t="s">
        <v>28</v>
      </c>
      <c r="AG1" t="s">
        <v>29</v>
      </c>
      <c r="AH1" t="s">
        <v>30</v>
      </c>
      <c r="AI1" t="s">
        <v>31</v>
      </c>
      <c r="AJ1" t="s">
        <v>32</v>
      </c>
      <c r="AK1" t="s">
        <v>33</v>
      </c>
      <c r="AL1" t="s">
        <v>34</v>
      </c>
      <c r="AM1" t="s">
        <v>35</v>
      </c>
      <c r="AN1" t="s">
        <v>36</v>
      </c>
      <c r="AO1" t="s">
        <v>37</v>
      </c>
      <c r="AP1" t="s">
        <v>38</v>
      </c>
      <c r="AQ1" t="s">
        <v>39</v>
      </c>
      <c r="AR1" t="s">
        <v>40</v>
      </c>
      <c r="AS1" t="s">
        <v>41</v>
      </c>
      <c r="AT1" t="s">
        <v>42</v>
      </c>
      <c r="AU1" t="s">
        <v>43</v>
      </c>
      <c r="AV1" t="s">
        <v>44</v>
      </c>
      <c r="AW1" t="s">
        <v>45</v>
      </c>
      <c r="AX1" t="s">
        <v>46</v>
      </c>
      <c r="AY1" t="s">
        <v>47</v>
      </c>
      <c r="AZ1" t="s">
        <v>48</v>
      </c>
      <c r="BA1" t="s">
        <v>49</v>
      </c>
      <c r="BB1" t="s">
        <v>50</v>
      </c>
      <c r="BC1" t="s">
        <v>51</v>
      </c>
      <c r="BD1" t="s">
        <v>52</v>
      </c>
      <c r="BE1" t="s">
        <v>53</v>
      </c>
      <c r="BF1" t="s">
        <v>54</v>
      </c>
      <c r="BG1" t="s">
        <v>55</v>
      </c>
      <c r="BH1" t="s">
        <v>56</v>
      </c>
      <c r="BI1" t="s">
        <v>57</v>
      </c>
      <c r="BJ1" t="s">
        <v>58</v>
      </c>
      <c r="BK1" t="s">
        <v>59</v>
      </c>
      <c r="BL1" t="s">
        <v>60</v>
      </c>
      <c r="BM1" t="s">
        <v>61</v>
      </c>
      <c r="BN1" t="s">
        <v>62</v>
      </c>
      <c r="BO1" t="s">
        <v>63</v>
      </c>
      <c r="BP1" t="s">
        <v>64</v>
      </c>
      <c r="BQ1" t="s">
        <v>65</v>
      </c>
      <c r="BR1" t="s">
        <v>66</v>
      </c>
      <c r="BS1" t="s">
        <v>67</v>
      </c>
      <c r="BT1" t="s">
        <v>68</v>
      </c>
      <c r="BU1" t="s">
        <v>69</v>
      </c>
      <c r="BV1" t="s">
        <v>70</v>
      </c>
      <c r="BW1" t="s">
        <v>71</v>
      </c>
      <c r="BX1" t="s">
        <v>72</v>
      </c>
      <c r="BY1" t="s">
        <v>73</v>
      </c>
      <c r="BZ1" t="s">
        <v>74</v>
      </c>
      <c r="CA1" t="s">
        <v>75</v>
      </c>
      <c r="CB1" t="s">
        <v>76</v>
      </c>
      <c r="CC1" t="s">
        <v>77</v>
      </c>
      <c r="CD1" t="s">
        <v>78</v>
      </c>
      <c r="CE1" t="s">
        <v>79</v>
      </c>
      <c r="CF1" t="s">
        <v>80</v>
      </c>
      <c r="CG1" t="s">
        <v>81</v>
      </c>
      <c r="CH1" t="s">
        <v>82</v>
      </c>
      <c r="CI1" t="s">
        <v>83</v>
      </c>
      <c r="CJ1" t="s">
        <v>84</v>
      </c>
      <c r="CK1" t="s">
        <v>85</v>
      </c>
      <c r="CL1" t="s">
        <v>86</v>
      </c>
      <c r="CM1" t="s">
        <v>87</v>
      </c>
      <c r="CN1" t="s">
        <v>88</v>
      </c>
      <c r="CO1" t="s">
        <v>89</v>
      </c>
      <c r="CP1" t="s">
        <v>90</v>
      </c>
      <c r="CQ1" t="s">
        <v>91</v>
      </c>
      <c r="CR1" t="s">
        <v>92</v>
      </c>
      <c r="CS1" t="s">
        <v>93</v>
      </c>
      <c r="CT1" t="s">
        <v>94</v>
      </c>
      <c r="CU1" t="s">
        <v>95</v>
      </c>
      <c r="CV1" t="s">
        <v>96</v>
      </c>
      <c r="CW1" t="s">
        <v>97</v>
      </c>
      <c r="CX1" t="s">
        <v>98</v>
      </c>
      <c r="CY1" t="s">
        <v>99</v>
      </c>
      <c r="CZ1" t="s">
        <v>100</v>
      </c>
      <c r="DA1" t="s">
        <v>101</v>
      </c>
    </row>
    <row r="2" spans="3:105" x14ac:dyDescent="0.25">
      <c r="E2">
        <v>0</v>
      </c>
      <c r="F2">
        <f>AVERAGE(S_plus!M$2:'S_plus'!M2)</f>
        <v>100</v>
      </c>
      <c r="G2">
        <f>AVERAGE(S_plus!N$2:'S_plus'!N2)</f>
        <v>100</v>
      </c>
      <c r="H2">
        <f>AVERAGE(S_plus!O$2:'S_plus'!O2)</f>
        <v>100</v>
      </c>
      <c r="I2">
        <f>AVERAGE(S_plus!P$2:'S_plus'!P2)</f>
        <v>100</v>
      </c>
      <c r="J2">
        <f>AVERAGE(S_plus!Q$2:'S_plus'!Q2)</f>
        <v>100</v>
      </c>
      <c r="K2">
        <f>AVERAGE(S_plus!R$2:'S_plus'!R2)</f>
        <v>100</v>
      </c>
      <c r="L2">
        <f>AVERAGE(S_plus!S$2:'S_plus'!S2)</f>
        <v>100</v>
      </c>
      <c r="M2">
        <f>AVERAGE(S_plus!T$2:'S_plus'!T2)</f>
        <v>100</v>
      </c>
      <c r="N2">
        <f>AVERAGE(S_plus!U$2:'S_plus'!U2)</f>
        <v>100</v>
      </c>
      <c r="O2">
        <f>AVERAGE(S_plus!V$2:'S_plus'!V2)</f>
        <v>100</v>
      </c>
      <c r="P2">
        <f>AVERAGE(S_plus!W$2:'S_plus'!W2)</f>
        <v>100</v>
      </c>
      <c r="Q2">
        <f>AVERAGE(S_plus!X$2:'S_plus'!X2)</f>
        <v>100</v>
      </c>
      <c r="R2">
        <f>AVERAGE(S_plus!Y$2:'S_plus'!Y2)</f>
        <v>100</v>
      </c>
      <c r="S2">
        <f>AVERAGE(S_plus!Z$2:'S_plus'!Z2)</f>
        <v>100</v>
      </c>
      <c r="T2">
        <f>AVERAGE(S_plus!AA$2:'S_plus'!AA2)</f>
        <v>100</v>
      </c>
      <c r="U2">
        <f>AVERAGE(S_plus!AB$2:'S_plus'!AB2)</f>
        <v>100</v>
      </c>
      <c r="V2">
        <f>AVERAGE(S_plus!AC$2:'S_plus'!AC2)</f>
        <v>100</v>
      </c>
      <c r="W2">
        <f>AVERAGE(S_plus!AD$2:'S_plus'!AD2)</f>
        <v>100</v>
      </c>
      <c r="X2">
        <f>AVERAGE(S_plus!AE$2:'S_plus'!AE2)</f>
        <v>100</v>
      </c>
      <c r="Y2">
        <f>AVERAGE(S_plus!AF$2:'S_plus'!AF2)</f>
        <v>100</v>
      </c>
      <c r="Z2">
        <f>AVERAGE(S_plus!AG$2:'S_plus'!AG2)</f>
        <v>100</v>
      </c>
      <c r="AA2">
        <f>AVERAGE(S_plus!AH$2:'S_plus'!AH2)</f>
        <v>100</v>
      </c>
      <c r="AB2">
        <f>AVERAGE(S_plus!AI$2:'S_plus'!AI2)</f>
        <v>100</v>
      </c>
      <c r="AC2">
        <f>AVERAGE(S_plus!AJ$2:'S_plus'!AJ2)</f>
        <v>100</v>
      </c>
      <c r="AD2">
        <f>AVERAGE(S_plus!AK$2:'S_plus'!AK2)</f>
        <v>100</v>
      </c>
      <c r="AE2">
        <f>AVERAGE(S_plus!AL$2:'S_plus'!AL2)</f>
        <v>100</v>
      </c>
      <c r="AF2">
        <f>AVERAGE(S_plus!AM$2:'S_plus'!AM2)</f>
        <v>100</v>
      </c>
      <c r="AG2">
        <f>AVERAGE(S_plus!AN$2:'S_plus'!AN2)</f>
        <v>100</v>
      </c>
      <c r="AH2">
        <f>AVERAGE(S_plus!AO$2:'S_plus'!AO2)</f>
        <v>100</v>
      </c>
      <c r="AI2">
        <f>AVERAGE(S_plus!AP$2:'S_plus'!AP2)</f>
        <v>100</v>
      </c>
      <c r="AJ2">
        <f>AVERAGE(S_plus!AQ$2:'S_plus'!AQ2)</f>
        <v>100</v>
      </c>
      <c r="AK2">
        <f>AVERAGE(S_plus!AR$2:'S_plus'!AR2)</f>
        <v>100</v>
      </c>
      <c r="AL2">
        <f>AVERAGE(S_plus!AS$2:'S_plus'!AS2)</f>
        <v>100</v>
      </c>
      <c r="AM2">
        <f>AVERAGE(S_plus!AT$2:'S_plus'!AT2)</f>
        <v>100</v>
      </c>
      <c r="AN2">
        <f>AVERAGE(S_plus!AU$2:'S_plus'!AU2)</f>
        <v>100</v>
      </c>
      <c r="AO2">
        <f>AVERAGE(S_plus!AV$2:'S_plus'!AV2)</f>
        <v>100</v>
      </c>
      <c r="AP2">
        <f>AVERAGE(S_plus!AW$2:'S_plus'!AW2)</f>
        <v>100</v>
      </c>
      <c r="AQ2">
        <f>AVERAGE(S_plus!AX$2:'S_plus'!AX2)</f>
        <v>100</v>
      </c>
      <c r="AR2">
        <f>AVERAGE(S_plus!AY$2:'S_plus'!AY2)</f>
        <v>100</v>
      </c>
      <c r="AS2">
        <f>AVERAGE(S_plus!AZ$2:'S_plus'!AZ2)</f>
        <v>100</v>
      </c>
      <c r="AT2">
        <f>AVERAGE(S_plus!BA$2:'S_plus'!BA2)</f>
        <v>100</v>
      </c>
      <c r="AU2">
        <f>AVERAGE(S_plus!BB$2:'S_plus'!BB2)</f>
        <v>100</v>
      </c>
      <c r="AV2">
        <f>AVERAGE(S_plus!BC$2:'S_plus'!BC2)</f>
        <v>100</v>
      </c>
      <c r="AW2">
        <f>AVERAGE(S_plus!BD$2:'S_plus'!BD2)</f>
        <v>100</v>
      </c>
      <c r="AX2">
        <f>AVERAGE(S_plus!BE$2:'S_plus'!BE2)</f>
        <v>100</v>
      </c>
      <c r="AY2">
        <f>AVERAGE(S_plus!BF$2:'S_plus'!BF2)</f>
        <v>100</v>
      </c>
      <c r="AZ2">
        <f>AVERAGE(S_plus!BG$2:'S_plus'!BG2)</f>
        <v>100</v>
      </c>
      <c r="BA2">
        <f>AVERAGE(S_plus!BH$2:'S_plus'!BH2)</f>
        <v>100</v>
      </c>
      <c r="BB2">
        <f>AVERAGE(S_plus!BI$2:'S_plus'!BI2)</f>
        <v>100</v>
      </c>
      <c r="BC2">
        <f>AVERAGE(S_plus!BJ$2:'S_plus'!BJ2)</f>
        <v>100</v>
      </c>
      <c r="BD2">
        <f>AVERAGE(S_plus!BK$2:'S_plus'!BK2)</f>
        <v>100</v>
      </c>
      <c r="BE2">
        <f>AVERAGE(S_plus!BL$2:'S_plus'!BL2)</f>
        <v>100</v>
      </c>
      <c r="BF2">
        <f>AVERAGE(S_plus!BM$2:'S_plus'!BM2)</f>
        <v>100</v>
      </c>
      <c r="BG2">
        <f>AVERAGE(S_plus!BN$2:'S_plus'!BN2)</f>
        <v>100</v>
      </c>
      <c r="BH2">
        <f>AVERAGE(S_plus!BO$2:'S_plus'!BO2)</f>
        <v>100</v>
      </c>
      <c r="BI2">
        <f>AVERAGE(S_plus!BP$2:'S_plus'!BP2)</f>
        <v>100</v>
      </c>
      <c r="BJ2">
        <f>AVERAGE(S_plus!BQ$2:'S_plus'!BQ2)</f>
        <v>100</v>
      </c>
      <c r="BK2">
        <f>AVERAGE(S_plus!BR$2:'S_plus'!BR2)</f>
        <v>100</v>
      </c>
      <c r="BL2">
        <f>AVERAGE(S_plus!BS$2:'S_plus'!BS2)</f>
        <v>100</v>
      </c>
      <c r="BM2">
        <f>AVERAGE(S_plus!BT$2:'S_plus'!BT2)</f>
        <v>100</v>
      </c>
      <c r="BN2">
        <f>AVERAGE(S_plus!BU$2:'S_plus'!BU2)</f>
        <v>100</v>
      </c>
      <c r="BO2">
        <f>AVERAGE(S_plus!BV$2:'S_plus'!BV2)</f>
        <v>100</v>
      </c>
      <c r="BP2">
        <f>AVERAGE(S_plus!BW$2:'S_plus'!BW2)</f>
        <v>100</v>
      </c>
      <c r="BQ2">
        <f>AVERAGE(S_plus!BX$2:'S_plus'!BX2)</f>
        <v>100</v>
      </c>
      <c r="BR2">
        <f>AVERAGE(S_plus!BY$2:'S_plus'!BY2)</f>
        <v>100</v>
      </c>
      <c r="BS2">
        <f>AVERAGE(S_plus!BZ$2:'S_plus'!BZ2)</f>
        <v>100</v>
      </c>
      <c r="BT2">
        <f>AVERAGE(S_plus!CA$2:'S_plus'!CA2)</f>
        <v>100</v>
      </c>
      <c r="BU2">
        <f>AVERAGE(S_plus!CB$2:'S_plus'!CB2)</f>
        <v>100</v>
      </c>
      <c r="BV2">
        <f>AVERAGE(S_plus!CC$2:'S_plus'!CC2)</f>
        <v>100</v>
      </c>
      <c r="BW2">
        <f>AVERAGE(S_plus!CD$2:'S_plus'!CD2)</f>
        <v>100</v>
      </c>
      <c r="BX2">
        <f>AVERAGE(S_plus!CE$2:'S_plus'!CE2)</f>
        <v>100</v>
      </c>
      <c r="BY2">
        <f>AVERAGE(S_plus!CF$2:'S_plus'!CF2)</f>
        <v>100</v>
      </c>
      <c r="BZ2">
        <f>AVERAGE(S_plus!CG$2:'S_plus'!CG2)</f>
        <v>100</v>
      </c>
      <c r="CA2">
        <f>AVERAGE(S_plus!CH$2:'S_plus'!CH2)</f>
        <v>100</v>
      </c>
      <c r="CB2">
        <f>AVERAGE(S_plus!CI$2:'S_plus'!CI2)</f>
        <v>100</v>
      </c>
      <c r="CC2">
        <f>AVERAGE(S_plus!CJ$2:'S_plus'!CJ2)</f>
        <v>100</v>
      </c>
      <c r="CD2">
        <f>AVERAGE(S_plus!CK$2:'S_plus'!CK2)</f>
        <v>100</v>
      </c>
      <c r="CE2">
        <f>AVERAGE(S_plus!CL$2:'S_plus'!CL2)</f>
        <v>100</v>
      </c>
      <c r="CF2">
        <f>AVERAGE(S_plus!CM$2:'S_plus'!CM2)</f>
        <v>100</v>
      </c>
      <c r="CG2">
        <f>AVERAGE(S_plus!CN$2:'S_plus'!CN2)</f>
        <v>100</v>
      </c>
      <c r="CH2">
        <f>AVERAGE(S_plus!CO$2:'S_plus'!CO2)</f>
        <v>100</v>
      </c>
      <c r="CI2">
        <f>AVERAGE(S_plus!CP$2:'S_plus'!CP2)</f>
        <v>100</v>
      </c>
      <c r="CJ2">
        <f>AVERAGE(S_plus!CQ$2:'S_plus'!CQ2)</f>
        <v>100</v>
      </c>
      <c r="CK2">
        <f>AVERAGE(S_plus!CR$2:'S_plus'!CR2)</f>
        <v>100</v>
      </c>
      <c r="CL2">
        <f>AVERAGE(S_plus!CS$2:'S_plus'!CS2)</f>
        <v>100</v>
      </c>
      <c r="CM2">
        <f>AVERAGE(S_plus!CT$2:'S_plus'!CT2)</f>
        <v>100</v>
      </c>
      <c r="CN2">
        <f>AVERAGE(S_plus!CU$2:'S_plus'!CU2)</f>
        <v>100</v>
      </c>
      <c r="CO2">
        <f>AVERAGE(S_plus!CV$2:'S_plus'!CV2)</f>
        <v>100</v>
      </c>
      <c r="CP2">
        <f>AVERAGE(S_plus!CW$2:'S_plus'!CW2)</f>
        <v>100</v>
      </c>
      <c r="CQ2">
        <f>AVERAGE(S_plus!CX$2:'S_plus'!CX2)</f>
        <v>100</v>
      </c>
      <c r="CR2">
        <f>AVERAGE(S_plus!CY$2:'S_plus'!CY2)</f>
        <v>100</v>
      </c>
      <c r="CS2">
        <f>AVERAGE(S_plus!CZ$2:'S_plus'!CZ2)</f>
        <v>100</v>
      </c>
      <c r="CT2">
        <f>AVERAGE(S_plus!DA$2:'S_plus'!DA2)</f>
        <v>100</v>
      </c>
      <c r="CU2">
        <f>AVERAGE(S_plus!DB$2:'S_plus'!DB2)</f>
        <v>100</v>
      </c>
      <c r="CV2">
        <f>AVERAGE(S_plus!DC$2:'S_plus'!DC2)</f>
        <v>100</v>
      </c>
      <c r="CW2">
        <f>AVERAGE(S_plus!DD$2:'S_plus'!DD2)</f>
        <v>100</v>
      </c>
      <c r="CX2">
        <f>AVERAGE(S_plus!DE$2:'S_plus'!DE2)</f>
        <v>100</v>
      </c>
      <c r="CY2">
        <f>AVERAGE(S_plus!DF$2:'S_plus'!DF2)</f>
        <v>100</v>
      </c>
      <c r="CZ2">
        <f>AVERAGE(S_plus!DG$2:'S_plus'!DG2)</f>
        <v>100</v>
      </c>
      <c r="DA2">
        <f>AVERAGE(S_plus!DH$2:'S_plus'!DH2)</f>
        <v>100</v>
      </c>
    </row>
    <row r="3" spans="3:105" x14ac:dyDescent="0.25">
      <c r="C3" s="5"/>
      <c r="E3">
        <f>E2+Asian!dt</f>
        <v>0.01</v>
      </c>
      <c r="F3">
        <f>AVERAGE(S_plus!M$2:'S_plus'!M3)</f>
        <v>99.626204142000006</v>
      </c>
      <c r="G3">
        <f>AVERAGE(S_plus!N$2:'S_plus'!N3)</f>
        <v>99.437675744800003</v>
      </c>
      <c r="H3">
        <f>AVERAGE(S_plus!O$2:'S_plus'!O3)</f>
        <v>102.001972473</v>
      </c>
      <c r="I3">
        <f>AVERAGE(S_plus!P$2:'S_plus'!P3)</f>
        <v>98.187139631700006</v>
      </c>
      <c r="J3">
        <f>AVERAGE(S_plus!Q$2:'S_plus'!Q3)</f>
        <v>99.449873716149995</v>
      </c>
      <c r="K3">
        <f>AVERAGE(S_plus!R$2:'S_plus'!R3)</f>
        <v>101.00381282250001</v>
      </c>
      <c r="L3">
        <f>AVERAGE(S_plus!S$2:'S_plus'!S3)</f>
        <v>100.918380654</v>
      </c>
      <c r="M3">
        <f>AVERAGE(S_plus!T$2:'S_plus'!T3)</f>
        <v>99.779295750649993</v>
      </c>
      <c r="N3">
        <f>AVERAGE(S_plus!U$2:'S_plus'!U3)</f>
        <v>100.45804360599999</v>
      </c>
      <c r="O3">
        <f>AVERAGE(S_plus!V$2:'S_plus'!V3)</f>
        <v>99.03243486285001</v>
      </c>
      <c r="P3">
        <f>AVERAGE(S_plus!W$2:'S_plus'!W3)</f>
        <v>100.311378218</v>
      </c>
      <c r="Q3">
        <f>AVERAGE(S_plus!X$2:'S_plus'!X3)</f>
        <v>100.05717746799999</v>
      </c>
      <c r="R3">
        <f>AVERAGE(S_plus!Y$2:'S_plus'!Y3)</f>
        <v>100.78294758</v>
      </c>
      <c r="S3">
        <f>AVERAGE(S_plus!Z$2:'S_plus'!Z3)</f>
        <v>100.6468997675</v>
      </c>
      <c r="T3">
        <f>AVERAGE(S_plus!AA$2:'S_plus'!AA3)</f>
        <v>100.122237998</v>
      </c>
      <c r="U3">
        <f>AVERAGE(S_plus!AB$2:'S_plus'!AB3)</f>
        <v>98.483925585250006</v>
      </c>
      <c r="V3">
        <f>AVERAGE(S_plus!AC$2:'S_plus'!AC3)</f>
        <v>97.193585709849998</v>
      </c>
      <c r="W3">
        <f>AVERAGE(S_plus!AD$2:'S_plus'!AD3)</f>
        <v>100.7764746085</v>
      </c>
      <c r="X3">
        <f>AVERAGE(S_plus!AE$2:'S_plus'!AE3)</f>
        <v>98.73232637160001</v>
      </c>
      <c r="Y3">
        <f>AVERAGE(S_plus!AF$2:'S_plus'!AF3)</f>
        <v>99.157460151250007</v>
      </c>
      <c r="Z3">
        <f>AVERAGE(S_plus!AG$2:'S_plus'!AG3)</f>
        <v>98.84111902890001</v>
      </c>
      <c r="AA3">
        <f>AVERAGE(S_plus!AH$2:'S_plus'!AH3)</f>
        <v>99.045766270599998</v>
      </c>
      <c r="AB3">
        <f>AVERAGE(S_plus!AI$2:'S_plus'!AI3)</f>
        <v>98.090532490900003</v>
      </c>
      <c r="AC3">
        <f>AVERAGE(S_plus!AJ$2:'S_plus'!AJ3)</f>
        <v>99.538758726249995</v>
      </c>
      <c r="AD3">
        <f>AVERAGE(S_plus!AK$2:'S_plus'!AK3)</f>
        <v>101.1089484245</v>
      </c>
      <c r="AE3">
        <f>AVERAGE(S_plus!AL$2:'S_plus'!AL3)</f>
        <v>101.13025510200001</v>
      </c>
      <c r="AF3">
        <f>AVERAGE(S_plus!AM$2:'S_plus'!AM3)</f>
        <v>100.709742199</v>
      </c>
      <c r="AG3">
        <f>AVERAGE(S_plus!AN$2:'S_plus'!AN3)</f>
        <v>100.3374116035</v>
      </c>
      <c r="AH3">
        <f>AVERAGE(S_plus!AO$2:'S_plus'!AO3)</f>
        <v>99.418140360899997</v>
      </c>
      <c r="AI3">
        <f>AVERAGE(S_plus!AP$2:'S_plus'!AP3)</f>
        <v>99.84557856715</v>
      </c>
      <c r="AJ3">
        <f>AVERAGE(S_plus!AQ$2:'S_plus'!AQ3)</f>
        <v>98.639879859449991</v>
      </c>
      <c r="AK3">
        <f>AVERAGE(S_plus!AR$2:'S_plus'!AR3)</f>
        <v>99.802206459550007</v>
      </c>
      <c r="AL3">
        <f>AVERAGE(S_plus!AS$2:'S_plus'!AS3)</f>
        <v>101.3159926125</v>
      </c>
      <c r="AM3">
        <f>AVERAGE(S_plus!AT$2:'S_plus'!AT3)</f>
        <v>100.604066038</v>
      </c>
      <c r="AN3">
        <f>AVERAGE(S_plus!AU$2:'S_plus'!AU3)</f>
        <v>99.449957185800002</v>
      </c>
      <c r="AO3">
        <f>AVERAGE(S_plus!AV$2:'S_plus'!AV3)</f>
        <v>99.971188011850003</v>
      </c>
      <c r="AP3">
        <f>AVERAGE(S_plus!AW$2:'S_plus'!AW3)</f>
        <v>100.97666096</v>
      </c>
      <c r="AQ3">
        <f>AVERAGE(S_plus!AX$2:'S_plus'!AX3)</f>
        <v>99.688696318650003</v>
      </c>
      <c r="AR3">
        <f>AVERAGE(S_plus!AY$2:'S_plus'!AY3)</f>
        <v>99.559396624100003</v>
      </c>
      <c r="AS3">
        <f>AVERAGE(S_plus!AZ$2:'S_plus'!AZ3)</f>
        <v>100.36756031749999</v>
      </c>
      <c r="AT3">
        <f>AVERAGE(S_plus!BA$2:'S_plus'!BA3)</f>
        <v>99.656852732700003</v>
      </c>
      <c r="AU3">
        <f>AVERAGE(S_plus!BB$2:'S_plus'!BB3)</f>
        <v>99.503148851800006</v>
      </c>
      <c r="AV3">
        <f>AVERAGE(S_plus!BC$2:'S_plus'!BC3)</f>
        <v>99.033708415749999</v>
      </c>
      <c r="AW3">
        <f>AVERAGE(S_plus!BD$2:'S_plus'!BD3)</f>
        <v>98.792992384100003</v>
      </c>
      <c r="AX3">
        <f>AVERAGE(S_plus!BE$2:'S_plus'!BE3)</f>
        <v>99.356899394999999</v>
      </c>
      <c r="AY3">
        <f>AVERAGE(S_plus!BF$2:'S_plus'!BF3)</f>
        <v>100.777834626</v>
      </c>
      <c r="AZ3">
        <f>AVERAGE(S_plus!BG$2:'S_plus'!BG3)</f>
        <v>98.771053294449999</v>
      </c>
      <c r="BA3">
        <f>AVERAGE(S_plus!BH$2:'S_plus'!BH3)</f>
        <v>99.353449430300003</v>
      </c>
      <c r="BB3">
        <f>AVERAGE(S_plus!BI$2:'S_plus'!BI3)</f>
        <v>100.4042040355</v>
      </c>
      <c r="BC3">
        <f>AVERAGE(S_plus!BJ$2:'S_plus'!BJ3)</f>
        <v>101.1764760745</v>
      </c>
      <c r="BD3">
        <f>AVERAGE(S_plus!BK$2:'S_plus'!BK3)</f>
        <v>100.93377567350001</v>
      </c>
      <c r="BE3">
        <f>AVERAGE(S_plus!BL$2:'S_plus'!BL3)</f>
        <v>99.829066136999998</v>
      </c>
      <c r="BF3">
        <f>AVERAGE(S_plus!BM$2:'S_plus'!BM3)</f>
        <v>99.025121350900008</v>
      </c>
      <c r="BG3">
        <f>AVERAGE(S_plus!BN$2:'S_plus'!BN3)</f>
        <v>98.892947202100004</v>
      </c>
      <c r="BH3">
        <f>AVERAGE(S_plus!BO$2:'S_plus'!BO3)</f>
        <v>100.656738171</v>
      </c>
      <c r="BI3">
        <f>AVERAGE(S_plus!BP$2:'S_plus'!BP3)</f>
        <v>99.771318108549991</v>
      </c>
      <c r="BJ3">
        <f>AVERAGE(S_plus!BQ$2:'S_plus'!BQ3)</f>
        <v>100.251272333</v>
      </c>
      <c r="BK3">
        <f>AVERAGE(S_plus!BR$2:'S_plus'!BR3)</f>
        <v>99.076455190100006</v>
      </c>
      <c r="BL3">
        <f>AVERAGE(S_plus!BS$2:'S_plus'!BS3)</f>
        <v>100.717232403</v>
      </c>
      <c r="BM3">
        <f>AVERAGE(S_plus!BT$2:'S_plus'!BT3)</f>
        <v>100.9061194905</v>
      </c>
      <c r="BN3">
        <f>AVERAGE(S_plus!BU$2:'S_plus'!BU3)</f>
        <v>100.43967151550001</v>
      </c>
      <c r="BO3">
        <f>AVERAGE(S_plus!BV$2:'S_plus'!BV3)</f>
        <v>99.618135910600003</v>
      </c>
      <c r="BP3">
        <f>AVERAGE(S_plus!BW$2:'S_plus'!BW3)</f>
        <v>100.21464004250001</v>
      </c>
      <c r="BQ3">
        <f>AVERAGE(S_plus!BX$2:'S_plus'!BX3)</f>
        <v>99.396241680900005</v>
      </c>
      <c r="BR3">
        <f>AVERAGE(S_plus!BY$2:'S_plus'!BY3)</f>
        <v>99.571927104150006</v>
      </c>
      <c r="BS3">
        <f>AVERAGE(S_plus!BZ$2:'S_plus'!BZ3)</f>
        <v>98.507069221549997</v>
      </c>
      <c r="BT3">
        <f>AVERAGE(S_plus!CA$2:'S_plus'!CA3)</f>
        <v>99.935319467949995</v>
      </c>
      <c r="BU3">
        <f>AVERAGE(S_plus!CB$2:'S_plus'!CB3)</f>
        <v>98.448217750600008</v>
      </c>
      <c r="BV3">
        <f>AVERAGE(S_plus!CC$2:'S_plus'!CC3)</f>
        <v>100.1904585865</v>
      </c>
      <c r="BW3">
        <f>AVERAGE(S_plus!CD$2:'S_plus'!CD3)</f>
        <v>98.255022920599998</v>
      </c>
      <c r="BX3">
        <f>AVERAGE(S_plus!CE$2:'S_plus'!CE3)</f>
        <v>98.07146056465001</v>
      </c>
      <c r="BY3">
        <f>AVERAGE(S_plus!CF$2:'S_plus'!CF3)</f>
        <v>99.428074924849994</v>
      </c>
      <c r="BZ3">
        <f>AVERAGE(S_plus!CG$2:'S_plus'!CG3)</f>
        <v>99.725325859099996</v>
      </c>
      <c r="CA3">
        <f>AVERAGE(S_plus!CH$2:'S_plus'!CH3)</f>
        <v>100.8427570545</v>
      </c>
      <c r="CB3">
        <f>AVERAGE(S_plus!CI$2:'S_plus'!CI3)</f>
        <v>99.310755691750003</v>
      </c>
      <c r="CC3">
        <f>AVERAGE(S_plus!CJ$2:'S_plus'!CJ3)</f>
        <v>99.961460556299997</v>
      </c>
      <c r="CD3">
        <f>AVERAGE(S_plus!CK$2:'S_plus'!CK3)</f>
        <v>99.160394396849995</v>
      </c>
      <c r="CE3">
        <f>AVERAGE(S_plus!CL$2:'S_plus'!CL3)</f>
        <v>100.795009225</v>
      </c>
      <c r="CF3">
        <f>AVERAGE(S_plus!CM$2:'S_plus'!CM3)</f>
        <v>100.664836482</v>
      </c>
      <c r="CG3">
        <f>AVERAGE(S_plus!CN$2:'S_plus'!CN3)</f>
        <v>99.180870301900001</v>
      </c>
      <c r="CH3">
        <f>AVERAGE(S_plus!CO$2:'S_plus'!CO3)</f>
        <v>101.8088856145</v>
      </c>
      <c r="CI3">
        <f>AVERAGE(S_plus!CP$2:'S_plus'!CP3)</f>
        <v>99.41450194250001</v>
      </c>
      <c r="CJ3">
        <f>AVERAGE(S_plus!CQ$2:'S_plus'!CQ3)</f>
        <v>99.630631251700009</v>
      </c>
      <c r="CK3">
        <f>AVERAGE(S_plus!CR$2:'S_plus'!CR3)</f>
        <v>99.516504393849999</v>
      </c>
      <c r="CL3">
        <f>AVERAGE(S_plus!CS$2:'S_plus'!CS3)</f>
        <v>100.60062482800001</v>
      </c>
      <c r="CM3">
        <f>AVERAGE(S_plus!CT$2:'S_plus'!CT3)</f>
        <v>99.54535892185001</v>
      </c>
      <c r="CN3">
        <f>AVERAGE(S_plus!CU$2:'S_plus'!CU3)</f>
        <v>98.868545110849993</v>
      </c>
      <c r="CO3">
        <f>AVERAGE(S_plus!CV$2:'S_plus'!CV3)</f>
        <v>100.945611059</v>
      </c>
      <c r="CP3">
        <f>AVERAGE(S_plus!CW$2:'S_plus'!CW3)</f>
        <v>99.604813636149999</v>
      </c>
      <c r="CQ3">
        <f>AVERAGE(S_plus!CX$2:'S_plus'!CX3)</f>
        <v>100.41843650999999</v>
      </c>
      <c r="CR3">
        <f>AVERAGE(S_plus!CY$2:'S_plus'!CY3)</f>
        <v>102.345980252</v>
      </c>
      <c r="CS3">
        <f>AVERAGE(S_plus!CZ$2:'S_plus'!CZ3)</f>
        <v>100.996601845</v>
      </c>
      <c r="CT3">
        <f>AVERAGE(S_plus!DA$2:'S_plus'!DA3)</f>
        <v>100.135115888</v>
      </c>
      <c r="CU3">
        <f>AVERAGE(S_plus!DB$2:'S_plus'!DB3)</f>
        <v>97.899652014899999</v>
      </c>
      <c r="CV3">
        <f>AVERAGE(S_plus!DC$2:'S_plus'!DC3)</f>
        <v>99.226957554099997</v>
      </c>
      <c r="CW3">
        <f>AVERAGE(S_plus!DD$2:'S_plus'!DD3)</f>
        <v>99.840527394800006</v>
      </c>
      <c r="CX3">
        <f>AVERAGE(S_plus!DE$2:'S_plus'!DE3)</f>
        <v>99.488736346549999</v>
      </c>
      <c r="CY3">
        <f>AVERAGE(S_plus!DF$2:'S_plus'!DF3)</f>
        <v>100.05279503200001</v>
      </c>
      <c r="CZ3">
        <f>AVERAGE(S_plus!DG$2:'S_plus'!DG3)</f>
        <v>98.624022260200007</v>
      </c>
      <c r="DA3">
        <f>AVERAGE(S_plus!DH$2:'S_plus'!DH3)</f>
        <v>100.8617608365</v>
      </c>
    </row>
    <row r="4" spans="3:105" x14ac:dyDescent="0.25">
      <c r="E4">
        <f>E3+Asian!dt</f>
        <v>0.02</v>
      </c>
      <c r="F4">
        <f>AVERAGE(S_plus!M$2:'S_plus'!M4)</f>
        <v>98.781506397900003</v>
      </c>
      <c r="G4">
        <f>AVERAGE(S_plus!N$2:'S_plus'!N4)</f>
        <v>98.385610830333334</v>
      </c>
      <c r="H4">
        <f>AVERAGE(S_plus!O$2:'S_plus'!O4)</f>
        <v>103.205970166</v>
      </c>
      <c r="I4">
        <f>AVERAGE(S_plus!P$2:'S_plus'!P4)</f>
        <v>98.909375446133325</v>
      </c>
      <c r="J4">
        <f>AVERAGE(S_plus!Q$2:'S_plus'!Q4)</f>
        <v>98.86195362783333</v>
      </c>
      <c r="K4">
        <f>AVERAGE(S_plus!R$2:'S_plus'!R4)</f>
        <v>101.18039504833332</v>
      </c>
      <c r="L4">
        <f>AVERAGE(S_plus!S$2:'S_plus'!S4)</f>
        <v>101.51614554566667</v>
      </c>
      <c r="M4">
        <f>AVERAGE(S_plus!T$2:'S_plus'!T4)</f>
        <v>99.107917836666658</v>
      </c>
      <c r="N4">
        <f>AVERAGE(S_plus!U$2:'S_plus'!U4)</f>
        <v>101.55751346033333</v>
      </c>
      <c r="O4">
        <f>AVERAGE(S_plus!V$2:'S_plus'!V4)</f>
        <v>96.971503866933347</v>
      </c>
      <c r="P4">
        <f>AVERAGE(S_plus!W$2:'S_plus'!W4)</f>
        <v>100.44075187700001</v>
      </c>
      <c r="Q4">
        <f>AVERAGE(S_plus!X$2:'S_plus'!X4)</f>
        <v>99.858987276766655</v>
      </c>
      <c r="R4">
        <f>AVERAGE(S_plus!Y$2:'S_plus'!Y4)</f>
        <v>100.29280167276666</v>
      </c>
      <c r="S4">
        <f>AVERAGE(S_plus!Z$2:'S_plus'!Z4)</f>
        <v>101.647387749</v>
      </c>
      <c r="T4">
        <f>AVERAGE(S_plus!AA$2:'S_plus'!AA4)</f>
        <v>99.342843092166675</v>
      </c>
      <c r="U4">
        <f>AVERAGE(S_plus!AB$2:'S_plus'!AB4)</f>
        <v>96.867874326933347</v>
      </c>
      <c r="V4">
        <f>AVERAGE(S_plus!AC$2:'S_plus'!AC4)</f>
        <v>96.390694995466674</v>
      </c>
      <c r="W4">
        <f>AVERAGE(S_plus!AD$2:'S_plus'!AD4)</f>
        <v>99.188350380666677</v>
      </c>
      <c r="X4">
        <f>AVERAGE(S_plus!AE$2:'S_plus'!AE4)</f>
        <v>97.784653902199992</v>
      </c>
      <c r="Y4">
        <f>AVERAGE(S_plus!AF$2:'S_plus'!AF4)</f>
        <v>99.464261890166668</v>
      </c>
      <c r="Z4">
        <f>AVERAGE(S_plus!AG$2:'S_plus'!AG4)</f>
        <v>99.407459011600011</v>
      </c>
      <c r="AA4">
        <f>AVERAGE(S_plus!AH$2:'S_plus'!AH4)</f>
        <v>98.295283740999992</v>
      </c>
      <c r="AB4">
        <f>AVERAGE(S_plus!AI$2:'S_plus'!AI4)</f>
        <v>98.748989459266667</v>
      </c>
      <c r="AC4">
        <f>AVERAGE(S_plus!AJ$2:'S_plus'!AJ4)</f>
        <v>99.832225519833329</v>
      </c>
      <c r="AD4">
        <f>AVERAGE(S_plus!AK$2:'S_plus'!AK4)</f>
        <v>102.620932384</v>
      </c>
      <c r="AE4">
        <f>AVERAGE(S_plus!AL$2:'S_plus'!AL4)</f>
        <v>101.27190289733335</v>
      </c>
      <c r="AF4">
        <f>AVERAGE(S_plus!AM$2:'S_plus'!AM4)</f>
        <v>100.79997598266668</v>
      </c>
      <c r="AG4">
        <f>AVERAGE(S_plus!AN$2:'S_plus'!AN4)</f>
        <v>101.474435149</v>
      </c>
      <c r="AH4">
        <f>AVERAGE(S_plus!AO$2:'S_plus'!AO4)</f>
        <v>99.020415826366659</v>
      </c>
      <c r="AI4">
        <f>AVERAGE(S_plus!AP$2:'S_plus'!AP4)</f>
        <v>99.123251836933335</v>
      </c>
      <c r="AJ4">
        <f>AVERAGE(S_plus!AQ$2:'S_plus'!AQ4)</f>
        <v>97.487186039666653</v>
      </c>
      <c r="AK4">
        <f>AVERAGE(S_plus!AR$2:'S_plus'!AR4)</f>
        <v>100.18817073603334</v>
      </c>
      <c r="AL4">
        <f>AVERAGE(S_plus!AS$2:'S_plus'!AS4)</f>
        <v>101.397159875</v>
      </c>
      <c r="AM4">
        <f>AVERAGE(S_plus!AT$2:'S_plus'!AT4)</f>
        <v>99.676242664866663</v>
      </c>
      <c r="AN4">
        <f>AVERAGE(S_plus!AU$2:'S_plus'!AU4)</f>
        <v>99.055426688066675</v>
      </c>
      <c r="AO4">
        <f>AVERAGE(S_plus!AV$2:'S_plus'!AV4)</f>
        <v>100.47145833856666</v>
      </c>
      <c r="AP4">
        <f>AVERAGE(S_plus!AW$2:'S_plus'!AW4)</f>
        <v>101.02716858833332</v>
      </c>
      <c r="AQ4">
        <f>AVERAGE(S_plus!AX$2:'S_plus'!AX4)</f>
        <v>99.948934786099997</v>
      </c>
      <c r="AR4">
        <f>AVERAGE(S_plus!AY$2:'S_plus'!AY4)</f>
        <v>99.912878153066671</v>
      </c>
      <c r="AS4">
        <f>AVERAGE(S_plus!AZ$2:'S_plus'!AZ4)</f>
        <v>100.73559894833333</v>
      </c>
      <c r="AT4">
        <f>AVERAGE(S_plus!BA$2:'S_plus'!BA4)</f>
        <v>99.737750716999997</v>
      </c>
      <c r="AU4">
        <f>AVERAGE(S_plus!BB$2:'S_plus'!BB4)</f>
        <v>98.989979715100006</v>
      </c>
      <c r="AV4">
        <f>AVERAGE(S_plus!BC$2:'S_plus'!BC4)</f>
        <v>99.412859634833339</v>
      </c>
      <c r="AW4">
        <f>AVERAGE(S_plus!BD$2:'S_plus'!BD4)</f>
        <v>97.164288530033332</v>
      </c>
      <c r="AX4">
        <f>AVERAGE(S_plus!BE$2:'S_plus'!BE4)</f>
        <v>98.56165271386665</v>
      </c>
      <c r="AY4">
        <f>AVERAGE(S_plus!BF$2:'S_plus'!BF4)</f>
        <v>102.08538798566667</v>
      </c>
      <c r="AZ4">
        <f>AVERAGE(S_plus!BG$2:'S_plus'!BG4)</f>
        <v>97.506829266500006</v>
      </c>
      <c r="BA4">
        <f>AVERAGE(S_plus!BH$2:'S_plus'!BH4)</f>
        <v>98.948275192033336</v>
      </c>
      <c r="BB4">
        <f>AVERAGE(S_plus!BI$2:'S_plus'!BI4)</f>
        <v>100.545681645</v>
      </c>
      <c r="BC4">
        <f>AVERAGE(S_plus!BJ$2:'S_plus'!BJ4)</f>
        <v>101.06811572966667</v>
      </c>
      <c r="BD4">
        <f>AVERAGE(S_plus!BK$2:'S_plus'!BK4)</f>
        <v>100.73095552566667</v>
      </c>
      <c r="BE4">
        <f>AVERAGE(S_plus!BL$2:'S_plus'!BL4)</f>
        <v>99.791612149933329</v>
      </c>
      <c r="BF4">
        <f>AVERAGE(S_plus!BM$2:'S_plus'!BM4)</f>
        <v>97.860005073100012</v>
      </c>
      <c r="BG4">
        <f>AVERAGE(S_plus!BN$2:'S_plus'!BN4)</f>
        <v>98.977201292900006</v>
      </c>
      <c r="BH4">
        <f>AVERAGE(S_plus!BO$2:'S_plus'!BO4)</f>
        <v>100.61990784633333</v>
      </c>
      <c r="BI4">
        <f>AVERAGE(S_plus!BP$2:'S_plus'!BP4)</f>
        <v>99.341254017366666</v>
      </c>
      <c r="BJ4">
        <f>AVERAGE(S_plus!BQ$2:'S_plus'!BQ4)</f>
        <v>101.19625233200001</v>
      </c>
      <c r="BK4">
        <f>AVERAGE(S_plus!BR$2:'S_plus'!BR4)</f>
        <v>98.400282696433337</v>
      </c>
      <c r="BL4">
        <f>AVERAGE(S_plus!BS$2:'S_plus'!BS4)</f>
        <v>101.12718019133332</v>
      </c>
      <c r="BM4">
        <f>AVERAGE(S_plus!BT$2:'S_plus'!BT4)</f>
        <v>102.371715065</v>
      </c>
      <c r="BN4">
        <f>AVERAGE(S_plus!BU$2:'S_plus'!BU4)</f>
        <v>100.73484795066668</v>
      </c>
      <c r="BO4">
        <f>AVERAGE(S_plus!BV$2:'S_plus'!BV4)</f>
        <v>99.45674905313335</v>
      </c>
      <c r="BP4">
        <f>AVERAGE(S_plus!BW$2:'S_plus'!BW4)</f>
        <v>98.886924427933351</v>
      </c>
      <c r="BQ4">
        <f>AVERAGE(S_plus!BX$2:'S_plus'!BX4)</f>
        <v>98.686590700299988</v>
      </c>
      <c r="BR4">
        <f>AVERAGE(S_plus!BY$2:'S_plus'!BY4)</f>
        <v>99.851896098766659</v>
      </c>
      <c r="BS4">
        <f>AVERAGE(S_plus!BZ$2:'S_plus'!BZ4)</f>
        <v>97.838564941466657</v>
      </c>
      <c r="BT4">
        <f>AVERAGE(S_plus!CA$2:'S_plus'!CA4)</f>
        <v>100.23608123230001</v>
      </c>
      <c r="BU4">
        <f>AVERAGE(S_plus!CB$2:'S_plus'!CB4)</f>
        <v>98.216224963333346</v>
      </c>
      <c r="BV4">
        <f>AVERAGE(S_plus!CC$2:'S_plus'!CC4)</f>
        <v>99.442516144733347</v>
      </c>
      <c r="BW4">
        <f>AVERAGE(S_plus!CD$2:'S_plus'!CD4)</f>
        <v>98.139906481833336</v>
      </c>
      <c r="BX4">
        <f>AVERAGE(S_plus!CE$2:'S_plus'!CE4)</f>
        <v>97.354376756700006</v>
      </c>
      <c r="BY4">
        <f>AVERAGE(S_plus!CF$2:'S_plus'!CF4)</f>
        <v>98.246490502433332</v>
      </c>
      <c r="BZ4">
        <f>AVERAGE(S_plus!CG$2:'S_plus'!CG4)</f>
        <v>98.874242588033326</v>
      </c>
      <c r="CA4">
        <f>AVERAGE(S_plus!CH$2:'S_plus'!CH4)</f>
        <v>100.969891152</v>
      </c>
      <c r="CB4">
        <f>AVERAGE(S_plus!CI$2:'S_plus'!CI4)</f>
        <v>98.121003490666681</v>
      </c>
      <c r="CC4">
        <f>AVERAGE(S_plus!CJ$2:'S_plus'!CJ4)</f>
        <v>101.14952744886666</v>
      </c>
      <c r="CD4">
        <f>AVERAGE(S_plus!CK$2:'S_plus'!CK4)</f>
        <v>98.176257835633336</v>
      </c>
      <c r="CE4">
        <f>AVERAGE(S_plus!CL$2:'S_plus'!CL4)</f>
        <v>99.54868327536667</v>
      </c>
      <c r="CF4">
        <f>AVERAGE(S_plus!CM$2:'S_plus'!CM4)</f>
        <v>101.58285174566667</v>
      </c>
      <c r="CG4">
        <f>AVERAGE(S_plus!CN$2:'S_plus'!CN4)</f>
        <v>97.56605967183333</v>
      </c>
      <c r="CH4">
        <f>AVERAGE(S_plus!CO$2:'S_plus'!CO4)</f>
        <v>103.36211122366667</v>
      </c>
      <c r="CI4">
        <f>AVERAGE(S_plus!CP$2:'S_plus'!CP4)</f>
        <v>99.576579644433352</v>
      </c>
      <c r="CJ4">
        <f>AVERAGE(S_plus!CQ$2:'S_plus'!CQ4)</f>
        <v>99.439402320933326</v>
      </c>
      <c r="CK4">
        <f>AVERAGE(S_plus!CR$2:'S_plus'!CR4)</f>
        <v>98.975136847933342</v>
      </c>
      <c r="CL4">
        <f>AVERAGE(S_plus!CS$2:'S_plus'!CS4)</f>
        <v>100.83564313133333</v>
      </c>
      <c r="CM4">
        <f>AVERAGE(S_plus!CT$2:'S_plus'!CT4)</f>
        <v>100.0090389679</v>
      </c>
      <c r="CN4">
        <f>AVERAGE(S_plus!CU$2:'S_plus'!CU4)</f>
        <v>99.157076195533321</v>
      </c>
      <c r="CO4">
        <f>AVERAGE(S_plus!CV$2:'S_plus'!CV4)</f>
        <v>101.39912834066666</v>
      </c>
      <c r="CP4">
        <f>AVERAGE(S_plus!CW$2:'S_plus'!CW4)</f>
        <v>99.210908875800001</v>
      </c>
      <c r="CQ4">
        <f>AVERAGE(S_plus!CX$2:'S_plus'!CX4)</f>
        <v>99.94442984123333</v>
      </c>
      <c r="CR4">
        <f>AVERAGE(S_plus!CY$2:'S_plus'!CY4)</f>
        <v>102.94924918233335</v>
      </c>
      <c r="CS4">
        <f>AVERAGE(S_plus!CZ$2:'S_plus'!CZ4)</f>
        <v>100.6004710829</v>
      </c>
      <c r="CT4">
        <f>AVERAGE(S_plus!DA$2:'S_plus'!DA4)</f>
        <v>99.391531002466664</v>
      </c>
      <c r="CU4">
        <f>AVERAGE(S_plus!DB$2:'S_plus'!DB4)</f>
        <v>97.361740103366671</v>
      </c>
      <c r="CV4">
        <f>AVERAGE(S_plus!DC$2:'S_plus'!DC4)</f>
        <v>98.267506013433334</v>
      </c>
      <c r="CW4">
        <f>AVERAGE(S_plus!DD$2:'S_plus'!DD4)</f>
        <v>99.837548486033327</v>
      </c>
      <c r="CX4">
        <f>AVERAGE(S_plus!DE$2:'S_plus'!DE4)</f>
        <v>99.650827206966667</v>
      </c>
      <c r="CY4">
        <f>AVERAGE(S_plus!DF$2:'S_plus'!DF4)</f>
        <v>100.74723455566668</v>
      </c>
      <c r="CZ4">
        <f>AVERAGE(S_plus!DG$2:'S_plus'!DG4)</f>
        <v>99.43662460646668</v>
      </c>
      <c r="DA4">
        <f>AVERAGE(S_plus!DH$2:'S_plus'!DH4)</f>
        <v>100.60124288466666</v>
      </c>
    </row>
    <row r="5" spans="3:105" x14ac:dyDescent="0.25">
      <c r="E5">
        <f>E4+Asian!dt</f>
        <v>0.03</v>
      </c>
      <c r="F5">
        <f>AVERAGE(S_plus!M$2:'S_plus'!M5)</f>
        <v>98.573150872775003</v>
      </c>
      <c r="G5">
        <f>AVERAGE(S_plus!N$2:'S_plus'!N5)</f>
        <v>97.12434696337499</v>
      </c>
      <c r="H5">
        <f>AVERAGE(S_plus!O$2:'S_plus'!O5)</f>
        <v>104.22295330975001</v>
      </c>
      <c r="I5">
        <f>AVERAGE(S_plus!P$2:'S_plus'!P5)</f>
        <v>99.473272358599999</v>
      </c>
      <c r="J5">
        <f>AVERAGE(S_plus!Q$2:'S_plus'!Q5)</f>
        <v>99.137415734474999</v>
      </c>
      <c r="K5">
        <f>AVERAGE(S_plus!R$2:'S_plus'!R5)</f>
        <v>101.11986158399999</v>
      </c>
      <c r="L5">
        <f>AVERAGE(S_plus!S$2:'S_plus'!S5)</f>
        <v>102.1219888995</v>
      </c>
      <c r="M5">
        <f>AVERAGE(S_plus!T$2:'S_plus'!T5)</f>
        <v>98.280652157099993</v>
      </c>
      <c r="N5">
        <f>AVERAGE(S_plus!U$2:'S_plus'!U5)</f>
        <v>102.12955236774999</v>
      </c>
      <c r="O5">
        <f>AVERAGE(S_plus!V$2:'S_plus'!V5)</f>
        <v>96.549750929225013</v>
      </c>
      <c r="P5">
        <f>AVERAGE(S_plus!W$2:'S_plus'!W5)</f>
        <v>100.74698949750001</v>
      </c>
      <c r="Q5">
        <f>AVERAGE(S_plus!X$2:'S_plus'!X5)</f>
        <v>99.884732082424989</v>
      </c>
      <c r="R5">
        <f>AVERAGE(S_plus!Y$2:'S_plus'!Y5)</f>
        <v>99.731564045149995</v>
      </c>
      <c r="S5">
        <f>AVERAGE(S_plus!Z$2:'S_plus'!Z5)</f>
        <v>101.04820353060001</v>
      </c>
      <c r="T5">
        <f>AVERAGE(S_plus!AA$2:'S_plus'!AA5)</f>
        <v>98.960237669775012</v>
      </c>
      <c r="U5">
        <f>AVERAGE(S_plus!AB$2:'S_plus'!AB5)</f>
        <v>95.821856901849998</v>
      </c>
      <c r="V5">
        <f>AVERAGE(S_plus!AC$2:'S_plus'!AC5)</f>
        <v>96.421191576750005</v>
      </c>
      <c r="W5">
        <f>AVERAGE(S_plus!AD$2:'S_plus'!AD5)</f>
        <v>97.932003733925001</v>
      </c>
      <c r="X5">
        <f>AVERAGE(S_plus!AE$2:'S_plus'!AE5)</f>
        <v>97.423309071199995</v>
      </c>
      <c r="Y5">
        <f>AVERAGE(S_plus!AF$2:'S_plus'!AF5)</f>
        <v>99.410774076075</v>
      </c>
      <c r="Z5">
        <f>AVERAGE(S_plus!AG$2:'S_plus'!AG5)</f>
        <v>99.589420894200003</v>
      </c>
      <c r="AA5">
        <f>AVERAGE(S_plus!AH$2:'S_plus'!AH5)</f>
        <v>98.145283140674991</v>
      </c>
      <c r="AB5">
        <f>AVERAGE(S_plus!AI$2:'S_plus'!AI5)</f>
        <v>99.419006880699996</v>
      </c>
      <c r="AC5">
        <f>AVERAGE(S_plus!AJ$2:'S_plus'!AJ5)</f>
        <v>100.240559162125</v>
      </c>
      <c r="AD5">
        <f>AVERAGE(S_plus!AK$2:'S_plus'!AK5)</f>
        <v>103.19229195925</v>
      </c>
      <c r="AE5">
        <f>AVERAGE(S_plus!AL$2:'S_plus'!AL5)</f>
        <v>101.72719993900002</v>
      </c>
      <c r="AF5">
        <f>AVERAGE(S_plus!AM$2:'S_plus'!AM5)</f>
        <v>100.527338202975</v>
      </c>
      <c r="AG5">
        <f>AVERAGE(S_plus!AN$2:'S_plus'!AN5)</f>
        <v>102.2466313515</v>
      </c>
      <c r="AH5">
        <f>AVERAGE(S_plus!AO$2:'S_plus'!AO5)</f>
        <v>98.835375352774989</v>
      </c>
      <c r="AI5">
        <f>AVERAGE(S_plus!AP$2:'S_plus'!AP5)</f>
        <v>98.040716521500002</v>
      </c>
      <c r="AJ5">
        <f>AVERAGE(S_plus!AQ$2:'S_plus'!AQ5)</f>
        <v>97.869169576599987</v>
      </c>
      <c r="AK5">
        <f>AVERAGE(S_plus!AR$2:'S_plus'!AR5)</f>
        <v>101.09076596252501</v>
      </c>
      <c r="AL5">
        <f>AVERAGE(S_plus!AS$2:'S_plus'!AS5)</f>
        <v>100.658579204075</v>
      </c>
      <c r="AM5">
        <f>AVERAGE(S_plus!AT$2:'S_plus'!AT5)</f>
        <v>98.518016956899999</v>
      </c>
      <c r="AN5">
        <f>AVERAGE(S_plus!AU$2:'S_plus'!AU5)</f>
        <v>98.913889856975004</v>
      </c>
      <c r="AO5">
        <f>AVERAGE(S_plus!AV$2:'S_plus'!AV5)</f>
        <v>99.576509372549992</v>
      </c>
      <c r="AP5">
        <f>AVERAGE(S_plus!AW$2:'S_plus'!AW5)</f>
        <v>101.73870926449999</v>
      </c>
      <c r="AQ5">
        <f>AVERAGE(S_plus!AX$2:'S_plus'!AX5)</f>
        <v>100.294344951075</v>
      </c>
      <c r="AR5">
        <f>AVERAGE(S_plus!AY$2:'S_plus'!AY5)</f>
        <v>100.39664805629999</v>
      </c>
      <c r="AS5">
        <f>AVERAGE(S_plus!AZ$2:'S_plus'!AZ5)</f>
        <v>100.78114052325</v>
      </c>
      <c r="AT5">
        <f>AVERAGE(S_plus!BA$2:'S_plus'!BA5)</f>
        <v>99.966429403500001</v>
      </c>
      <c r="AU5">
        <f>AVERAGE(S_plus!BB$2:'S_plus'!BB5)</f>
        <v>99.050680407325004</v>
      </c>
      <c r="AV5">
        <f>AVERAGE(S_plus!BC$2:'S_plus'!BC5)</f>
        <v>99.247525626124997</v>
      </c>
      <c r="AW5">
        <f>AVERAGE(S_plus!BD$2:'S_plus'!BD5)</f>
        <v>96.033850310899993</v>
      </c>
      <c r="AX5">
        <f>AVERAGE(S_plus!BE$2:'S_plus'!BE5)</f>
        <v>97.845262013874986</v>
      </c>
      <c r="AY5">
        <f>AVERAGE(S_plus!BF$2:'S_plus'!BF5)</f>
        <v>102.74874175400001</v>
      </c>
      <c r="AZ5">
        <f>AVERAGE(S_plus!BG$2:'S_plus'!BG5)</f>
        <v>96.945038437649998</v>
      </c>
      <c r="BA5">
        <f>AVERAGE(S_plus!BH$2:'S_plus'!BH5)</f>
        <v>99.230328893774995</v>
      </c>
      <c r="BB5">
        <f>AVERAGE(S_plus!BI$2:'S_plus'!BI5)</f>
        <v>100.81854239225001</v>
      </c>
      <c r="BC5">
        <f>AVERAGE(S_plus!BJ$2:'S_plus'!BJ5)</f>
        <v>101.70128788825001</v>
      </c>
      <c r="BD5">
        <f>AVERAGE(S_plus!BK$2:'S_plus'!BK5)</f>
        <v>100.17827830225001</v>
      </c>
      <c r="BE5">
        <f>AVERAGE(S_plus!BL$2:'S_plus'!BL5)</f>
        <v>99.222962634124997</v>
      </c>
      <c r="BF5">
        <f>AVERAGE(S_plus!BM$2:'S_plus'!BM5)</f>
        <v>96.594075807500005</v>
      </c>
      <c r="BG5">
        <f>AVERAGE(S_plus!BN$2:'S_plus'!BN5)</f>
        <v>99.138892364949996</v>
      </c>
      <c r="BH5">
        <f>AVERAGE(S_plus!BO$2:'S_plus'!BO5)</f>
        <v>100.69170174475001</v>
      </c>
      <c r="BI5">
        <f>AVERAGE(S_plus!BP$2:'S_plus'!BP5)</f>
        <v>98.811743715549994</v>
      </c>
      <c r="BJ5">
        <f>AVERAGE(S_plus!BQ$2:'S_plus'!BQ5)</f>
        <v>101.03340382500001</v>
      </c>
      <c r="BK5">
        <f>AVERAGE(S_plus!BR$2:'S_plus'!BR5)</f>
        <v>98.468047968799993</v>
      </c>
      <c r="BL5">
        <f>AVERAGE(S_plus!BS$2:'S_plus'!BS5)</f>
        <v>101.00700011025</v>
      </c>
      <c r="BM5">
        <f>AVERAGE(S_plus!BT$2:'S_plus'!BT5)</f>
        <v>103.78232589325</v>
      </c>
      <c r="BN5">
        <f>AVERAGE(S_plus!BU$2:'S_plus'!BU5)</f>
        <v>100.84264855175</v>
      </c>
      <c r="BO5">
        <f>AVERAGE(S_plus!BV$2:'S_plus'!BV5)</f>
        <v>98.804639484950002</v>
      </c>
      <c r="BP5">
        <f>AVERAGE(S_plus!BW$2:'S_plus'!BW5)</f>
        <v>98.420628429000004</v>
      </c>
      <c r="BQ5">
        <f>AVERAGE(S_plus!BX$2:'S_plus'!BX5)</f>
        <v>98.81188947977499</v>
      </c>
      <c r="BR5">
        <f>AVERAGE(S_plus!BY$2:'S_plus'!BY5)</f>
        <v>99.711653203499992</v>
      </c>
      <c r="BS5">
        <f>AVERAGE(S_plus!BZ$2:'S_plus'!BZ5)</f>
        <v>97.104964880849991</v>
      </c>
      <c r="BT5">
        <f>AVERAGE(S_plus!CA$2:'S_plus'!CA5)</f>
        <v>100.50661903547501</v>
      </c>
      <c r="BU5">
        <f>AVERAGE(S_plus!CB$2:'S_plus'!CB5)</f>
        <v>98.307642549750014</v>
      </c>
      <c r="BV5">
        <f>AVERAGE(S_plus!CC$2:'S_plus'!CC5)</f>
        <v>99.459578809375003</v>
      </c>
      <c r="BW5">
        <f>AVERAGE(S_plus!CD$2:'S_plus'!CD5)</f>
        <v>98.117473460699998</v>
      </c>
      <c r="BX5">
        <f>AVERAGE(S_plus!CE$2:'S_plus'!CE5)</f>
        <v>97.009077847550003</v>
      </c>
      <c r="BY5">
        <f>AVERAGE(S_plus!CF$2:'S_plus'!CF5)</f>
        <v>98.08123604139999</v>
      </c>
      <c r="BZ5">
        <f>AVERAGE(S_plus!CG$2:'S_plus'!CG5)</f>
        <v>98.148893374649987</v>
      </c>
      <c r="CA5">
        <f>AVERAGE(S_plus!CH$2:'S_plus'!CH5)</f>
        <v>102.10558955575</v>
      </c>
      <c r="CB5">
        <f>AVERAGE(S_plus!CI$2:'S_plus'!CI5)</f>
        <v>98.500780977200009</v>
      </c>
      <c r="CC5">
        <f>AVERAGE(S_plus!CJ$2:'S_plus'!CJ5)</f>
        <v>102.08289674140001</v>
      </c>
      <c r="CD5">
        <f>AVERAGE(S_plus!CK$2:'S_plus'!CK5)</f>
        <v>98.256451208350001</v>
      </c>
      <c r="CE5">
        <f>AVERAGE(S_plus!CL$2:'S_plus'!CL5)</f>
        <v>98.636692361400009</v>
      </c>
      <c r="CF5">
        <f>AVERAGE(S_plus!CM$2:'S_plus'!CM5)</f>
        <v>102.04272871875</v>
      </c>
      <c r="CG5">
        <f>AVERAGE(S_plus!CN$2:'S_plus'!CN5)</f>
        <v>96.628141870749999</v>
      </c>
      <c r="CH5">
        <f>AVERAGE(S_plus!CO$2:'S_plus'!CO5)</f>
        <v>103.60662534025001</v>
      </c>
      <c r="CI5">
        <f>AVERAGE(S_plus!CP$2:'S_plus'!CP5)</f>
        <v>100.48489665857501</v>
      </c>
      <c r="CJ5">
        <f>AVERAGE(S_plus!CQ$2:'S_plus'!CQ5)</f>
        <v>99.686241356950006</v>
      </c>
      <c r="CK5">
        <f>AVERAGE(S_plus!CR$2:'S_plus'!CR5)</f>
        <v>98.144562050925003</v>
      </c>
      <c r="CL5">
        <f>AVERAGE(S_plus!CS$2:'S_plus'!CS5)</f>
        <v>100.83919466725</v>
      </c>
      <c r="CM5">
        <f>AVERAGE(S_plus!CT$2:'S_plus'!CT5)</f>
        <v>99.63122165515</v>
      </c>
      <c r="CN5">
        <f>AVERAGE(S_plus!CU$2:'S_plus'!CU5)</f>
        <v>99.433798975149998</v>
      </c>
      <c r="CO5">
        <f>AVERAGE(S_plus!CV$2:'S_plus'!CV5)</f>
        <v>101.7768942495</v>
      </c>
      <c r="CP5">
        <f>AVERAGE(S_plus!CW$2:'S_plus'!CW5)</f>
        <v>99.533485720599998</v>
      </c>
      <c r="CQ5">
        <f>AVERAGE(S_plus!CX$2:'S_plus'!CX5)</f>
        <v>100.131901308675</v>
      </c>
      <c r="CR5">
        <f>AVERAGE(S_plus!CY$2:'S_plus'!CY5)</f>
        <v>103.24071557650001</v>
      </c>
      <c r="CS5">
        <f>AVERAGE(S_plus!CZ$2:'S_plus'!CZ5)</f>
        <v>100.249391900775</v>
      </c>
      <c r="CT5">
        <f>AVERAGE(S_plus!DA$2:'S_plus'!DA5)</f>
        <v>99.020870284750004</v>
      </c>
      <c r="CU5">
        <f>AVERAGE(S_plus!DB$2:'S_plus'!DB5)</f>
        <v>98.063235320774993</v>
      </c>
      <c r="CV5">
        <f>AVERAGE(S_plus!DC$2:'S_plus'!DC5)</f>
        <v>98.238920148700004</v>
      </c>
      <c r="CW5">
        <f>AVERAGE(S_plus!DD$2:'S_plus'!DD5)</f>
        <v>99.799430316425003</v>
      </c>
      <c r="CX5">
        <f>AVERAGE(S_plus!DE$2:'S_plus'!DE5)</f>
        <v>99.660591245800006</v>
      </c>
      <c r="CY5">
        <f>AVERAGE(S_plus!DF$2:'S_plus'!DF5)</f>
        <v>100.93043296525001</v>
      </c>
      <c r="CZ5">
        <f>AVERAGE(S_plus!DG$2:'S_plus'!DG5)</f>
        <v>99.68953353485</v>
      </c>
      <c r="DA5">
        <f>AVERAGE(S_plus!DH$2:'S_plus'!DH5)</f>
        <v>101.1215056325</v>
      </c>
    </row>
    <row r="6" spans="3:105" x14ac:dyDescent="0.25">
      <c r="E6">
        <f>E5+Asian!dt</f>
        <v>0.04</v>
      </c>
      <c r="F6">
        <f>AVERAGE(S_plus!M$2:'S_plus'!M6)</f>
        <v>97.780880336860008</v>
      </c>
      <c r="G6">
        <f>AVERAGE(S_plus!N$2:'S_plus'!N6)</f>
        <v>96.347396312019981</v>
      </c>
      <c r="H6">
        <f>AVERAGE(S_plus!O$2:'S_plus'!O6)</f>
        <v>105.50446752880001</v>
      </c>
      <c r="I6">
        <f>AVERAGE(S_plus!P$2:'S_plus'!P6)</f>
        <v>100.03377402048</v>
      </c>
      <c r="J6">
        <f>AVERAGE(S_plus!Q$2:'S_plus'!Q6)</f>
        <v>99.080908754879999</v>
      </c>
      <c r="K6">
        <f>AVERAGE(S_plus!R$2:'S_plus'!R6)</f>
        <v>100.96566074259999</v>
      </c>
      <c r="L6">
        <f>AVERAGE(S_plus!S$2:'S_plus'!S6)</f>
        <v>102.51355318399999</v>
      </c>
      <c r="M6">
        <f>AVERAGE(S_plus!T$2:'S_plus'!T6)</f>
        <v>98.459422277160002</v>
      </c>
      <c r="N6">
        <f>AVERAGE(S_plus!U$2:'S_plus'!U6)</f>
        <v>103.18400837499999</v>
      </c>
      <c r="O6">
        <f>AVERAGE(S_plus!V$2:'S_plus'!V6)</f>
        <v>96.42120747444001</v>
      </c>
      <c r="P6">
        <f>AVERAGE(S_plus!W$2:'S_plus'!W6)</f>
        <v>101.02919313140001</v>
      </c>
      <c r="Q6">
        <f>AVERAGE(S_plus!X$2:'S_plus'!X6)</f>
        <v>99.46025622741999</v>
      </c>
      <c r="R6">
        <f>AVERAGE(S_plus!Y$2:'S_plus'!Y6)</f>
        <v>99.937359180919998</v>
      </c>
      <c r="S6">
        <f>AVERAGE(S_plus!Z$2:'S_plus'!Z6)</f>
        <v>100.17043851234</v>
      </c>
      <c r="T6">
        <f>AVERAGE(S_plus!AA$2:'S_plus'!AA6)</f>
        <v>99.42526621942001</v>
      </c>
      <c r="U6">
        <f>AVERAGE(S_plus!AB$2:'S_plus'!AB6)</f>
        <v>95.935962109419989</v>
      </c>
      <c r="V6">
        <f>AVERAGE(S_plus!AC$2:'S_plus'!AC6)</f>
        <v>96.575969913120005</v>
      </c>
      <c r="W6">
        <f>AVERAGE(S_plus!AD$2:'S_plus'!AD6)</f>
        <v>97.816218539440001</v>
      </c>
      <c r="X6">
        <f>AVERAGE(S_plus!AE$2:'S_plus'!AE6)</f>
        <v>97.329147930520008</v>
      </c>
      <c r="Y6">
        <f>AVERAGE(S_plus!AF$2:'S_plus'!AF6)</f>
        <v>99.03521906812</v>
      </c>
      <c r="Z6">
        <f>AVERAGE(S_plus!AG$2:'S_plus'!AG6)</f>
        <v>99.914725841760003</v>
      </c>
      <c r="AA6">
        <f>AVERAGE(S_plus!AH$2:'S_plus'!AH6)</f>
        <v>98.062211376839997</v>
      </c>
      <c r="AB6">
        <f>AVERAGE(S_plus!AI$2:'S_plus'!AI6)</f>
        <v>100.23665976395999</v>
      </c>
      <c r="AC6">
        <f>AVERAGE(S_plus!AJ$2:'S_plus'!AJ6)</f>
        <v>100.7612311531</v>
      </c>
      <c r="AD6">
        <f>AVERAGE(S_plus!AK$2:'S_plus'!AK6)</f>
        <v>103.7278251962</v>
      </c>
      <c r="AE6">
        <f>AVERAGE(S_plus!AL$2:'S_plus'!AL6)</f>
        <v>101.60144909380001</v>
      </c>
      <c r="AF6">
        <f>AVERAGE(S_plus!AM$2:'S_plus'!AM6)</f>
        <v>100.45587763598</v>
      </c>
      <c r="AG6">
        <f>AVERAGE(S_plus!AN$2:'S_plus'!AN6)</f>
        <v>103.09770189060001</v>
      </c>
      <c r="AH6">
        <f>AVERAGE(S_plus!AO$2:'S_plus'!AO6)</f>
        <v>99.504421140019986</v>
      </c>
      <c r="AI6">
        <f>AVERAGE(S_plus!AP$2:'S_plus'!AP6)</f>
        <v>97.608348835560008</v>
      </c>
      <c r="AJ6">
        <f>AVERAGE(S_plus!AQ$2:'S_plus'!AQ6)</f>
        <v>97.760574363919986</v>
      </c>
      <c r="AK6">
        <f>AVERAGE(S_plus!AR$2:'S_plus'!AR6)</f>
        <v>101.27841211062001</v>
      </c>
      <c r="AL6">
        <f>AVERAGE(S_plus!AS$2:'S_plus'!AS6)</f>
        <v>99.724312529400009</v>
      </c>
      <c r="AM6">
        <f>AVERAGE(S_plus!AT$2:'S_plus'!AT6)</f>
        <v>98.122136582819991</v>
      </c>
      <c r="AN6">
        <f>AVERAGE(S_plus!AU$2:'S_plus'!AU6)</f>
        <v>99.00901074762001</v>
      </c>
      <c r="AO6">
        <f>AVERAGE(S_plus!AV$2:'S_plus'!AV6)</f>
        <v>98.828663682300004</v>
      </c>
      <c r="AP6">
        <f>AVERAGE(S_plus!AW$2:'S_plus'!AW6)</f>
        <v>102.8330020768</v>
      </c>
      <c r="AQ6">
        <f>AVERAGE(S_plus!AX$2:'S_plus'!AX6)</f>
        <v>100.29981172266</v>
      </c>
      <c r="AR6">
        <f>AVERAGE(S_plus!AY$2:'S_plus'!AY6)</f>
        <v>101.51003007064</v>
      </c>
      <c r="AS6">
        <f>AVERAGE(S_plus!AZ$2:'S_plus'!AZ6)</f>
        <v>101.2813705584</v>
      </c>
      <c r="AT6">
        <f>AVERAGE(S_plus!BA$2:'S_plus'!BA6)</f>
        <v>100.399154716</v>
      </c>
      <c r="AU6">
        <f>AVERAGE(S_plus!BB$2:'S_plus'!BB6)</f>
        <v>99.007305970039994</v>
      </c>
      <c r="AV6">
        <f>AVERAGE(S_plus!BC$2:'S_plus'!BC6)</f>
        <v>98.745068992179995</v>
      </c>
      <c r="AW6">
        <f>AVERAGE(S_plus!BD$2:'S_plus'!BD6)</f>
        <v>95.688034544939995</v>
      </c>
      <c r="AX6">
        <f>AVERAGE(S_plus!BE$2:'S_plus'!BE6)</f>
        <v>97.334484826879986</v>
      </c>
      <c r="AY6">
        <f>AVERAGE(S_plus!BF$2:'S_plus'!BF6)</f>
        <v>102.91047246319999</v>
      </c>
      <c r="AZ6">
        <f>AVERAGE(S_plus!BG$2:'S_plus'!BG6)</f>
        <v>96.301779198459997</v>
      </c>
      <c r="BA6">
        <f>AVERAGE(S_plus!BH$2:'S_plus'!BH6)</f>
        <v>99.361944440599999</v>
      </c>
      <c r="BB6">
        <f>AVERAGE(S_plus!BI$2:'S_plus'!BI6)</f>
        <v>100.881675118</v>
      </c>
      <c r="BC6">
        <f>AVERAGE(S_plus!BJ$2:'S_plus'!BJ6)</f>
        <v>102.6511855034</v>
      </c>
      <c r="BD6">
        <f>AVERAGE(S_plus!BK$2:'S_plus'!BK6)</f>
        <v>99.866000915640001</v>
      </c>
      <c r="BE6">
        <f>AVERAGE(S_plus!BL$2:'S_plus'!BL6)</f>
        <v>99.218354184519995</v>
      </c>
      <c r="BF6">
        <f>AVERAGE(S_plus!BM$2:'S_plus'!BM6)</f>
        <v>95.92276740218</v>
      </c>
      <c r="BG6">
        <f>AVERAGE(S_plus!BN$2:'S_plus'!BN6)</f>
        <v>99.719736673360003</v>
      </c>
      <c r="BH6">
        <f>AVERAGE(S_plus!BO$2:'S_plus'!BO6)</f>
        <v>100.23046564112001</v>
      </c>
      <c r="BI6">
        <f>AVERAGE(S_plus!BP$2:'S_plus'!BP6)</f>
        <v>98.541718770499998</v>
      </c>
      <c r="BJ6">
        <f>AVERAGE(S_plus!BQ$2:'S_plus'!BQ6)</f>
        <v>100.77300720446001</v>
      </c>
      <c r="BK6">
        <f>AVERAGE(S_plus!BR$2:'S_plus'!BR6)</f>
        <v>98.08811368069999</v>
      </c>
      <c r="BL6">
        <f>AVERAGE(S_plus!BS$2:'S_plus'!BS6)</f>
        <v>101.3415618882</v>
      </c>
      <c r="BM6">
        <f>AVERAGE(S_plus!BT$2:'S_plus'!BT6)</f>
        <v>104.5134609314</v>
      </c>
      <c r="BN6">
        <f>AVERAGE(S_plus!BU$2:'S_plus'!BU6)</f>
        <v>100.7188883016</v>
      </c>
      <c r="BO6">
        <f>AVERAGE(S_plus!BV$2:'S_plus'!BV6)</f>
        <v>98.728831282119998</v>
      </c>
      <c r="BP6">
        <f>AVERAGE(S_plus!BW$2:'S_plus'!BW6)</f>
        <v>97.548193134460007</v>
      </c>
      <c r="BQ6">
        <f>AVERAGE(S_plus!BX$2:'S_plus'!BX6)</f>
        <v>99.170111317819988</v>
      </c>
      <c r="BR6">
        <f>AVERAGE(S_plus!BY$2:'S_plus'!BY6)</f>
        <v>100.05998792559998</v>
      </c>
      <c r="BS6">
        <f>AVERAGE(S_plus!BZ$2:'S_plus'!BZ6)</f>
        <v>96.575250958159998</v>
      </c>
      <c r="BT6">
        <f>AVERAGE(S_plus!CA$2:'S_plus'!CA6)</f>
        <v>101.11503112198001</v>
      </c>
      <c r="BU6">
        <f>AVERAGE(S_plus!CB$2:'S_plus'!CB6)</f>
        <v>98.963720369000015</v>
      </c>
      <c r="BV6">
        <f>AVERAGE(S_plus!CC$2:'S_plus'!CC6)</f>
        <v>99.290397430840002</v>
      </c>
      <c r="BW6">
        <f>AVERAGE(S_plus!CD$2:'S_plus'!CD6)</f>
        <v>97.436771171779995</v>
      </c>
      <c r="BX6">
        <f>AVERAGE(S_plus!CE$2:'S_plus'!CE6)</f>
        <v>96.70406489186</v>
      </c>
      <c r="BY6">
        <f>AVERAGE(S_plus!CF$2:'S_plus'!CF6)</f>
        <v>97.697794788539994</v>
      </c>
      <c r="BZ6">
        <f>AVERAGE(S_plus!CG$2:'S_plus'!CG6)</f>
        <v>97.421347082099985</v>
      </c>
      <c r="CA6">
        <f>AVERAGE(S_plus!CH$2:'S_plus'!CH6)</f>
        <v>102.69788538539999</v>
      </c>
      <c r="CB6">
        <f>AVERAGE(S_plus!CI$2:'S_plus'!CI6)</f>
        <v>97.80233015200001</v>
      </c>
      <c r="CC6">
        <f>AVERAGE(S_plus!CJ$2:'S_plus'!CJ6)</f>
        <v>102.48760903292001</v>
      </c>
      <c r="CD6">
        <f>AVERAGE(S_plus!CK$2:'S_plus'!CK6)</f>
        <v>98.133811875480006</v>
      </c>
      <c r="CE6">
        <f>AVERAGE(S_plus!CL$2:'S_plus'!CL6)</f>
        <v>97.770672496160003</v>
      </c>
      <c r="CF6">
        <f>AVERAGE(S_plus!CM$2:'S_plus'!CM6)</f>
        <v>102.6630309522</v>
      </c>
      <c r="CG6">
        <f>AVERAGE(S_plus!CN$2:'S_plus'!CN6)</f>
        <v>96.466005434539994</v>
      </c>
      <c r="CH6">
        <f>AVERAGE(S_plus!CO$2:'S_plus'!CO6)</f>
        <v>103.41642021440001</v>
      </c>
      <c r="CI6">
        <f>AVERAGE(S_plus!CP$2:'S_plus'!CP6)</f>
        <v>101.15386542886002</v>
      </c>
      <c r="CJ6">
        <f>AVERAGE(S_plus!CQ$2:'S_plus'!CQ6)</f>
        <v>99.722839656900007</v>
      </c>
      <c r="CK6">
        <f>AVERAGE(S_plus!CR$2:'S_plus'!CR6)</f>
        <v>98.133054663380008</v>
      </c>
      <c r="CL6">
        <f>AVERAGE(S_plus!CS$2:'S_plus'!CS6)</f>
        <v>100.98640626720001</v>
      </c>
      <c r="CM6">
        <f>AVERAGE(S_plus!CT$2:'S_plus'!CT6)</f>
        <v>99.808742170919999</v>
      </c>
      <c r="CN6">
        <f>AVERAGE(S_plus!CU$2:'S_plus'!CU6)</f>
        <v>99.424236155299994</v>
      </c>
      <c r="CO6">
        <f>AVERAGE(S_plus!CV$2:'S_plus'!CV6)</f>
        <v>101.4983355592</v>
      </c>
      <c r="CP6">
        <f>AVERAGE(S_plus!CW$2:'S_plus'!CW6)</f>
        <v>99.466513807239991</v>
      </c>
      <c r="CQ6">
        <f>AVERAGE(S_plus!CX$2:'S_plus'!CX6)</f>
        <v>100.09580176682</v>
      </c>
      <c r="CR6">
        <f>AVERAGE(S_plus!CY$2:'S_plus'!CY6)</f>
        <v>102.41360704924</v>
      </c>
      <c r="CS6">
        <f>AVERAGE(S_plus!CZ$2:'S_plus'!CZ6)</f>
        <v>100.15941228858</v>
      </c>
      <c r="CT6">
        <f>AVERAGE(S_plus!DA$2:'S_plus'!DA6)</f>
        <v>98.759113042999999</v>
      </c>
      <c r="CU6">
        <f>AVERAGE(S_plus!DB$2:'S_plus'!DB6)</f>
        <v>98.767821862219989</v>
      </c>
      <c r="CV6">
        <f>AVERAGE(S_plus!DC$2:'S_plus'!DC6)</f>
        <v>98.16991042974</v>
      </c>
      <c r="CW6">
        <f>AVERAGE(S_plus!DD$2:'S_plus'!DD6)</f>
        <v>100.26648172034001</v>
      </c>
      <c r="CX6">
        <f>AVERAGE(S_plus!DE$2:'S_plus'!DE6)</f>
        <v>100.09444502844001</v>
      </c>
      <c r="CY6">
        <f>AVERAGE(S_plus!DF$2:'S_plus'!DF6)</f>
        <v>101.207761281</v>
      </c>
      <c r="CZ6">
        <f>AVERAGE(S_plus!DG$2:'S_plus'!DG6)</f>
        <v>99.702519920260002</v>
      </c>
      <c r="DA6">
        <f>AVERAGE(S_plus!DH$2:'S_plus'!DH6)</f>
        <v>101.43812007260001</v>
      </c>
    </row>
    <row r="7" spans="3:105" x14ac:dyDescent="0.25">
      <c r="E7">
        <f>E6+Asian!dt</f>
        <v>0.05</v>
      </c>
      <c r="F7">
        <f>AVERAGE(S_plus!M$2:'S_plus'!M7)</f>
        <v>97.211008917949997</v>
      </c>
      <c r="G7">
        <f>AVERAGE(S_plus!N$2:'S_plus'!N7)</f>
        <v>96.274019569749996</v>
      </c>
      <c r="H7">
        <f>AVERAGE(S_plus!O$2:'S_plus'!O7)</f>
        <v>106.52642093833333</v>
      </c>
      <c r="I7">
        <f>AVERAGE(S_plus!P$2:'S_plus'!P7)</f>
        <v>99.785076159183333</v>
      </c>
      <c r="J7">
        <f>AVERAGE(S_plus!Q$2:'S_plus'!Q7)</f>
        <v>99.637249209233332</v>
      </c>
      <c r="K7">
        <f>AVERAGE(S_plus!R$2:'S_plus'!R7)</f>
        <v>101.08708015249999</v>
      </c>
      <c r="L7">
        <f>AVERAGE(S_plus!S$2:'S_plus'!S7)</f>
        <v>103.52533490499998</v>
      </c>
      <c r="M7">
        <f>AVERAGE(S_plus!T$2:'S_plus'!T7)</f>
        <v>98.913593695966668</v>
      </c>
      <c r="N7">
        <f>AVERAGE(S_plus!U$2:'S_plus'!U7)</f>
        <v>104.47348538416666</v>
      </c>
      <c r="O7">
        <f>AVERAGE(S_plus!V$2:'S_plus'!V7)</f>
        <v>96.193644842416674</v>
      </c>
      <c r="P7">
        <f>AVERAGE(S_plus!W$2:'S_plus'!W7)</f>
        <v>101.08177603616667</v>
      </c>
      <c r="Q7">
        <f>AVERAGE(S_plus!X$2:'S_plus'!X7)</f>
        <v>99.609968971516665</v>
      </c>
      <c r="R7">
        <f>AVERAGE(S_plus!Y$2:'S_plus'!Y7)</f>
        <v>99.934729172766666</v>
      </c>
      <c r="S7">
        <f>AVERAGE(S_plus!Z$2:'S_plus'!Z7)</f>
        <v>99.734033522250002</v>
      </c>
      <c r="T7">
        <f>AVERAGE(S_plus!AA$2:'S_plus'!AA7)</f>
        <v>100.23293257001667</v>
      </c>
      <c r="U7">
        <f>AVERAGE(S_plus!AB$2:'S_plus'!AB7)</f>
        <v>95.659894020816651</v>
      </c>
      <c r="V7">
        <f>AVERAGE(S_plus!AC$2:'S_plus'!AC7)</f>
        <v>96.382428037066674</v>
      </c>
      <c r="W7">
        <f>AVERAGE(S_plus!AD$2:'S_plus'!AD7)</f>
        <v>97.247933591666666</v>
      </c>
      <c r="X7">
        <f>AVERAGE(S_plus!AE$2:'S_plus'!AE7)</f>
        <v>97.407958123616666</v>
      </c>
      <c r="Y7">
        <f>AVERAGE(S_plus!AF$2:'S_plus'!AF7)</f>
        <v>98.303748766033323</v>
      </c>
      <c r="Z7">
        <f>AVERAGE(S_plus!AG$2:'S_plus'!AG7)</f>
        <v>100.71154250046668</v>
      </c>
      <c r="AA7">
        <f>AVERAGE(S_plus!AH$2:'S_plus'!AH7)</f>
        <v>97.71872694744998</v>
      </c>
      <c r="AB7">
        <f>AVERAGE(S_plus!AI$2:'S_plus'!AI7)</f>
        <v>100.51773572863333</v>
      </c>
      <c r="AC7">
        <f>AVERAGE(S_plus!AJ$2:'S_plus'!AJ7)</f>
        <v>100.65433030775</v>
      </c>
      <c r="AD7">
        <f>AVERAGE(S_plus!AK$2:'S_plus'!AK7)</f>
        <v>103.79653385483334</v>
      </c>
      <c r="AE7">
        <f>AVERAGE(S_plus!AL$2:'S_plus'!AL7)</f>
        <v>101.11747577813334</v>
      </c>
      <c r="AF7">
        <f>AVERAGE(S_plus!AM$2:'S_plus'!AM7)</f>
        <v>100.35402323623333</v>
      </c>
      <c r="AG7">
        <f>AVERAGE(S_plus!AN$2:'S_plus'!AN7)</f>
        <v>103.91607994033335</v>
      </c>
      <c r="AH7">
        <f>AVERAGE(S_plus!AO$2:'S_plus'!AO7)</f>
        <v>100.33223786651665</v>
      </c>
      <c r="AI7">
        <f>AVERAGE(S_plus!AP$2:'S_plus'!AP7)</f>
        <v>97.774556881016679</v>
      </c>
      <c r="AJ7">
        <f>AVERAGE(S_plus!AQ$2:'S_plus'!AQ7)</f>
        <v>98.111189036983319</v>
      </c>
      <c r="AK7">
        <f>AVERAGE(S_plus!AR$2:'S_plus'!AR7)</f>
        <v>101.52510844135001</v>
      </c>
      <c r="AL7">
        <f>AVERAGE(S_plus!AS$2:'S_plus'!AS7)</f>
        <v>99.657824712383331</v>
      </c>
      <c r="AM7">
        <f>AVERAGE(S_plus!AT$2:'S_plus'!AT7)</f>
        <v>97.859833945233333</v>
      </c>
      <c r="AN7">
        <f>AVERAGE(S_plus!AU$2:'S_plus'!AU7)</f>
        <v>99.25155460085</v>
      </c>
      <c r="AO7">
        <f>AVERAGE(S_plus!AV$2:'S_plus'!AV7)</f>
        <v>97.888956277283341</v>
      </c>
      <c r="AP7">
        <f>AVERAGE(S_plus!AW$2:'S_plus'!AW7)</f>
        <v>103.75039867649998</v>
      </c>
      <c r="AQ7">
        <f>AVERAGE(S_plus!AX$2:'S_plus'!AX7)</f>
        <v>100.42304400205001</v>
      </c>
      <c r="AR7">
        <f>AVERAGE(S_plus!AY$2:'S_plus'!AY7)</f>
        <v>102.44825267236666</v>
      </c>
      <c r="AS7">
        <f>AVERAGE(S_plus!AZ$2:'S_plus'!AZ7)</f>
        <v>101.68744258099998</v>
      </c>
      <c r="AT7">
        <f>AVERAGE(S_plus!BA$2:'S_plus'!BA7)</f>
        <v>101.12524555350001</v>
      </c>
      <c r="AU7">
        <f>AVERAGE(S_plus!BB$2:'S_plus'!BB7)</f>
        <v>99.786556575199995</v>
      </c>
      <c r="AV7">
        <f>AVERAGE(S_plus!BC$2:'S_plus'!BC7)</f>
        <v>98.742027770433324</v>
      </c>
      <c r="AW7">
        <f>AVERAGE(S_plus!BD$2:'S_plus'!BD7)</f>
        <v>95.374227016199995</v>
      </c>
      <c r="AX7">
        <f>AVERAGE(S_plus!BE$2:'S_plus'!BE7)</f>
        <v>96.586868145849976</v>
      </c>
      <c r="AY7">
        <f>AVERAGE(S_plus!BF$2:'S_plus'!BF7)</f>
        <v>102.90818178583334</v>
      </c>
      <c r="AZ7">
        <f>AVERAGE(S_plus!BG$2:'S_plus'!BG7)</f>
        <v>95.106658920849995</v>
      </c>
      <c r="BA7">
        <f>AVERAGE(S_plus!BH$2:'S_plus'!BH7)</f>
        <v>99.390356924399995</v>
      </c>
      <c r="BB7">
        <f>AVERAGE(S_plus!BI$2:'S_plus'!BI7)</f>
        <v>101.274332992</v>
      </c>
      <c r="BC7">
        <f>AVERAGE(S_plus!BJ$2:'S_plus'!BJ7)</f>
        <v>103.72413357266667</v>
      </c>
      <c r="BD7">
        <f>AVERAGE(S_plus!BK$2:'S_plus'!BK7)</f>
        <v>100.53170644836666</v>
      </c>
      <c r="BE7">
        <f>AVERAGE(S_plus!BL$2:'S_plus'!BL7)</f>
        <v>99.160177137983339</v>
      </c>
      <c r="BF7">
        <f>AVERAGE(S_plus!BM$2:'S_plus'!BM7)</f>
        <v>95.539373463566676</v>
      </c>
      <c r="BG7">
        <f>AVERAGE(S_plus!BN$2:'S_plus'!BN7)</f>
        <v>100.00358114146667</v>
      </c>
      <c r="BH7">
        <f>AVERAGE(S_plus!BO$2:'S_plus'!BO7)</f>
        <v>99.60306943383334</v>
      </c>
      <c r="BI7">
        <f>AVERAGE(S_plus!BP$2:'S_plus'!BP7)</f>
        <v>98.610693175249992</v>
      </c>
      <c r="BJ7">
        <f>AVERAGE(S_plus!BQ$2:'S_plus'!BQ7)</f>
        <v>99.811505297150006</v>
      </c>
      <c r="BK7">
        <f>AVERAGE(S_plus!BR$2:'S_plus'!BR7)</f>
        <v>97.725601157066663</v>
      </c>
      <c r="BL7">
        <f>AVERAGE(S_plus!BS$2:'S_plus'!BS7)</f>
        <v>101.42212063683333</v>
      </c>
      <c r="BM7">
        <f>AVERAGE(S_plus!BT$2:'S_plus'!BT7)</f>
        <v>105.57190447833334</v>
      </c>
      <c r="BN7">
        <f>AVERAGE(S_plus!BU$2:'S_plus'!BU7)</f>
        <v>100.54495873125001</v>
      </c>
      <c r="BO7">
        <f>AVERAGE(S_plus!BV$2:'S_plus'!BV7)</f>
        <v>98.300630318399996</v>
      </c>
      <c r="BP7">
        <f>AVERAGE(S_plus!BW$2:'S_plus'!BW7)</f>
        <v>97.225913680583346</v>
      </c>
      <c r="BQ7">
        <f>AVERAGE(S_plus!BX$2:'S_plus'!BX7)</f>
        <v>99.191486410699994</v>
      </c>
      <c r="BR7">
        <f>AVERAGE(S_plus!BY$2:'S_plus'!BY7)</f>
        <v>100.19831499166666</v>
      </c>
      <c r="BS7">
        <f>AVERAGE(S_plus!BZ$2:'S_plus'!BZ7)</f>
        <v>96.137543110766657</v>
      </c>
      <c r="BT7">
        <f>AVERAGE(S_plus!CA$2:'S_plus'!CA7)</f>
        <v>101.66834352331666</v>
      </c>
      <c r="BU7">
        <f>AVERAGE(S_plus!CB$2:'S_plus'!CB7)</f>
        <v>99.360179998833345</v>
      </c>
      <c r="BV7">
        <f>AVERAGE(S_plus!CC$2:'S_plus'!CC7)</f>
        <v>99.009124468950006</v>
      </c>
      <c r="BW7">
        <f>AVERAGE(S_plus!CD$2:'S_plus'!CD7)</f>
        <v>97.129891598599997</v>
      </c>
      <c r="BX7">
        <f>AVERAGE(S_plus!CE$2:'S_plus'!CE7)</f>
        <v>96.830976902700002</v>
      </c>
      <c r="BY7">
        <f>AVERAGE(S_plus!CF$2:'S_plus'!CF7)</f>
        <v>97.388688193683322</v>
      </c>
      <c r="BZ7">
        <f>AVERAGE(S_plus!CG$2:'S_plus'!CG7)</f>
        <v>96.465076152933321</v>
      </c>
      <c r="CA7">
        <f>AVERAGE(S_plus!CH$2:'S_plus'!CH7)</f>
        <v>103.30211845833333</v>
      </c>
      <c r="CB7">
        <f>AVERAGE(S_plus!CI$2:'S_plus'!CI7)</f>
        <v>97.306476778616684</v>
      </c>
      <c r="CC7">
        <f>AVERAGE(S_plus!CJ$2:'S_plus'!CJ7)</f>
        <v>102.64774499076667</v>
      </c>
      <c r="CD7">
        <f>AVERAGE(S_plus!CK$2:'S_plus'!CK7)</f>
        <v>97.621710624216675</v>
      </c>
      <c r="CE7">
        <f>AVERAGE(S_plus!CL$2:'S_plus'!CL7)</f>
        <v>96.947461643083329</v>
      </c>
      <c r="CF7">
        <f>AVERAGE(S_plus!CM$2:'S_plus'!CM7)</f>
        <v>102.89795400150001</v>
      </c>
      <c r="CG7">
        <f>AVERAGE(S_plus!CN$2:'S_plus'!CN7)</f>
        <v>96.351518835516671</v>
      </c>
      <c r="CH7">
        <f>AVERAGE(S_plus!CO$2:'S_plus'!CO7)</f>
        <v>103.62532949866666</v>
      </c>
      <c r="CI7">
        <f>AVERAGE(S_plus!CP$2:'S_plus'!CP7)</f>
        <v>102.13660662538335</v>
      </c>
      <c r="CJ7">
        <f>AVERAGE(S_plus!CQ$2:'S_plus'!CQ7)</f>
        <v>99.615478945100008</v>
      </c>
      <c r="CK7">
        <f>AVERAGE(S_plus!CR$2:'S_plus'!CR7)</f>
        <v>98.16226247485001</v>
      </c>
      <c r="CL7">
        <f>AVERAGE(S_plus!CS$2:'S_plus'!CS7)</f>
        <v>101.2439058475</v>
      </c>
      <c r="CM7">
        <f>AVERAGE(S_plus!CT$2:'S_plus'!CT7)</f>
        <v>99.962516735600005</v>
      </c>
      <c r="CN7">
        <f>AVERAGE(S_plus!CU$2:'S_plus'!CU7)</f>
        <v>99.247234434116649</v>
      </c>
      <c r="CO7">
        <f>AVERAGE(S_plus!CV$2:'S_plus'!CV7)</f>
        <v>101.33654628933334</v>
      </c>
      <c r="CP7">
        <f>AVERAGE(S_plus!CW$2:'S_plus'!CW7)</f>
        <v>99.56305794186666</v>
      </c>
      <c r="CQ7">
        <f>AVERAGE(S_plus!CX$2:'S_plus'!CX7)</f>
        <v>100.16904826084999</v>
      </c>
      <c r="CR7">
        <f>AVERAGE(S_plus!CY$2:'S_plus'!CY7)</f>
        <v>102.2200108352</v>
      </c>
      <c r="CS7">
        <f>AVERAGE(S_plus!CZ$2:'S_plus'!CZ7)</f>
        <v>100.67070540981666</v>
      </c>
      <c r="CT7">
        <f>AVERAGE(S_plus!DA$2:'S_plus'!DA7)</f>
        <v>98.420670123416656</v>
      </c>
      <c r="CU7">
        <f>AVERAGE(S_plus!DB$2:'S_plus'!DB7)</f>
        <v>99.086025235683323</v>
      </c>
      <c r="CV7">
        <f>AVERAGE(S_plus!DC$2:'S_plus'!DC7)</f>
        <v>98.196552903016666</v>
      </c>
      <c r="CW7">
        <f>AVERAGE(S_plus!DD$2:'S_plus'!DD7)</f>
        <v>100.81518927895</v>
      </c>
      <c r="CX7">
        <f>AVERAGE(S_plus!DE$2:'S_plus'!DE7)</f>
        <v>100.62431108620001</v>
      </c>
      <c r="CY7">
        <f>AVERAGE(S_plus!DF$2:'S_plus'!DF7)</f>
        <v>101.519977348</v>
      </c>
      <c r="CZ7">
        <f>AVERAGE(S_plus!DG$2:'S_plus'!DG7)</f>
        <v>99.920222004383334</v>
      </c>
      <c r="DA7">
        <f>AVERAGE(S_plus!DH$2:'S_plus'!DH7)</f>
        <v>101.601955768</v>
      </c>
    </row>
    <row r="8" spans="3:105" x14ac:dyDescent="0.25">
      <c r="E8">
        <f>E7+Asian!dt</f>
        <v>6.0000000000000005E-2</v>
      </c>
      <c r="F8">
        <f>AVERAGE(S_plus!M$2:'S_plus'!M8)</f>
        <v>97.129767877314293</v>
      </c>
      <c r="G8">
        <f>AVERAGE(S_plus!N$2:'S_plus'!N8)</f>
        <v>96.142338554685708</v>
      </c>
      <c r="H8">
        <f>AVERAGE(S_plus!O$2:'S_plus'!O8)</f>
        <v>106.95305100142856</v>
      </c>
      <c r="I8">
        <f>AVERAGE(S_plus!P$2:'S_plus'!P8)</f>
        <v>99.484848446457136</v>
      </c>
      <c r="J8">
        <f>AVERAGE(S_plus!Q$2:'S_plus'!Q8)</f>
        <v>100.3571501962</v>
      </c>
      <c r="K8">
        <f>AVERAGE(S_plus!R$2:'S_plus'!R8)</f>
        <v>101.26154997457142</v>
      </c>
      <c r="L8">
        <f>AVERAGE(S_plus!S$2:'S_plus'!S8)</f>
        <v>104.35744302542855</v>
      </c>
      <c r="M8">
        <f>AVERAGE(S_plus!T$2:'S_plus'!T8)</f>
        <v>99.295294593114278</v>
      </c>
      <c r="N8">
        <f>AVERAGE(S_plus!U$2:'S_plus'!U8)</f>
        <v>105.78154893257143</v>
      </c>
      <c r="O8">
        <f>AVERAGE(S_plus!V$2:'S_plus'!V8)</f>
        <v>95.991729215428578</v>
      </c>
      <c r="P8">
        <f>AVERAGE(S_plus!W$2:'S_plus'!W8)</f>
        <v>101.00653548085714</v>
      </c>
      <c r="Q8">
        <f>AVERAGE(S_plus!X$2:'S_plus'!X8)</f>
        <v>100.36630048358572</v>
      </c>
      <c r="R8">
        <f>AVERAGE(S_plus!Y$2:'S_plus'!Y8)</f>
        <v>99.616586431214287</v>
      </c>
      <c r="S8">
        <f>AVERAGE(S_plus!Z$2:'S_plus'!Z8)</f>
        <v>99.658431261200008</v>
      </c>
      <c r="T8">
        <f>AVERAGE(S_plus!AA$2:'S_plus'!AA8)</f>
        <v>100.96796147744286</v>
      </c>
      <c r="U8">
        <f>AVERAGE(S_plus!AB$2:'S_plus'!AB8)</f>
        <v>95.41318984119998</v>
      </c>
      <c r="V8">
        <f>AVERAGE(S_plus!AC$2:'S_plus'!AC8)</f>
        <v>95.648641068700002</v>
      </c>
      <c r="W8">
        <f>AVERAGE(S_plus!AD$2:'S_plus'!AD8)</f>
        <v>97.15042256395715</v>
      </c>
      <c r="X8">
        <f>AVERAGE(S_plus!AE$2:'S_plus'!AE8)</f>
        <v>97.418811986400002</v>
      </c>
      <c r="Y8">
        <f>AVERAGE(S_plus!AF$2:'S_plus'!AF8)</f>
        <v>97.973716739642853</v>
      </c>
      <c r="Z8">
        <f>AVERAGE(S_plus!AG$2:'S_plus'!AG8)</f>
        <v>101.49016236440001</v>
      </c>
      <c r="AA8">
        <f>AVERAGE(S_plus!AH$2:'S_plus'!AH8)</f>
        <v>97.404009635742838</v>
      </c>
      <c r="AB8">
        <f>AVERAGE(S_plus!AI$2:'S_plus'!AI8)</f>
        <v>100.44193811972856</v>
      </c>
      <c r="AC8">
        <f>AVERAGE(S_plus!AJ$2:'S_plus'!AJ8)</f>
        <v>100.70941360778571</v>
      </c>
      <c r="AD8">
        <f>AVERAGE(S_plus!AK$2:'S_plus'!AK8)</f>
        <v>104.04853259014286</v>
      </c>
      <c r="AE8">
        <f>AVERAGE(S_plus!AL$2:'S_plus'!AL8)</f>
        <v>100.95876371954286</v>
      </c>
      <c r="AF8">
        <f>AVERAGE(S_plus!AM$2:'S_plus'!AM8)</f>
        <v>100.33256470491428</v>
      </c>
      <c r="AG8">
        <f>AVERAGE(S_plus!AN$2:'S_plus'!AN8)</f>
        <v>104.1370500057143</v>
      </c>
      <c r="AH8">
        <f>AVERAGE(S_plus!AO$2:'S_plus'!AO8)</f>
        <v>101.59094523287141</v>
      </c>
      <c r="AI8">
        <f>AVERAGE(S_plus!AP$2:'S_plus'!AP8)</f>
        <v>97.157836968842858</v>
      </c>
      <c r="AJ8">
        <f>AVERAGE(S_plus!AQ$2:'S_plus'!AQ8)</f>
        <v>98.803697704128567</v>
      </c>
      <c r="AK8">
        <f>AVERAGE(S_plus!AR$2:'S_plus'!AR8)</f>
        <v>101.75782490744287</v>
      </c>
      <c r="AL8">
        <f>AVERAGE(S_plus!AS$2:'S_plus'!AS8)</f>
        <v>100.16309479804285</v>
      </c>
      <c r="AM8">
        <f>AVERAGE(S_plus!AT$2:'S_plus'!AT8)</f>
        <v>97.319300276642849</v>
      </c>
      <c r="AN8">
        <f>AVERAGE(S_plus!AU$2:'S_plus'!AU8)</f>
        <v>99.339988158985719</v>
      </c>
      <c r="AO8">
        <f>AVERAGE(S_plus!AV$2:'S_plus'!AV8)</f>
        <v>97.42607092761429</v>
      </c>
      <c r="AP8">
        <f>AVERAGE(S_plus!AW$2:'S_plus'!AW8)</f>
        <v>103.8061180012857</v>
      </c>
      <c r="AQ8">
        <f>AVERAGE(S_plus!AX$2:'S_plus'!AX8)</f>
        <v>100.2695747107</v>
      </c>
      <c r="AR8">
        <f>AVERAGE(S_plus!AY$2:'S_plus'!AY8)</f>
        <v>103.48505190245714</v>
      </c>
      <c r="AS8">
        <f>AVERAGE(S_plus!AZ$2:'S_plus'!AZ8)</f>
        <v>102.13932746042858</v>
      </c>
      <c r="AT8">
        <f>AVERAGE(S_plus!BA$2:'S_plus'!BA8)</f>
        <v>101.83562914314287</v>
      </c>
      <c r="AU8">
        <f>AVERAGE(S_plus!BB$2:'S_plus'!BB8)</f>
        <v>100.36858400331428</v>
      </c>
      <c r="AV8">
        <f>AVERAGE(S_plus!BC$2:'S_plus'!BC8)</f>
        <v>98.84386616117142</v>
      </c>
      <c r="AW8">
        <f>AVERAGE(S_plus!BD$2:'S_plus'!BD8)</f>
        <v>95.434249495399996</v>
      </c>
      <c r="AX8">
        <f>AVERAGE(S_plus!BE$2:'S_plus'!BE8)</f>
        <v>95.905878503585697</v>
      </c>
      <c r="AY8">
        <f>AVERAGE(S_plus!BF$2:'S_plus'!BF8)</f>
        <v>102.51004094328572</v>
      </c>
      <c r="AZ8">
        <f>AVERAGE(S_plus!BG$2:'S_plus'!BG8)</f>
        <v>94.355668268271415</v>
      </c>
      <c r="BA8">
        <f>AVERAGE(S_plus!BH$2:'S_plus'!BH8)</f>
        <v>99.987710732342848</v>
      </c>
      <c r="BB8">
        <f>AVERAGE(S_plus!BI$2:'S_plus'!BI8)</f>
        <v>101.495486165</v>
      </c>
      <c r="BC8">
        <f>AVERAGE(S_plus!BJ$2:'S_plus'!BJ8)</f>
        <v>104.20707884785715</v>
      </c>
      <c r="BD8">
        <f>AVERAGE(S_plus!BK$2:'S_plus'!BK8)</f>
        <v>100.9339131596</v>
      </c>
      <c r="BE8">
        <f>AVERAGE(S_plus!BL$2:'S_plus'!BL8)</f>
        <v>99.411066614271434</v>
      </c>
      <c r="BF8">
        <f>AVERAGE(S_plus!BM$2:'S_plus'!BM8)</f>
        <v>94.936437826728579</v>
      </c>
      <c r="BG8">
        <f>AVERAGE(S_plus!BN$2:'S_plus'!BN8)</f>
        <v>100.85600991097144</v>
      </c>
      <c r="BH8">
        <f>AVERAGE(S_plus!BO$2:'S_plus'!BO8)</f>
        <v>98.42582374094286</v>
      </c>
      <c r="BI8">
        <f>AVERAGE(S_plus!BP$2:'S_plus'!BP8)</f>
        <v>98.460096338999989</v>
      </c>
      <c r="BJ8">
        <f>AVERAGE(S_plus!BQ$2:'S_plus'!BQ8)</f>
        <v>99.169200332328586</v>
      </c>
      <c r="BK8">
        <f>AVERAGE(S_plus!BR$2:'S_plus'!BR8)</f>
        <v>97.684282062928574</v>
      </c>
      <c r="BL8">
        <f>AVERAGE(S_plus!BS$2:'S_plus'!BS8)</f>
        <v>101.42066426528571</v>
      </c>
      <c r="BM8">
        <f>AVERAGE(S_plus!BT$2:'S_plus'!BT8)</f>
        <v>106.27836827257143</v>
      </c>
      <c r="BN8">
        <f>AVERAGE(S_plus!BU$2:'S_plus'!BU8)</f>
        <v>100.75091172035715</v>
      </c>
      <c r="BO8">
        <f>AVERAGE(S_plus!BV$2:'S_plus'!BV8)</f>
        <v>98.058181627385707</v>
      </c>
      <c r="BP8">
        <f>AVERAGE(S_plus!BW$2:'S_plus'!BW8)</f>
        <v>96.480044359271446</v>
      </c>
      <c r="BQ8">
        <f>AVERAGE(S_plus!BX$2:'S_plus'!BX8)</f>
        <v>99.229825651742857</v>
      </c>
      <c r="BR8">
        <f>AVERAGE(S_plus!BY$2:'S_plus'!BY8)</f>
        <v>100.27830910099999</v>
      </c>
      <c r="BS8">
        <f>AVERAGE(S_plus!BZ$2:'S_plus'!BZ8)</f>
        <v>95.497265447299995</v>
      </c>
      <c r="BT8">
        <f>AVERAGE(S_plus!CA$2:'S_plus'!CA8)</f>
        <v>101.87746771541428</v>
      </c>
      <c r="BU8">
        <f>AVERAGE(S_plus!CB$2:'S_plus'!CB8)</f>
        <v>99.240708048200005</v>
      </c>
      <c r="BV8">
        <f>AVERAGE(S_plus!CC$2:'S_plus'!CC8)</f>
        <v>98.906667232928584</v>
      </c>
      <c r="BW8">
        <f>AVERAGE(S_plus!CD$2:'S_plus'!CD8)</f>
        <v>96.759816795514283</v>
      </c>
      <c r="BX8">
        <f>AVERAGE(S_plus!CE$2:'S_plus'!CE8)</f>
        <v>96.703985891771438</v>
      </c>
      <c r="BY8">
        <f>AVERAGE(S_plus!CF$2:'S_plus'!CF8)</f>
        <v>97.06870948285713</v>
      </c>
      <c r="BZ8">
        <f>AVERAGE(S_plus!CG$2:'S_plus'!CG8)</f>
        <v>95.763444336057134</v>
      </c>
      <c r="CA8">
        <f>AVERAGE(S_plus!CH$2:'S_plus'!CH8)</f>
        <v>103.84683655085713</v>
      </c>
      <c r="CB8">
        <f>AVERAGE(S_plus!CI$2:'S_plus'!CI8)</f>
        <v>96.644116737028597</v>
      </c>
      <c r="CC8">
        <f>AVERAGE(S_plus!CJ$2:'S_plus'!CJ8)</f>
        <v>102.67673699908572</v>
      </c>
      <c r="CD8">
        <f>AVERAGE(S_plus!CK$2:'S_plus'!CK8)</f>
        <v>97.339100777457148</v>
      </c>
      <c r="CE8">
        <f>AVERAGE(S_plus!CL$2:'S_plus'!CL8)</f>
        <v>96.453599653971423</v>
      </c>
      <c r="CF8">
        <f>AVERAGE(S_plus!CM$2:'S_plus'!CM8)</f>
        <v>102.82214376957144</v>
      </c>
      <c r="CG8">
        <f>AVERAGE(S_plus!CN$2:'S_plus'!CN8)</f>
        <v>95.953914972957136</v>
      </c>
      <c r="CH8">
        <f>AVERAGE(S_plus!CO$2:'S_plus'!CO8)</f>
        <v>103.62290771128572</v>
      </c>
      <c r="CI8">
        <f>AVERAGE(S_plus!CP$2:'S_plus'!CP8)</f>
        <v>102.92075930032858</v>
      </c>
      <c r="CJ8">
        <f>AVERAGE(S_plus!CQ$2:'S_plus'!CQ8)</f>
        <v>100.04296597037144</v>
      </c>
      <c r="CK8">
        <f>AVERAGE(S_plus!CR$2:'S_plus'!CR8)</f>
        <v>98.729656272871438</v>
      </c>
      <c r="CL8">
        <f>AVERAGE(S_plus!CS$2:'S_plus'!CS8)</f>
        <v>101.64797290085714</v>
      </c>
      <c r="CM8">
        <f>AVERAGE(S_plus!CT$2:'S_plus'!CT8)</f>
        <v>100.01569834408572</v>
      </c>
      <c r="CN8">
        <f>AVERAGE(S_plus!CU$2:'S_plus'!CU8)</f>
        <v>99.689885659242833</v>
      </c>
      <c r="CO8">
        <f>AVERAGE(S_plus!CV$2:'S_plus'!CV8)</f>
        <v>101.34186566857144</v>
      </c>
      <c r="CP8">
        <f>AVERAGE(S_plus!CW$2:'S_plus'!CW8)</f>
        <v>99.592613210300001</v>
      </c>
      <c r="CQ8">
        <f>AVERAGE(S_plus!CX$2:'S_plus'!CX8)</f>
        <v>99.998013858371422</v>
      </c>
      <c r="CR8">
        <f>AVERAGE(S_plus!CY$2:'S_plus'!CY8)</f>
        <v>102.07889206131428</v>
      </c>
      <c r="CS8">
        <f>AVERAGE(S_plus!CZ$2:'S_plus'!CZ8)</f>
        <v>101.09662043998571</v>
      </c>
      <c r="CT8">
        <f>AVERAGE(S_plus!DA$2:'S_plus'!DA8)</f>
        <v>97.724281311071422</v>
      </c>
      <c r="CU8">
        <f>AVERAGE(S_plus!DB$2:'S_plus'!DB8)</f>
        <v>99.324463621871402</v>
      </c>
      <c r="CV8">
        <f>AVERAGE(S_plus!DC$2:'S_plus'!DC8)</f>
        <v>98.242607394585704</v>
      </c>
      <c r="CW8">
        <f>AVERAGE(S_plus!DD$2:'S_plus'!DD8)</f>
        <v>101.38970640038572</v>
      </c>
      <c r="CX8">
        <f>AVERAGE(S_plus!DE$2:'S_plus'!DE8)</f>
        <v>100.94978754731429</v>
      </c>
      <c r="CY8">
        <f>AVERAGE(S_plus!DF$2:'S_plus'!DF8)</f>
        <v>101.79595075242857</v>
      </c>
      <c r="CZ8">
        <f>AVERAGE(S_plus!DG$2:'S_plus'!DG8)</f>
        <v>99.839599159442855</v>
      </c>
      <c r="DA8">
        <f>AVERAGE(S_plus!DH$2:'S_plus'!DH8)</f>
        <v>101.46404056457143</v>
      </c>
    </row>
    <row r="9" spans="3:105" x14ac:dyDescent="0.25">
      <c r="E9">
        <f>E8+Asian!dt</f>
        <v>7.0000000000000007E-2</v>
      </c>
      <c r="F9">
        <f>AVERAGE(S_plus!M$2:'S_plus'!M9)</f>
        <v>96.736376512650011</v>
      </c>
      <c r="G9">
        <f>AVERAGE(S_plus!N$2:'S_plus'!N9)</f>
        <v>96.16381301365</v>
      </c>
      <c r="H9">
        <f>AVERAGE(S_plus!O$2:'S_plus'!O9)</f>
        <v>107.305139302375</v>
      </c>
      <c r="I9">
        <f>AVERAGE(S_plus!P$2:'S_plus'!P9)</f>
        <v>99.608622040899988</v>
      </c>
      <c r="J9">
        <f>AVERAGE(S_plus!Q$2:'S_plus'!Q9)</f>
        <v>100.81032960429999</v>
      </c>
      <c r="K9">
        <f>AVERAGE(S_plus!R$2:'S_plus'!R9)</f>
        <v>100.9473200738875</v>
      </c>
      <c r="L9">
        <f>AVERAGE(S_plus!S$2:'S_plus'!S9)</f>
        <v>104.78195114274999</v>
      </c>
      <c r="M9">
        <f>AVERAGE(S_plus!T$2:'S_plus'!T9)</f>
        <v>99.38733665872499</v>
      </c>
      <c r="N9">
        <f>AVERAGE(S_plus!U$2:'S_plus'!U9)</f>
        <v>106.121643984375</v>
      </c>
      <c r="O9">
        <f>AVERAGE(S_plus!V$2:'S_plus'!V9)</f>
        <v>96.158236837700002</v>
      </c>
      <c r="P9">
        <f>AVERAGE(S_plus!W$2:'S_plus'!W9)</f>
        <v>100.8215055937375</v>
      </c>
      <c r="Q9">
        <f>AVERAGE(S_plus!X$2:'S_plus'!X9)</f>
        <v>101.00400402101251</v>
      </c>
      <c r="R9">
        <f>AVERAGE(S_plus!Y$2:'S_plus'!Y9)</f>
        <v>100.1031282713125</v>
      </c>
      <c r="S9">
        <f>AVERAGE(S_plus!Z$2:'S_plus'!Z9)</f>
        <v>99.34987207612501</v>
      </c>
      <c r="T9">
        <f>AVERAGE(S_plus!AA$2:'S_plus'!AA9)</f>
        <v>101.48025232976251</v>
      </c>
      <c r="U9">
        <f>AVERAGE(S_plus!AB$2:'S_plus'!AB9)</f>
        <v>95.219216512274983</v>
      </c>
      <c r="V9">
        <f>AVERAGE(S_plus!AC$2:'S_plus'!AC9)</f>
        <v>94.95922474622499</v>
      </c>
      <c r="W9">
        <f>AVERAGE(S_plus!AD$2:'S_plus'!AD9)</f>
        <v>96.974123425062515</v>
      </c>
      <c r="X9">
        <f>AVERAGE(S_plus!AE$2:'S_plus'!AE9)</f>
        <v>97.692398056687509</v>
      </c>
      <c r="Y9">
        <f>AVERAGE(S_plus!AF$2:'S_plus'!AF9)</f>
        <v>97.314566768612494</v>
      </c>
      <c r="Z9">
        <f>AVERAGE(S_plus!AG$2:'S_plus'!AG9)</f>
        <v>102.12305291085001</v>
      </c>
      <c r="AA9">
        <f>AVERAGE(S_plus!AH$2:'S_plus'!AH9)</f>
        <v>97.033325211412489</v>
      </c>
      <c r="AB9">
        <f>AVERAGE(S_plus!AI$2:'S_plus'!AI9)</f>
        <v>100.80160818876249</v>
      </c>
      <c r="AC9">
        <f>AVERAGE(S_plus!AJ$2:'S_plus'!AJ9)</f>
        <v>100.5907873168875</v>
      </c>
      <c r="AD9">
        <f>AVERAGE(S_plus!AK$2:'S_plus'!AK9)</f>
        <v>104.0492571835</v>
      </c>
      <c r="AE9">
        <f>AVERAGE(S_plus!AL$2:'S_plus'!AL9)</f>
        <v>100.61340203255</v>
      </c>
      <c r="AF9">
        <f>AVERAGE(S_plus!AM$2:'S_plus'!AM9)</f>
        <v>100.36182592479999</v>
      </c>
      <c r="AG9">
        <f>AVERAGE(S_plus!AN$2:'S_plus'!AN9)</f>
        <v>104.52626072375001</v>
      </c>
      <c r="AH9">
        <f>AVERAGE(S_plus!AO$2:'S_plus'!AO9)</f>
        <v>102.55742906126248</v>
      </c>
      <c r="AI9">
        <f>AVERAGE(S_plus!AP$2:'S_plus'!AP9)</f>
        <v>96.959670570225001</v>
      </c>
      <c r="AJ9">
        <f>AVERAGE(S_plus!AQ$2:'S_plus'!AQ9)</f>
        <v>99.331251613862491</v>
      </c>
      <c r="AK9">
        <f>AVERAGE(S_plus!AR$2:'S_plus'!AR9)</f>
        <v>101.66252462526251</v>
      </c>
      <c r="AL9">
        <f>AVERAGE(S_plus!AS$2:'S_plus'!AS9)</f>
        <v>100.60900722091249</v>
      </c>
      <c r="AM9">
        <f>AVERAGE(S_plus!AT$2:'S_plus'!AT9)</f>
        <v>96.646680432875002</v>
      </c>
      <c r="AN9">
        <f>AVERAGE(S_plus!AU$2:'S_plus'!AU9)</f>
        <v>99.096337717237503</v>
      </c>
      <c r="AO9">
        <f>AVERAGE(S_plus!AV$2:'S_plus'!AV9)</f>
        <v>97.230390350225008</v>
      </c>
      <c r="AP9">
        <f>AVERAGE(S_plus!AW$2:'S_plus'!AW9)</f>
        <v>103.82954723112499</v>
      </c>
      <c r="AQ9">
        <f>AVERAGE(S_plus!AX$2:'S_plus'!AX9)</f>
        <v>99.877065479987493</v>
      </c>
      <c r="AR9">
        <f>AVERAGE(S_plus!AY$2:'S_plus'!AY9)</f>
        <v>104.173839698525</v>
      </c>
      <c r="AS9">
        <f>AVERAGE(S_plus!AZ$2:'S_plus'!AZ9)</f>
        <v>102.436626675</v>
      </c>
      <c r="AT9">
        <f>AVERAGE(S_plus!BA$2:'S_plus'!BA9)</f>
        <v>102.23145770125001</v>
      </c>
      <c r="AU9">
        <f>AVERAGE(S_plus!BB$2:'S_plus'!BB9)</f>
        <v>100.675490673525</v>
      </c>
      <c r="AV9">
        <f>AVERAGE(S_plus!BC$2:'S_plus'!BC9)</f>
        <v>99.198207214899995</v>
      </c>
      <c r="AW9">
        <f>AVERAGE(S_plus!BD$2:'S_plus'!BD9)</f>
        <v>95.3617421054375</v>
      </c>
      <c r="AX9">
        <f>AVERAGE(S_plus!BE$2:'S_plus'!BE9)</f>
        <v>94.976218993812495</v>
      </c>
      <c r="AY9">
        <f>AVERAGE(S_plus!BF$2:'S_plus'!BF9)</f>
        <v>101.79206979525</v>
      </c>
      <c r="AZ9">
        <f>AVERAGE(S_plus!BG$2:'S_plus'!BG9)</f>
        <v>93.392409960812486</v>
      </c>
      <c r="BA9">
        <f>AVERAGE(S_plus!BH$2:'S_plus'!BH9)</f>
        <v>100.29401916117499</v>
      </c>
      <c r="BB9">
        <f>AVERAGE(S_plus!BI$2:'S_plus'!BI9)</f>
        <v>102.08405913200001</v>
      </c>
      <c r="BC9">
        <f>AVERAGE(S_plus!BJ$2:'S_plus'!BJ9)</f>
        <v>104.171967809375</v>
      </c>
      <c r="BD9">
        <f>AVERAGE(S_plus!BK$2:'S_plus'!BK9)</f>
        <v>100.88198960202499</v>
      </c>
      <c r="BE9">
        <f>AVERAGE(S_plus!BL$2:'S_plus'!BL9)</f>
        <v>99.727986722987495</v>
      </c>
      <c r="BF9">
        <f>AVERAGE(S_plus!BM$2:'S_plus'!BM9)</f>
        <v>94.495908768687499</v>
      </c>
      <c r="BG9">
        <f>AVERAGE(S_plus!BN$2:'S_plus'!BN9)</f>
        <v>101.432173001725</v>
      </c>
      <c r="BH9">
        <f>AVERAGE(S_plus!BO$2:'S_plus'!BO9)</f>
        <v>97.531984770649998</v>
      </c>
      <c r="BI9">
        <f>AVERAGE(S_plus!BP$2:'S_plus'!BP9)</f>
        <v>98.359764252162492</v>
      </c>
      <c r="BJ9">
        <f>AVERAGE(S_plus!BQ$2:'S_plus'!BQ9)</f>
        <v>98.989228704000013</v>
      </c>
      <c r="BK9">
        <f>AVERAGE(S_plus!BR$2:'S_plus'!BR9)</f>
        <v>97.564200077975002</v>
      </c>
      <c r="BL9">
        <f>AVERAGE(S_plus!BS$2:'S_plus'!BS9)</f>
        <v>101.1572394598625</v>
      </c>
      <c r="BM9">
        <f>AVERAGE(S_plus!BT$2:'S_plus'!BT9)</f>
        <v>106.469270418875</v>
      </c>
      <c r="BN9">
        <f>AVERAGE(S_plus!BU$2:'S_plus'!BU9)</f>
        <v>100.8757699406875</v>
      </c>
      <c r="BO9">
        <f>AVERAGE(S_plus!BV$2:'S_plus'!BV9)</f>
        <v>97.750697883800001</v>
      </c>
      <c r="BP9">
        <f>AVERAGE(S_plus!BW$2:'S_plus'!BW9)</f>
        <v>96.12290753595002</v>
      </c>
      <c r="BQ9">
        <f>AVERAGE(S_plus!BX$2:'S_plus'!BX9)</f>
        <v>99.554209959899993</v>
      </c>
      <c r="BR9">
        <f>AVERAGE(S_plus!BY$2:'S_plus'!BY9)</f>
        <v>100.35042117899999</v>
      </c>
      <c r="BS9">
        <f>AVERAGE(S_plus!BZ$2:'S_plus'!BZ9)</f>
        <v>94.956255070612485</v>
      </c>
      <c r="BT9">
        <f>AVERAGE(S_plus!CA$2:'S_plus'!CA9)</f>
        <v>101.6430445724875</v>
      </c>
      <c r="BU9">
        <f>AVERAGE(S_plus!CB$2:'S_plus'!CB9)</f>
        <v>98.866446841200016</v>
      </c>
      <c r="BV9">
        <f>AVERAGE(S_plus!CC$2:'S_plus'!CC9)</f>
        <v>98.701779475200013</v>
      </c>
      <c r="BW9">
        <f>AVERAGE(S_plus!CD$2:'S_plus'!CD9)</f>
        <v>96.683896900762491</v>
      </c>
      <c r="BX9">
        <f>AVERAGE(S_plus!CE$2:'S_plus'!CE9)</f>
        <v>96.973013317450011</v>
      </c>
      <c r="BY9">
        <f>AVERAGE(S_plus!CF$2:'S_plus'!CF9)</f>
        <v>96.994570097212488</v>
      </c>
      <c r="BZ9">
        <f>AVERAGE(S_plus!CG$2:'S_plus'!CG9)</f>
        <v>95.168426766449997</v>
      </c>
      <c r="CA9">
        <f>AVERAGE(S_plus!CH$2:'S_plus'!CH9)</f>
        <v>103.96072444824999</v>
      </c>
      <c r="CB9">
        <f>AVERAGE(S_plus!CI$2:'S_plus'!CI9)</f>
        <v>95.954427206425009</v>
      </c>
      <c r="CC9">
        <f>AVERAGE(S_plus!CJ$2:'S_plus'!CJ9)</f>
        <v>102.655315861825</v>
      </c>
      <c r="CD9">
        <f>AVERAGE(S_plus!CK$2:'S_plus'!CK9)</f>
        <v>97.343150525012504</v>
      </c>
      <c r="CE9">
        <f>AVERAGE(S_plus!CL$2:'S_plus'!CL9)</f>
        <v>96.158920896812489</v>
      </c>
      <c r="CF9">
        <f>AVERAGE(S_plus!CM$2:'S_plus'!CM9)</f>
        <v>102.21595092613751</v>
      </c>
      <c r="CG9">
        <f>AVERAGE(S_plus!CN$2:'S_plus'!CN9)</f>
        <v>95.992269381900002</v>
      </c>
      <c r="CH9">
        <f>AVERAGE(S_plus!CO$2:'S_plus'!CO9)</f>
        <v>103.80178104625</v>
      </c>
      <c r="CI9">
        <f>AVERAGE(S_plus!CP$2:'S_plus'!CP9)</f>
        <v>103.25579969266252</v>
      </c>
      <c r="CJ9">
        <f>AVERAGE(S_plus!CQ$2:'S_plus'!CQ9)</f>
        <v>99.780059011662502</v>
      </c>
      <c r="CK9">
        <f>AVERAGE(S_plus!CR$2:'S_plus'!CR9)</f>
        <v>99.054396773012499</v>
      </c>
      <c r="CL9">
        <f>AVERAGE(S_plus!CS$2:'S_plus'!CS9)</f>
        <v>101.81984354937501</v>
      </c>
      <c r="CM9">
        <f>AVERAGE(S_plus!CT$2:'S_plus'!CT9)</f>
        <v>100.249981302075</v>
      </c>
      <c r="CN9">
        <f>AVERAGE(S_plus!CU$2:'S_plus'!CU9)</f>
        <v>100.17062457996248</v>
      </c>
      <c r="CO9">
        <f>AVERAGE(S_plus!CV$2:'S_plus'!CV9)</f>
        <v>101.72269268125001</v>
      </c>
      <c r="CP9">
        <f>AVERAGE(S_plus!CW$2:'S_plus'!CW9)</f>
        <v>99.461974622012505</v>
      </c>
      <c r="CQ9">
        <f>AVERAGE(S_plus!CX$2:'S_plus'!CX9)</f>
        <v>100.37397938907499</v>
      </c>
      <c r="CR9">
        <f>AVERAGE(S_plus!CY$2:'S_plus'!CY9)</f>
        <v>101.656366022925</v>
      </c>
      <c r="CS9">
        <f>AVERAGE(S_plus!CZ$2:'S_plus'!CZ9)</f>
        <v>101.5832446584875</v>
      </c>
      <c r="CT9">
        <f>AVERAGE(S_plus!DA$2:'S_plus'!DA9)</f>
        <v>97.168548261449999</v>
      </c>
      <c r="CU9">
        <f>AVERAGE(S_plus!DB$2:'S_plus'!DB9)</f>
        <v>99.823143014762479</v>
      </c>
      <c r="CV9">
        <f>AVERAGE(S_plus!DC$2:'S_plus'!DC9)</f>
        <v>98.353030490649999</v>
      </c>
      <c r="CW9">
        <f>AVERAGE(S_plus!DD$2:'S_plus'!DD9)</f>
        <v>101.7107514262125</v>
      </c>
      <c r="CX9">
        <f>AVERAGE(S_plus!DE$2:'S_plus'!DE9)</f>
        <v>101.45289722515001</v>
      </c>
      <c r="CY9">
        <f>AVERAGE(S_plus!DF$2:'S_plus'!DF9)</f>
        <v>102.219045376875</v>
      </c>
      <c r="CZ9">
        <f>AVERAGE(S_plus!DG$2:'S_plus'!DG9)</f>
        <v>99.404019422874995</v>
      </c>
      <c r="DA9">
        <f>AVERAGE(S_plus!DH$2:'S_plus'!DH9)</f>
        <v>101.59375754712501</v>
      </c>
    </row>
    <row r="10" spans="3:105" x14ac:dyDescent="0.25">
      <c r="E10">
        <f>E9+Asian!dt</f>
        <v>0.08</v>
      </c>
      <c r="F10">
        <f>AVERAGE(S_plus!M$2:'S_plus'!M10)</f>
        <v>96.460500077211123</v>
      </c>
      <c r="G10">
        <f>AVERAGE(S_plus!N$2:'S_plus'!N10)</f>
        <v>96.180524107488893</v>
      </c>
      <c r="H10">
        <f>AVERAGE(S_plus!O$2:'S_plus'!O10)</f>
        <v>107.41908452322222</v>
      </c>
      <c r="I10">
        <f>AVERAGE(S_plus!P$2:'S_plus'!P10)</f>
        <v>99.441999545266654</v>
      </c>
      <c r="J10">
        <f>AVERAGE(S_plus!Q$2:'S_plus'!Q10)</f>
        <v>101.26802268871111</v>
      </c>
      <c r="K10">
        <f>AVERAGE(S_plus!R$2:'S_plus'!R10)</f>
        <v>100.72283572695557</v>
      </c>
      <c r="L10">
        <f>AVERAGE(S_plus!S$2:'S_plus'!S10)</f>
        <v>105.24654389333332</v>
      </c>
      <c r="M10">
        <f>AVERAGE(S_plus!T$2:'S_plus'!T10)</f>
        <v>99.685220308199987</v>
      </c>
      <c r="N10">
        <f>AVERAGE(S_plus!U$2:'S_plus'!U10)</f>
        <v>106.39600624066667</v>
      </c>
      <c r="O10">
        <f>AVERAGE(S_plus!V$2:'S_plus'!V10)</f>
        <v>96.623917123288891</v>
      </c>
      <c r="P10">
        <f>AVERAGE(S_plus!W$2:'S_plus'!W10)</f>
        <v>100.63894329816667</v>
      </c>
      <c r="Q10">
        <f>AVERAGE(S_plus!X$2:'S_plus'!X10)</f>
        <v>101.51104726223333</v>
      </c>
      <c r="R10">
        <f>AVERAGE(S_plus!Y$2:'S_plus'!Y10)</f>
        <v>100.09143736956668</v>
      </c>
      <c r="S10">
        <f>AVERAGE(S_plus!Z$2:'S_plus'!Z10)</f>
        <v>99.270353421922238</v>
      </c>
      <c r="T10">
        <f>AVERAGE(S_plus!AA$2:'S_plus'!AA10)</f>
        <v>101.52114874423334</v>
      </c>
      <c r="U10">
        <f>AVERAGE(S_plus!AB$2:'S_plus'!AB10)</f>
        <v>95.175330304188876</v>
      </c>
      <c r="V10">
        <f>AVERAGE(S_plus!AC$2:'S_plus'!AC10)</f>
        <v>94.270011413533325</v>
      </c>
      <c r="W10">
        <f>AVERAGE(S_plus!AD$2:'S_plus'!AD10)</f>
        <v>96.992760643155577</v>
      </c>
      <c r="X10">
        <f>AVERAGE(S_plus!AE$2:'S_plus'!AE10)</f>
        <v>98.176539488944456</v>
      </c>
      <c r="Y10">
        <f>AVERAGE(S_plus!AF$2:'S_plus'!AF10)</f>
        <v>96.728989343466665</v>
      </c>
      <c r="Z10">
        <f>AVERAGE(S_plus!AG$2:'S_plus'!AG10)</f>
        <v>102.62134880386667</v>
      </c>
      <c r="AA10">
        <f>AVERAGE(S_plus!AH$2:'S_plus'!AH10)</f>
        <v>97.014003502577765</v>
      </c>
      <c r="AB10">
        <f>AVERAGE(S_plus!AI$2:'S_plus'!AI10)</f>
        <v>101.10045118545554</v>
      </c>
      <c r="AC10">
        <f>AVERAGE(S_plus!AJ$2:'S_plus'!AJ10)</f>
        <v>100.345109389</v>
      </c>
      <c r="AD10">
        <f>AVERAGE(S_plus!AK$2:'S_plus'!AK10)</f>
        <v>104.22516731411112</v>
      </c>
      <c r="AE10">
        <f>AVERAGE(S_plus!AL$2:'S_plus'!AL10)</f>
        <v>100.27199943733333</v>
      </c>
      <c r="AF10">
        <f>AVERAGE(S_plus!AM$2:'S_plus'!AM10)</f>
        <v>100.46415232193333</v>
      </c>
      <c r="AG10">
        <f>AVERAGE(S_plus!AN$2:'S_plus'!AN10)</f>
        <v>105.12129912555557</v>
      </c>
      <c r="AH10">
        <f>AVERAGE(S_plus!AO$2:'S_plus'!AO10)</f>
        <v>103.35021797678888</v>
      </c>
      <c r="AI10">
        <f>AVERAGE(S_plus!AP$2:'S_plus'!AP10)</f>
        <v>96.813815710155552</v>
      </c>
      <c r="AJ10">
        <f>AVERAGE(S_plus!AQ$2:'S_plus'!AQ10)</f>
        <v>99.414482054211092</v>
      </c>
      <c r="AK10">
        <f>AVERAGE(S_plus!AR$2:'S_plus'!AR10)</f>
        <v>101.80992681012223</v>
      </c>
      <c r="AL10">
        <f>AVERAGE(S_plus!AS$2:'S_plus'!AS10)</f>
        <v>101.03646703692222</v>
      </c>
      <c r="AM10">
        <f>AVERAGE(S_plus!AT$2:'S_plus'!AT10)</f>
        <v>95.861860382188894</v>
      </c>
      <c r="AN10">
        <f>AVERAGE(S_plus!AU$2:'S_plus'!AU10)</f>
        <v>98.787225495288894</v>
      </c>
      <c r="AO10">
        <f>AVERAGE(S_plus!AV$2:'S_plus'!AV10)</f>
        <v>97.1607264891</v>
      </c>
      <c r="AP10">
        <f>AVERAGE(S_plus!AW$2:'S_plus'!AW10)</f>
        <v>103.77188037588888</v>
      </c>
      <c r="AQ10">
        <f>AVERAGE(S_plus!AX$2:'S_plus'!AX10)</f>
        <v>99.532903773366655</v>
      </c>
      <c r="AR10">
        <f>AVERAGE(S_plus!AY$2:'S_plus'!AY10)</f>
        <v>105.07367004491111</v>
      </c>
      <c r="AS10">
        <f>AVERAGE(S_plus!AZ$2:'S_plus'!AZ10)</f>
        <v>102.66397239755555</v>
      </c>
      <c r="AT10">
        <f>AVERAGE(S_plus!BA$2:'S_plus'!BA10)</f>
        <v>102.51278359955556</v>
      </c>
      <c r="AU10">
        <f>AVERAGE(S_plus!BB$2:'S_plus'!BB10)</f>
        <v>100.96972903946667</v>
      </c>
      <c r="AV10">
        <f>AVERAGE(S_plus!BC$2:'S_plus'!BC10)</f>
        <v>99.603650640911098</v>
      </c>
      <c r="AW10">
        <f>AVERAGE(S_plus!BD$2:'S_plus'!BD10)</f>
        <v>95.349908193755553</v>
      </c>
      <c r="AX10">
        <f>AVERAGE(S_plus!BE$2:'S_plus'!BE10)</f>
        <v>94.256809208999982</v>
      </c>
      <c r="AY10">
        <f>AVERAGE(S_plus!BF$2:'S_plus'!BF10)</f>
        <v>101.01240833287778</v>
      </c>
      <c r="AZ10">
        <f>AVERAGE(S_plus!BG$2:'S_plus'!BG10)</f>
        <v>92.794989470055555</v>
      </c>
      <c r="BA10">
        <f>AVERAGE(S_plus!BH$2:'S_plus'!BH10)</f>
        <v>100.44397590748888</v>
      </c>
      <c r="BB10">
        <f>AVERAGE(S_plus!BI$2:'S_plus'!BI10)</f>
        <v>102.4604324028889</v>
      </c>
      <c r="BC10">
        <f>AVERAGE(S_plus!BJ$2:'S_plus'!BJ10)</f>
        <v>104.12607495166668</v>
      </c>
      <c r="BD10">
        <f>AVERAGE(S_plus!BK$2:'S_plus'!BK10)</f>
        <v>100.62681979687777</v>
      </c>
      <c r="BE10">
        <f>AVERAGE(S_plus!BL$2:'S_plus'!BL10)</f>
        <v>99.281685921766666</v>
      </c>
      <c r="BF10">
        <f>AVERAGE(S_plus!BM$2:'S_plus'!BM10)</f>
        <v>94.519261498322223</v>
      </c>
      <c r="BG10">
        <f>AVERAGE(S_plus!BN$2:'S_plus'!BN10)</f>
        <v>101.57384639742223</v>
      </c>
      <c r="BH10">
        <f>AVERAGE(S_plus!BO$2:'S_plus'!BO10)</f>
        <v>96.794655142133323</v>
      </c>
      <c r="BI10">
        <f>AVERAGE(S_plus!BP$2:'S_plus'!BP10)</f>
        <v>98.552973279033324</v>
      </c>
      <c r="BJ10">
        <f>AVERAGE(S_plus!BQ$2:'S_plus'!BQ10)</f>
        <v>98.654798251277782</v>
      </c>
      <c r="BK10">
        <f>AVERAGE(S_plus!BR$2:'S_plus'!BR10)</f>
        <v>97.734079057866666</v>
      </c>
      <c r="BL10">
        <f>AVERAGE(S_plus!BS$2:'S_plus'!BS10)</f>
        <v>101.15164476021111</v>
      </c>
      <c r="BM10">
        <f>AVERAGE(S_plus!BT$2:'S_plus'!BT10)</f>
        <v>106.19564604788889</v>
      </c>
      <c r="BN10">
        <f>AVERAGE(S_plus!BU$2:'S_plus'!BU10)</f>
        <v>100.9405705165</v>
      </c>
      <c r="BO10">
        <f>AVERAGE(S_plus!BV$2:'S_plus'!BV10)</f>
        <v>97.470999174533347</v>
      </c>
      <c r="BP10">
        <f>AVERAGE(S_plus!BW$2:'S_plus'!BW10)</f>
        <v>96.039665891822239</v>
      </c>
      <c r="BQ10">
        <f>AVERAGE(S_plus!BX$2:'S_plus'!BX10)</f>
        <v>99.479932478699993</v>
      </c>
      <c r="BR10">
        <f>AVERAGE(S_plus!BY$2:'S_plus'!BY10)</f>
        <v>100.22540862437778</v>
      </c>
      <c r="BS10">
        <f>AVERAGE(S_plus!BZ$2:'S_plus'!BZ10)</f>
        <v>94.606681283788873</v>
      </c>
      <c r="BT10">
        <f>AVERAGE(S_plus!CA$2:'S_plus'!CA10)</f>
        <v>101.54250238076666</v>
      </c>
      <c r="BU10">
        <f>AVERAGE(S_plus!CB$2:'S_plus'!CB10)</f>
        <v>98.631780221044465</v>
      </c>
      <c r="BV10">
        <f>AVERAGE(S_plus!CC$2:'S_plus'!CC10)</f>
        <v>98.72487986124446</v>
      </c>
      <c r="BW10">
        <f>AVERAGE(S_plus!CD$2:'S_plus'!CD10)</f>
        <v>96.510446911622211</v>
      </c>
      <c r="BX10">
        <f>AVERAGE(S_plus!CE$2:'S_plus'!CE10)</f>
        <v>97.278171244588904</v>
      </c>
      <c r="BY10">
        <f>AVERAGE(S_plus!CF$2:'S_plus'!CF10)</f>
        <v>97.020552363333323</v>
      </c>
      <c r="BZ10">
        <f>AVERAGE(S_plus!CG$2:'S_plus'!CG10)</f>
        <v>94.821709509911116</v>
      </c>
      <c r="CA10">
        <f>AVERAGE(S_plus!CH$2:'S_plus'!CH10)</f>
        <v>104.1985592581111</v>
      </c>
      <c r="CB10">
        <f>AVERAGE(S_plus!CI$2:'S_plus'!CI10)</f>
        <v>95.248934553422231</v>
      </c>
      <c r="CC10">
        <f>AVERAGE(S_plus!CJ$2:'S_plus'!CJ10)</f>
        <v>102.56344526617778</v>
      </c>
      <c r="CD10">
        <f>AVERAGE(S_plus!CK$2:'S_plus'!CK10)</f>
        <v>97.545307588222215</v>
      </c>
      <c r="CE10">
        <f>AVERAGE(S_plus!CL$2:'S_plus'!CL10)</f>
        <v>95.803723479888887</v>
      </c>
      <c r="CF10">
        <f>AVERAGE(S_plus!CM$2:'S_plus'!CM10)</f>
        <v>101.73935843964445</v>
      </c>
      <c r="CG10">
        <f>AVERAGE(S_plus!CN$2:'S_plus'!CN10)</f>
        <v>95.656913898477782</v>
      </c>
      <c r="CH10">
        <f>AVERAGE(S_plus!CO$2:'S_plus'!CO10)</f>
        <v>103.97109143577778</v>
      </c>
      <c r="CI10">
        <f>AVERAGE(S_plus!CP$2:'S_plus'!CP10)</f>
        <v>102.80164360621113</v>
      </c>
      <c r="CJ10">
        <f>AVERAGE(S_plus!CQ$2:'S_plus'!CQ10)</f>
        <v>99.887172061255555</v>
      </c>
      <c r="CK10">
        <f>AVERAGE(S_plus!CR$2:'S_plus'!CR10)</f>
        <v>99.071500730988888</v>
      </c>
      <c r="CL10">
        <f>AVERAGE(S_plus!CS$2:'S_plus'!CS10)</f>
        <v>102.02525911866668</v>
      </c>
      <c r="CM10">
        <f>AVERAGE(S_plus!CT$2:'S_plus'!CT10)</f>
        <v>100.58394815128889</v>
      </c>
      <c r="CN10">
        <f>AVERAGE(S_plus!CU$2:'S_plus'!CU10)</f>
        <v>100.66479379129999</v>
      </c>
      <c r="CO10">
        <f>AVERAGE(S_plus!CV$2:'S_plus'!CV10)</f>
        <v>102.46841963011111</v>
      </c>
      <c r="CP10">
        <f>AVERAGE(S_plus!CW$2:'S_plus'!CW10)</f>
        <v>99.329576772788897</v>
      </c>
      <c r="CQ10">
        <f>AVERAGE(S_plus!CX$2:'S_plus'!CX10)</f>
        <v>100.71281987751109</v>
      </c>
      <c r="CR10">
        <f>AVERAGE(S_plus!CY$2:'S_plus'!CY10)</f>
        <v>101.1016808282</v>
      </c>
      <c r="CS10">
        <f>AVERAGE(S_plus!CZ$2:'S_plus'!CZ10)</f>
        <v>101.85899902732223</v>
      </c>
      <c r="CT10">
        <f>AVERAGE(S_plus!DA$2:'S_plus'!DA10)</f>
        <v>97.027068052866667</v>
      </c>
      <c r="CU10">
        <f>AVERAGE(S_plus!DB$2:'S_plus'!DB10)</f>
        <v>100.7997265581222</v>
      </c>
      <c r="CV10">
        <f>AVERAGE(S_plus!DC$2:'S_plus'!DC10)</f>
        <v>98.011923807422221</v>
      </c>
      <c r="CW10">
        <f>AVERAGE(S_plus!DD$2:'S_plus'!DD10)</f>
        <v>101.80893998107778</v>
      </c>
      <c r="CX10">
        <f>AVERAGE(S_plus!DE$2:'S_plus'!DE10)</f>
        <v>101.57393944168889</v>
      </c>
      <c r="CY10">
        <f>AVERAGE(S_plus!DF$2:'S_plus'!DF10)</f>
        <v>102.45895611255555</v>
      </c>
      <c r="CZ10">
        <f>AVERAGE(S_plus!DG$2:'S_plus'!DG10)</f>
        <v>99.112942283355551</v>
      </c>
      <c r="DA10">
        <f>AVERAGE(S_plus!DH$2:'S_plus'!DH10)</f>
        <v>101.51039589677778</v>
      </c>
    </row>
    <row r="11" spans="3:105" x14ac:dyDescent="0.25">
      <c r="E11">
        <f>E10+Asian!dt</f>
        <v>0.09</v>
      </c>
      <c r="F11">
        <f>AVERAGE(S_plus!M$2:'S_plus'!M11)</f>
        <v>96.066524840370022</v>
      </c>
      <c r="G11">
        <f>AVERAGE(S_plus!N$2:'S_plus'!N11)</f>
        <v>96.081883959780001</v>
      </c>
      <c r="H11">
        <f>AVERAGE(S_plus!O$2:'S_plus'!O11)</f>
        <v>107.69249646860001</v>
      </c>
      <c r="I11">
        <f>AVERAGE(S_plus!P$2:'S_plus'!P11)</f>
        <v>99.410440044339992</v>
      </c>
      <c r="J11">
        <f>AVERAGE(S_plus!Q$2:'S_plus'!Q11)</f>
        <v>101.50637028944</v>
      </c>
      <c r="K11">
        <f>AVERAGE(S_plus!R$2:'S_plus'!R11)</f>
        <v>100.65940708046</v>
      </c>
      <c r="L11">
        <f>AVERAGE(S_plus!S$2:'S_plus'!S11)</f>
        <v>105.79333333999998</v>
      </c>
      <c r="M11">
        <f>AVERAGE(S_plus!T$2:'S_plus'!T11)</f>
        <v>100.01411066427998</v>
      </c>
      <c r="N11">
        <f>AVERAGE(S_plus!U$2:'S_plus'!U11)</f>
        <v>106.79690999659999</v>
      </c>
      <c r="O11">
        <f>AVERAGE(S_plus!V$2:'S_plus'!V11)</f>
        <v>97.059176486960013</v>
      </c>
      <c r="P11">
        <f>AVERAGE(S_plus!W$2:'S_plus'!W11)</f>
        <v>100.62004591485</v>
      </c>
      <c r="Q11">
        <f>AVERAGE(S_plus!X$2:'S_plus'!X11)</f>
        <v>101.95040764011</v>
      </c>
      <c r="R11">
        <f>AVERAGE(S_plus!Y$2:'S_plus'!Y11)</f>
        <v>100.05264230332</v>
      </c>
      <c r="S11">
        <f>AVERAGE(S_plus!Z$2:'S_plus'!Z11)</f>
        <v>99.540233819630004</v>
      </c>
      <c r="T11">
        <f>AVERAGE(S_plus!AA$2:'S_plus'!AA11)</f>
        <v>101.79571283351001</v>
      </c>
      <c r="U11">
        <f>AVERAGE(S_plus!AB$2:'S_plus'!AB11)</f>
        <v>95.25043831073998</v>
      </c>
      <c r="V11">
        <f>AVERAGE(S_plus!AC$2:'S_plus'!AC11)</f>
        <v>93.870579876929995</v>
      </c>
      <c r="W11">
        <f>AVERAGE(S_plus!AD$2:'S_plus'!AD11)</f>
        <v>96.985718354300019</v>
      </c>
      <c r="X11">
        <f>AVERAGE(S_plus!AE$2:'S_plus'!AE11)</f>
        <v>98.924069506050003</v>
      </c>
      <c r="Y11">
        <f>AVERAGE(S_plus!AF$2:'S_plus'!AF11)</f>
        <v>96.036650906679995</v>
      </c>
      <c r="Z11">
        <f>AVERAGE(S_plus!AG$2:'S_plus'!AG11)</f>
        <v>102.74073109858</v>
      </c>
      <c r="AA11">
        <f>AVERAGE(S_plus!AH$2:'S_plus'!AH11)</f>
        <v>97.192923544139987</v>
      </c>
      <c r="AB11">
        <f>AVERAGE(S_plus!AI$2:'S_plus'!AI11)</f>
        <v>101.10264091110999</v>
      </c>
      <c r="AC11">
        <f>AVERAGE(S_plus!AJ$2:'S_plus'!AJ11)</f>
        <v>100.18423794818</v>
      </c>
      <c r="AD11">
        <f>AVERAGE(S_plus!AK$2:'S_plus'!AK11)</f>
        <v>104.49337655640002</v>
      </c>
      <c r="AE11">
        <f>AVERAGE(S_plus!AL$2:'S_plus'!AL11)</f>
        <v>100.01077555598</v>
      </c>
      <c r="AF11">
        <f>AVERAGE(S_plus!AM$2:'S_plus'!AM11)</f>
        <v>100.37882537615999</v>
      </c>
      <c r="AG11">
        <f>AVERAGE(S_plus!AN$2:'S_plus'!AN11)</f>
        <v>105.2806720265</v>
      </c>
      <c r="AH11">
        <f>AVERAGE(S_plus!AO$2:'S_plus'!AO11)</f>
        <v>103.58536476960998</v>
      </c>
      <c r="AI11">
        <f>AVERAGE(S_plus!AP$2:'S_plus'!AP11)</f>
        <v>96.651452682360002</v>
      </c>
      <c r="AJ11">
        <f>AVERAGE(S_plus!AQ$2:'S_plus'!AQ11)</f>
        <v>99.160672809819985</v>
      </c>
      <c r="AK11">
        <f>AVERAGE(S_plus!AR$2:'S_plus'!AR11)</f>
        <v>101.82837431351001</v>
      </c>
      <c r="AL11">
        <f>AVERAGE(S_plus!AS$2:'S_plus'!AS11)</f>
        <v>101.49272414443</v>
      </c>
      <c r="AM11">
        <f>AVERAGE(S_plus!AT$2:'S_plus'!AT11)</f>
        <v>95.605577134250012</v>
      </c>
      <c r="AN11">
        <f>AVERAGE(S_plus!AU$2:'S_plus'!AU11)</f>
        <v>98.731388538190004</v>
      </c>
      <c r="AO11">
        <f>AVERAGE(S_plus!AV$2:'S_plus'!AV11)</f>
        <v>97.565465192090002</v>
      </c>
      <c r="AP11">
        <f>AVERAGE(S_plus!AW$2:'S_plus'!AW11)</f>
        <v>103.64273450849998</v>
      </c>
      <c r="AQ11">
        <f>AVERAGE(S_plus!AX$2:'S_plus'!AX11)</f>
        <v>99.468758918529986</v>
      </c>
      <c r="AR11">
        <f>AVERAGE(S_plus!AY$2:'S_plus'!AY11)</f>
        <v>105.82590170921999</v>
      </c>
      <c r="AS11">
        <f>AVERAGE(S_plus!AZ$2:'S_plus'!AZ11)</f>
        <v>102.8273518905</v>
      </c>
      <c r="AT11">
        <f>AVERAGE(S_plus!BA$2:'S_plus'!BA11)</f>
        <v>102.7503633585</v>
      </c>
      <c r="AU11">
        <f>AVERAGE(S_plus!BB$2:'S_plus'!BB11)</f>
        <v>101.38089079282</v>
      </c>
      <c r="AV11">
        <f>AVERAGE(S_plus!BC$2:'S_plus'!BC11)</f>
        <v>100.11644533681999</v>
      </c>
      <c r="AW11">
        <f>AVERAGE(S_plus!BD$2:'S_plus'!BD11)</f>
        <v>95.474986347470008</v>
      </c>
      <c r="AX11">
        <f>AVERAGE(S_plus!BE$2:'S_plus'!BE11)</f>
        <v>93.635472077939994</v>
      </c>
      <c r="AY11">
        <f>AVERAGE(S_plus!BF$2:'S_plus'!BF11)</f>
        <v>100.45657009192</v>
      </c>
      <c r="AZ11">
        <f>AVERAGE(S_plus!BG$2:'S_plus'!BG11)</f>
        <v>92.664681125299992</v>
      </c>
      <c r="BA11">
        <f>AVERAGE(S_plus!BH$2:'S_plus'!BH11)</f>
        <v>100.47866028764</v>
      </c>
      <c r="BB11">
        <f>AVERAGE(S_plus!BI$2:'S_plus'!BI11)</f>
        <v>102.8890031163</v>
      </c>
      <c r="BC11">
        <f>AVERAGE(S_plus!BJ$2:'S_plus'!BJ11)</f>
        <v>104.07660644300002</v>
      </c>
      <c r="BD11">
        <f>AVERAGE(S_plus!BK$2:'S_plus'!BK11)</f>
        <v>100.42835175507999</v>
      </c>
      <c r="BE11">
        <f>AVERAGE(S_plus!BL$2:'S_plus'!BL11)</f>
        <v>98.731978313230002</v>
      </c>
      <c r="BF11">
        <f>AVERAGE(S_plus!BM$2:'S_plus'!BM11)</f>
        <v>94.605634331609991</v>
      </c>
      <c r="BG11">
        <f>AVERAGE(S_plus!BN$2:'S_plus'!BN11)</f>
        <v>101.34792488578</v>
      </c>
      <c r="BH11">
        <f>AVERAGE(S_plus!BO$2:'S_plus'!BO11)</f>
        <v>96.155102019209991</v>
      </c>
      <c r="BI11">
        <f>AVERAGE(S_plus!BP$2:'S_plus'!BP11)</f>
        <v>98.68814419844</v>
      </c>
      <c r="BJ11">
        <f>AVERAGE(S_plus!BQ$2:'S_plus'!BQ11)</f>
        <v>98.325552116990011</v>
      </c>
      <c r="BK11">
        <f>AVERAGE(S_plus!BR$2:'S_plus'!BR11)</f>
        <v>97.658291601489992</v>
      </c>
      <c r="BL11">
        <f>AVERAGE(S_plus!BS$2:'S_plus'!BS11)</f>
        <v>101.27941003299</v>
      </c>
      <c r="BM11">
        <f>AVERAGE(S_plus!BT$2:'S_plus'!BT11)</f>
        <v>106.01505393689999</v>
      </c>
      <c r="BN11">
        <f>AVERAGE(S_plus!BU$2:'S_plus'!BU11)</f>
        <v>100.95910849635</v>
      </c>
      <c r="BO11">
        <f>AVERAGE(S_plus!BV$2:'S_plus'!BV11)</f>
        <v>97.026902336239999</v>
      </c>
      <c r="BP11">
        <f>AVERAGE(S_plus!BW$2:'S_plus'!BW11)</f>
        <v>95.970258287380005</v>
      </c>
      <c r="BQ11">
        <f>AVERAGE(S_plus!BX$2:'S_plus'!BX11)</f>
        <v>99.408713333120005</v>
      </c>
      <c r="BR11">
        <f>AVERAGE(S_plus!BY$2:'S_plus'!BY11)</f>
        <v>100.33227329384</v>
      </c>
      <c r="BS11">
        <f>AVERAGE(S_plus!BZ$2:'S_plus'!BZ11)</f>
        <v>94.298057856669999</v>
      </c>
      <c r="BT11">
        <f>AVERAGE(S_plus!CA$2:'S_plus'!CA11)</f>
        <v>101.50042777179</v>
      </c>
      <c r="BU11">
        <f>AVERAGE(S_plus!CB$2:'S_plus'!CB11)</f>
        <v>98.538109507030015</v>
      </c>
      <c r="BV11">
        <f>AVERAGE(S_plus!CC$2:'S_plus'!CC11)</f>
        <v>98.669233605860001</v>
      </c>
      <c r="BW11">
        <f>AVERAGE(S_plus!CD$2:'S_plus'!CD11)</f>
        <v>96.714094955820002</v>
      </c>
      <c r="BX11">
        <f>AVERAGE(S_plus!CE$2:'S_plus'!CE11)</f>
        <v>97.352593806600012</v>
      </c>
      <c r="BY11">
        <f>AVERAGE(S_plus!CF$2:'S_plus'!CF11)</f>
        <v>96.987150249749988</v>
      </c>
      <c r="BZ11">
        <f>AVERAGE(S_plus!CG$2:'S_plus'!CG11)</f>
        <v>94.322515973899996</v>
      </c>
      <c r="CA11">
        <f>AVERAGE(S_plus!CH$2:'S_plus'!CH11)</f>
        <v>104.4213922915</v>
      </c>
      <c r="CB11">
        <f>AVERAGE(S_plus!CI$2:'S_plus'!CI11)</f>
        <v>94.679616406070011</v>
      </c>
      <c r="CC11">
        <f>AVERAGE(S_plus!CJ$2:'S_plus'!CJ11)</f>
        <v>102.76031929855999</v>
      </c>
      <c r="CD11">
        <f>AVERAGE(S_plus!CK$2:'S_plus'!CK11)</f>
        <v>97.804813888499993</v>
      </c>
      <c r="CE11">
        <f>AVERAGE(S_plus!CL$2:'S_plus'!CL11)</f>
        <v>95.510440153999994</v>
      </c>
      <c r="CF11">
        <f>AVERAGE(S_plus!CM$2:'S_plus'!CM11)</f>
        <v>101.16294767235999</v>
      </c>
      <c r="CG11">
        <f>AVERAGE(S_plus!CN$2:'S_plus'!CN11)</f>
        <v>95.534442400760014</v>
      </c>
      <c r="CH11">
        <f>AVERAGE(S_plus!CO$2:'S_plus'!CO11)</f>
        <v>104.15767432800001</v>
      </c>
      <c r="CI11">
        <f>AVERAGE(S_plus!CP$2:'S_plus'!CP11)</f>
        <v>102.31218596629</v>
      </c>
      <c r="CJ11">
        <f>AVERAGE(S_plus!CQ$2:'S_plus'!CQ11)</f>
        <v>100.09720687133</v>
      </c>
      <c r="CK11">
        <f>AVERAGE(S_plus!CR$2:'S_plus'!CR11)</f>
        <v>99.338875467389997</v>
      </c>
      <c r="CL11">
        <f>AVERAGE(S_plus!CS$2:'S_plus'!CS11)</f>
        <v>102.26941313430001</v>
      </c>
      <c r="CM11">
        <f>AVERAGE(S_plus!CT$2:'S_plus'!CT11)</f>
        <v>101.06838580515999</v>
      </c>
      <c r="CN11">
        <f>AVERAGE(S_plus!CU$2:'S_plus'!CU11)</f>
        <v>101.04134694656999</v>
      </c>
      <c r="CO11">
        <f>AVERAGE(S_plus!CV$2:'S_plus'!CV11)</f>
        <v>102.90726746670001</v>
      </c>
      <c r="CP11">
        <f>AVERAGE(S_plus!CW$2:'S_plus'!CW11)</f>
        <v>99.489491837910009</v>
      </c>
      <c r="CQ11">
        <f>AVERAGE(S_plus!CX$2:'S_plus'!CX11)</f>
        <v>101.15001163605999</v>
      </c>
      <c r="CR11">
        <f>AVERAGE(S_plus!CY$2:'S_plus'!CY11)</f>
        <v>100.57151385621</v>
      </c>
      <c r="CS11">
        <f>AVERAGE(S_plus!CZ$2:'S_plus'!CZ11)</f>
        <v>101.92352447178999</v>
      </c>
      <c r="CT11">
        <f>AVERAGE(S_plus!DA$2:'S_plus'!DA11)</f>
        <v>96.744104942169997</v>
      </c>
      <c r="CU11">
        <f>AVERAGE(S_plus!DB$2:'S_plus'!DB11)</f>
        <v>101.45763713950998</v>
      </c>
      <c r="CV11">
        <f>AVERAGE(S_plus!DC$2:'S_plus'!DC11)</f>
        <v>98.186529769179998</v>
      </c>
      <c r="CW11">
        <f>AVERAGE(S_plus!DD$2:'S_plus'!DD11)</f>
        <v>101.90263600277</v>
      </c>
      <c r="CX11">
        <f>AVERAGE(S_plus!DE$2:'S_plus'!DE11)</f>
        <v>101.66941466962001</v>
      </c>
      <c r="CY11">
        <f>AVERAGE(S_plus!DF$2:'S_plus'!DF11)</f>
        <v>102.69335575580001</v>
      </c>
      <c r="CZ11">
        <f>AVERAGE(S_plus!DG$2:'S_plus'!DG11)</f>
        <v>98.947793282060005</v>
      </c>
      <c r="DA11">
        <f>AVERAGE(S_plus!DH$2:'S_plus'!DH11)</f>
        <v>101.4397347454</v>
      </c>
    </row>
    <row r="12" spans="3:105" x14ac:dyDescent="0.25">
      <c r="E12">
        <f>E11+Asian!dt</f>
        <v>9.9999999999999992E-2</v>
      </c>
      <c r="F12">
        <f>AVERAGE(S_plus!M$2:'S_plus'!M12)</f>
        <v>95.740522813372749</v>
      </c>
      <c r="G12">
        <f>AVERAGE(S_plus!N$2:'S_plus'!N12)</f>
        <v>95.815477773463641</v>
      </c>
      <c r="H12">
        <f>AVERAGE(S_plus!O$2:'S_plus'!O12)</f>
        <v>108.17721503245455</v>
      </c>
      <c r="I12">
        <f>AVERAGE(S_plus!P$2:'S_plus'!P12)</f>
        <v>99.321742662090898</v>
      </c>
      <c r="J12">
        <f>AVERAGE(S_plus!Q$2:'S_plus'!Q12)</f>
        <v>101.97901340276363</v>
      </c>
      <c r="K12">
        <f>AVERAGE(S_plus!R$2:'S_plus'!R12)</f>
        <v>100.67663441896364</v>
      </c>
      <c r="L12">
        <f>AVERAGE(S_plus!S$2:'S_plus'!S12)</f>
        <v>106.26689955472726</v>
      </c>
      <c r="M12">
        <f>AVERAGE(S_plus!T$2:'S_plus'!T12)</f>
        <v>99.945605412018168</v>
      </c>
      <c r="N12">
        <f>AVERAGE(S_plus!U$2:'S_plus'!U12)</f>
        <v>107.365404727</v>
      </c>
      <c r="O12">
        <f>AVERAGE(S_plus!V$2:'S_plus'!V12)</f>
        <v>97.532721011327283</v>
      </c>
      <c r="P12">
        <f>AVERAGE(S_plus!W$2:'S_plus'!W12)</f>
        <v>100.50599343687273</v>
      </c>
      <c r="Q12">
        <f>AVERAGE(S_plus!X$2:'S_plus'!X12)</f>
        <v>101.94052065491819</v>
      </c>
      <c r="R12">
        <f>AVERAGE(S_plus!Y$2:'S_plus'!Y12)</f>
        <v>100.14966366183636</v>
      </c>
      <c r="S12">
        <f>AVERAGE(S_plus!Z$2:'S_plus'!Z12)</f>
        <v>99.404294833209093</v>
      </c>
      <c r="T12">
        <f>AVERAGE(S_plus!AA$2:'S_plus'!AA12)</f>
        <v>102.27599870264545</v>
      </c>
      <c r="U12">
        <f>AVERAGE(S_plus!AB$2:'S_plus'!AB12)</f>
        <v>95.315815547218165</v>
      </c>
      <c r="V12">
        <f>AVERAGE(S_plus!AC$2:'S_plus'!AC12)</f>
        <v>93.662497266454551</v>
      </c>
      <c r="W12">
        <f>AVERAGE(S_plus!AD$2:'S_plus'!AD12)</f>
        <v>96.777409304363658</v>
      </c>
      <c r="X12">
        <f>AVERAGE(S_plus!AE$2:'S_plus'!AE12)</f>
        <v>99.512318294954554</v>
      </c>
      <c r="Y12">
        <f>AVERAGE(S_plus!AF$2:'S_plus'!AF12)</f>
        <v>95.469641154100003</v>
      </c>
      <c r="Z12">
        <f>AVERAGE(S_plus!AG$2:'S_plus'!AG12)</f>
        <v>102.57461916243636</v>
      </c>
      <c r="AA12">
        <f>AVERAGE(S_plus!AH$2:'S_plus'!AH12)</f>
        <v>97.284106254654532</v>
      </c>
      <c r="AB12">
        <f>AVERAGE(S_plus!AI$2:'S_plus'!AI12)</f>
        <v>101.04402154891817</v>
      </c>
      <c r="AC12">
        <f>AVERAGE(S_plus!AJ$2:'S_plus'!AJ12)</f>
        <v>99.898472201872721</v>
      </c>
      <c r="AD12">
        <f>AVERAGE(S_plus!AK$2:'S_plus'!AK12)</f>
        <v>104.84097756072728</v>
      </c>
      <c r="AE12">
        <f>AVERAGE(S_plus!AL$2:'S_plus'!AL12)</f>
        <v>99.615759062109092</v>
      </c>
      <c r="AF12">
        <f>AVERAGE(S_plus!AM$2:'S_plus'!AM12)</f>
        <v>100.17927790087271</v>
      </c>
      <c r="AG12">
        <f>AVERAGE(S_plus!AN$2:'S_plus'!AN12)</f>
        <v>105.41040809218181</v>
      </c>
      <c r="AH12">
        <f>AVERAGE(S_plus!AO$2:'S_plus'!AO12)</f>
        <v>103.99204852182726</v>
      </c>
      <c r="AI12">
        <f>AVERAGE(S_plus!AP$2:'S_plus'!AP12)</f>
        <v>96.681564329609088</v>
      </c>
      <c r="AJ12">
        <f>AVERAGE(S_plus!AQ$2:'S_plus'!AQ12)</f>
        <v>98.849282950499983</v>
      </c>
      <c r="AK12">
        <f>AVERAGE(S_plus!AR$2:'S_plus'!AR12)</f>
        <v>101.74551434673636</v>
      </c>
      <c r="AL12">
        <f>AVERAGE(S_plus!AS$2:'S_plus'!AS12)</f>
        <v>101.74527216002728</v>
      </c>
      <c r="AM12">
        <f>AVERAGE(S_plus!AT$2:'S_plus'!AT12)</f>
        <v>95.402442240481832</v>
      </c>
      <c r="AN12">
        <f>AVERAGE(S_plus!AU$2:'S_plus'!AU12)</f>
        <v>98.52030227702727</v>
      </c>
      <c r="AO12">
        <f>AVERAGE(S_plus!AV$2:'S_plus'!AV12)</f>
        <v>97.779959030863651</v>
      </c>
      <c r="AP12">
        <f>AVERAGE(S_plus!AW$2:'S_plus'!AW12)</f>
        <v>103.79487205236363</v>
      </c>
      <c r="AQ12">
        <f>AVERAGE(S_plus!AX$2:'S_plus'!AX12)</f>
        <v>99.34368260854545</v>
      </c>
      <c r="AR12">
        <f>AVERAGE(S_plus!AY$2:'S_plus'!AY12)</f>
        <v>106.30300268338182</v>
      </c>
      <c r="AS12">
        <f>AVERAGE(S_plus!AZ$2:'S_plus'!AZ12)</f>
        <v>103.11218372727272</v>
      </c>
      <c r="AT12">
        <f>AVERAGE(S_plus!BA$2:'S_plus'!BA12)</f>
        <v>103.178750585</v>
      </c>
      <c r="AU12">
        <f>AVERAGE(S_plus!BB$2:'S_plus'!BB12)</f>
        <v>101.7409180731091</v>
      </c>
      <c r="AV12">
        <f>AVERAGE(S_plus!BC$2:'S_plus'!BC12)</f>
        <v>100.89992664619999</v>
      </c>
      <c r="AW12">
        <f>AVERAGE(S_plus!BD$2:'S_plus'!BD12)</f>
        <v>95.781340998963643</v>
      </c>
      <c r="AX12">
        <f>AVERAGE(S_plus!BE$2:'S_plus'!BE12)</f>
        <v>93.152664796590898</v>
      </c>
      <c r="AY12">
        <f>AVERAGE(S_plus!BF$2:'S_plus'!BF12)</f>
        <v>99.677473823381831</v>
      </c>
      <c r="AZ12">
        <f>AVERAGE(S_plus!BG$2:'S_plus'!BG12)</f>
        <v>92.75451673656363</v>
      </c>
      <c r="BA12">
        <f>AVERAGE(S_plus!BH$2:'S_plus'!BH12)</f>
        <v>100.46623872812725</v>
      </c>
      <c r="BB12">
        <f>AVERAGE(S_plus!BI$2:'S_plus'!BI12)</f>
        <v>103.23281818609092</v>
      </c>
      <c r="BC12">
        <f>AVERAGE(S_plus!BJ$2:'S_plus'!BJ12)</f>
        <v>104.27742257036365</v>
      </c>
      <c r="BD12">
        <f>AVERAGE(S_plus!BK$2:'S_plus'!BK12)</f>
        <v>100.40589095279998</v>
      </c>
      <c r="BE12">
        <f>AVERAGE(S_plus!BL$2:'S_plus'!BL12)</f>
        <v>98.356224059963637</v>
      </c>
      <c r="BF12">
        <f>AVERAGE(S_plus!BM$2:'S_plus'!BM12)</f>
        <v>94.980777679499994</v>
      </c>
      <c r="BG12">
        <f>AVERAGE(S_plus!BN$2:'S_plus'!BN12)</f>
        <v>101.33518164261818</v>
      </c>
      <c r="BH12">
        <f>AVERAGE(S_plus!BO$2:'S_plus'!BO12)</f>
        <v>95.550906901136372</v>
      </c>
      <c r="BI12">
        <f>AVERAGE(S_plus!BP$2:'S_plus'!BP12)</f>
        <v>98.999775929672737</v>
      </c>
      <c r="BJ12">
        <f>AVERAGE(S_plus!BQ$2:'S_plus'!BQ12)</f>
        <v>97.863271133900014</v>
      </c>
      <c r="BK12">
        <f>AVERAGE(S_plus!BR$2:'S_plus'!BR12)</f>
        <v>97.593803765918196</v>
      </c>
      <c r="BL12">
        <f>AVERAGE(S_plus!BS$2:'S_plus'!BS12)</f>
        <v>101.57484413617271</v>
      </c>
      <c r="BM12">
        <f>AVERAGE(S_plus!BT$2:'S_plus'!BT12)</f>
        <v>105.7697550181818</v>
      </c>
      <c r="BN12">
        <f>AVERAGE(S_plus!BU$2:'S_plus'!BU12)</f>
        <v>100.8074367026</v>
      </c>
      <c r="BO12">
        <f>AVERAGE(S_plus!BV$2:'S_plus'!BV12)</f>
        <v>96.852715681290917</v>
      </c>
      <c r="BP12">
        <f>AVERAGE(S_plus!BW$2:'S_plus'!BW12)</f>
        <v>95.777930388418184</v>
      </c>
      <c r="BQ12">
        <f>AVERAGE(S_plus!BX$2:'S_plus'!BX12)</f>
        <v>99.661574812472736</v>
      </c>
      <c r="BR12">
        <f>AVERAGE(S_plus!BY$2:'S_plus'!BY12)</f>
        <v>100.58480098530909</v>
      </c>
      <c r="BS12">
        <f>AVERAGE(S_plus!BZ$2:'S_plus'!BZ12)</f>
        <v>94.20220552941818</v>
      </c>
      <c r="BT12">
        <f>AVERAGE(S_plus!CA$2:'S_plus'!CA12)</f>
        <v>101.30935751160909</v>
      </c>
      <c r="BU12">
        <f>AVERAGE(S_plus!CB$2:'S_plus'!CB12)</f>
        <v>98.701828418572731</v>
      </c>
      <c r="BV12">
        <f>AVERAGE(S_plus!CC$2:'S_plus'!CC12)</f>
        <v>98.769274072536376</v>
      </c>
      <c r="BW12">
        <f>AVERAGE(S_plus!CD$2:'S_plus'!CD12)</f>
        <v>97.003050743736367</v>
      </c>
      <c r="BX12">
        <f>AVERAGE(S_plus!CE$2:'S_plus'!CE12)</f>
        <v>97.670237996909094</v>
      </c>
      <c r="BY12">
        <f>AVERAGE(S_plus!CF$2:'S_plus'!CF12)</f>
        <v>97.051464792036356</v>
      </c>
      <c r="BZ12">
        <f>AVERAGE(S_plus!CG$2:'S_plus'!CG12)</f>
        <v>94.072005842372718</v>
      </c>
      <c r="CA12">
        <f>AVERAGE(S_plus!CH$2:'S_plus'!CH12)</f>
        <v>104.67023338018181</v>
      </c>
      <c r="CB12">
        <f>AVERAGE(S_plus!CI$2:'S_plus'!CI12)</f>
        <v>94.429429242727281</v>
      </c>
      <c r="CC12">
        <f>AVERAGE(S_plus!CJ$2:'S_plus'!CJ12)</f>
        <v>102.92040195687272</v>
      </c>
      <c r="CD12">
        <f>AVERAGE(S_plus!CK$2:'S_plus'!CK12)</f>
        <v>98.168240623818164</v>
      </c>
      <c r="CE12">
        <f>AVERAGE(S_plus!CL$2:'S_plus'!CL12)</f>
        <v>95.328631439463621</v>
      </c>
      <c r="CF12">
        <f>AVERAGE(S_plus!CM$2:'S_plus'!CM12)</f>
        <v>100.65927854411819</v>
      </c>
      <c r="CG12">
        <f>AVERAGE(S_plus!CN$2:'S_plus'!CN12)</f>
        <v>95.269288549818199</v>
      </c>
      <c r="CH12">
        <f>AVERAGE(S_plus!CO$2:'S_plus'!CO12)</f>
        <v>104.56728765890911</v>
      </c>
      <c r="CI12">
        <f>AVERAGE(S_plus!CP$2:'S_plus'!CP12)</f>
        <v>102.18433863962728</v>
      </c>
      <c r="CJ12">
        <f>AVERAGE(S_plus!CQ$2:'S_plus'!CQ12)</f>
        <v>100.6233063183</v>
      </c>
      <c r="CK12">
        <f>AVERAGE(S_plus!CR$2:'S_plus'!CR12)</f>
        <v>99.781070543445452</v>
      </c>
      <c r="CL12">
        <f>AVERAGE(S_plus!CS$2:'S_plus'!CS12)</f>
        <v>102.62355726572729</v>
      </c>
      <c r="CM12">
        <f>AVERAGE(S_plus!CT$2:'S_plus'!CT12)</f>
        <v>101.18957195214544</v>
      </c>
      <c r="CN12">
        <f>AVERAGE(S_plus!CU$2:'S_plus'!CU12)</f>
        <v>101.08086295179091</v>
      </c>
      <c r="CO12">
        <f>AVERAGE(S_plus!CV$2:'S_plus'!CV12)</f>
        <v>103.27971713763637</v>
      </c>
      <c r="CP12">
        <f>AVERAGE(S_plus!CW$2:'S_plus'!CW12)</f>
        <v>99.785566525918185</v>
      </c>
      <c r="CQ12">
        <f>AVERAGE(S_plus!CX$2:'S_plus'!CX12)</f>
        <v>101.63809909832726</v>
      </c>
      <c r="CR12">
        <f>AVERAGE(S_plus!CY$2:'S_plus'!CY12)</f>
        <v>100.21165614517273</v>
      </c>
      <c r="CS12">
        <f>AVERAGE(S_plus!CZ$2:'S_plus'!CZ12)</f>
        <v>101.85130516189999</v>
      </c>
      <c r="CT12">
        <f>AVERAGE(S_plus!DA$2:'S_plus'!DA12)</f>
        <v>96.628596817645445</v>
      </c>
      <c r="CU12">
        <f>AVERAGE(S_plus!DB$2:'S_plus'!DB12)</f>
        <v>101.88282726446363</v>
      </c>
      <c r="CV12">
        <f>AVERAGE(S_plus!DC$2:'S_plus'!DC12)</f>
        <v>98.553967448436367</v>
      </c>
      <c r="CW12">
        <f>AVERAGE(S_plus!DD$2:'S_plus'!DD12)</f>
        <v>101.7696147067909</v>
      </c>
      <c r="CX12">
        <f>AVERAGE(S_plus!DE$2:'S_plus'!DE12)</f>
        <v>101.72002567801819</v>
      </c>
      <c r="CY12">
        <f>AVERAGE(S_plus!DF$2:'S_plus'!DF12)</f>
        <v>102.57526776327273</v>
      </c>
      <c r="CZ12">
        <f>AVERAGE(S_plus!DG$2:'S_plus'!DG12)</f>
        <v>98.581894514372735</v>
      </c>
      <c r="DA12">
        <f>AVERAGE(S_plus!DH$2:'S_plus'!DH12)</f>
        <v>101.33740720263637</v>
      </c>
    </row>
    <row r="13" spans="3:105" x14ac:dyDescent="0.25">
      <c r="E13">
        <f>E12+Asian!dt</f>
        <v>0.10999999999999999</v>
      </c>
      <c r="F13">
        <f>AVERAGE(S_plus!M$2:'S_plus'!M13)</f>
        <v>95.225816194366686</v>
      </c>
      <c r="G13">
        <f>AVERAGE(S_plus!N$2:'S_plus'!N13)</f>
        <v>95.406419485850009</v>
      </c>
      <c r="H13">
        <f>AVERAGE(S_plus!O$2:'S_plus'!O13)</f>
        <v>108.69529488425</v>
      </c>
      <c r="I13">
        <f>AVERAGE(S_plus!P$2:'S_plus'!P13)</f>
        <v>99.39530916358332</v>
      </c>
      <c r="J13">
        <f>AVERAGE(S_plus!Q$2:'S_plus'!Q13)</f>
        <v>102.12830451928333</v>
      </c>
      <c r="K13">
        <f>AVERAGE(S_plus!R$2:'S_plus'!R13)</f>
        <v>100.44046994229167</v>
      </c>
      <c r="L13">
        <f>AVERAGE(S_plus!S$2:'S_plus'!S13)</f>
        <v>106.72003212758334</v>
      </c>
      <c r="M13">
        <f>AVERAGE(S_plus!T$2:'S_plus'!T13)</f>
        <v>99.636668808749974</v>
      </c>
      <c r="N13">
        <f>AVERAGE(S_plus!U$2:'S_plus'!U13)</f>
        <v>108.05072092291668</v>
      </c>
      <c r="O13">
        <f>AVERAGE(S_plus!V$2:'S_plus'!V13)</f>
        <v>97.592025288666676</v>
      </c>
      <c r="P13">
        <f>AVERAGE(S_plus!W$2:'S_plus'!W13)</f>
        <v>100.27459745885834</v>
      </c>
      <c r="Q13">
        <f>AVERAGE(S_plus!X$2:'S_plus'!X13)</f>
        <v>101.77057120709168</v>
      </c>
      <c r="R13">
        <f>AVERAGE(S_plus!Y$2:'S_plus'!Y13)</f>
        <v>100.31691285160001</v>
      </c>
      <c r="S13">
        <f>AVERAGE(S_plus!Z$2:'S_plus'!Z13)</f>
        <v>99.180493215949994</v>
      </c>
      <c r="T13">
        <f>AVERAGE(S_plus!AA$2:'S_plus'!AA13)</f>
        <v>102.89927182525834</v>
      </c>
      <c r="U13">
        <f>AVERAGE(S_plus!AB$2:'S_plus'!AB13)</f>
        <v>95.381685945349986</v>
      </c>
      <c r="V13">
        <f>AVERAGE(S_plus!AC$2:'S_plus'!AC13)</f>
        <v>93.42650124304167</v>
      </c>
      <c r="W13">
        <f>AVERAGE(S_plus!AD$2:'S_plus'!AD13)</f>
        <v>96.52608725550003</v>
      </c>
      <c r="X13">
        <f>AVERAGE(S_plus!AE$2:'S_plus'!AE13)</f>
        <v>100.05034616437501</v>
      </c>
      <c r="Y13">
        <f>AVERAGE(S_plus!AF$2:'S_plus'!AF13)</f>
        <v>94.942453314733328</v>
      </c>
      <c r="Z13">
        <f>AVERAGE(S_plus!AG$2:'S_plus'!AG13)</f>
        <v>102.4616387424</v>
      </c>
      <c r="AA13">
        <f>AVERAGE(S_plus!AH$2:'S_plus'!AH13)</f>
        <v>97.249201641900001</v>
      </c>
      <c r="AB13">
        <f>AVERAGE(S_plus!AI$2:'S_plus'!AI13)</f>
        <v>100.9802795702583</v>
      </c>
      <c r="AC13">
        <f>AVERAGE(S_plus!AJ$2:'S_plus'!AJ13)</f>
        <v>99.885948124891669</v>
      </c>
      <c r="AD13">
        <f>AVERAGE(S_plus!AK$2:'S_plus'!AK13)</f>
        <v>105.05169354900001</v>
      </c>
      <c r="AE13">
        <f>AVERAGE(S_plus!AL$2:'S_plus'!AL13)</f>
        <v>99.613510055524998</v>
      </c>
      <c r="AF13">
        <f>AVERAGE(S_plus!AM$2:'S_plus'!AM13)</f>
        <v>99.947903771549989</v>
      </c>
      <c r="AG13">
        <f>AVERAGE(S_plus!AN$2:'S_plus'!AN13)</f>
        <v>105.66403495983333</v>
      </c>
      <c r="AH13">
        <f>AVERAGE(S_plus!AO$2:'S_plus'!AO13)</f>
        <v>104.70864813842498</v>
      </c>
      <c r="AI13">
        <f>AVERAGE(S_plus!AP$2:'S_plus'!AP13)</f>
        <v>97.173514844474994</v>
      </c>
      <c r="AJ13">
        <f>AVERAGE(S_plus!AQ$2:'S_plus'!AQ13)</f>
        <v>98.59525037740832</v>
      </c>
      <c r="AK13">
        <f>AVERAGE(S_plus!AR$2:'S_plus'!AR13)</f>
        <v>101.61068562775831</v>
      </c>
      <c r="AL13">
        <f>AVERAGE(S_plus!AS$2:'S_plus'!AS13)</f>
        <v>102.34542424935835</v>
      </c>
      <c r="AM13">
        <f>AVERAGE(S_plus!AT$2:'S_plus'!AT13)</f>
        <v>95.273623161425007</v>
      </c>
      <c r="AN13">
        <f>AVERAGE(S_plus!AU$2:'S_plus'!AU13)</f>
        <v>98.185292887958326</v>
      </c>
      <c r="AO13">
        <f>AVERAGE(S_plus!AV$2:'S_plus'!AV13)</f>
        <v>97.964359737016665</v>
      </c>
      <c r="AP13">
        <f>AVERAGE(S_plus!AW$2:'S_plus'!AW13)</f>
        <v>103.99821476266665</v>
      </c>
      <c r="AQ13">
        <f>AVERAGE(S_plus!AX$2:'S_plus'!AX13)</f>
        <v>99.144460555333339</v>
      </c>
      <c r="AR13">
        <f>AVERAGE(S_plus!AY$2:'S_plus'!AY13)</f>
        <v>106.81153930668334</v>
      </c>
      <c r="AS13">
        <f>AVERAGE(S_plus!AZ$2:'S_plus'!AZ13)</f>
        <v>103.64793137016666</v>
      </c>
      <c r="AT13">
        <f>AVERAGE(S_plus!BA$2:'S_plus'!BA13)</f>
        <v>103.66287394000001</v>
      </c>
      <c r="AU13">
        <f>AVERAGE(S_plus!BB$2:'S_plus'!BB13)</f>
        <v>102.10784854585</v>
      </c>
      <c r="AV13">
        <f>AVERAGE(S_plus!BC$2:'S_plus'!BC13)</f>
        <v>101.31164494468332</v>
      </c>
      <c r="AW13">
        <f>AVERAGE(S_plus!BD$2:'S_plus'!BD13)</f>
        <v>95.898779586108333</v>
      </c>
      <c r="AX13">
        <f>AVERAGE(S_plus!BE$2:'S_plus'!BE13)</f>
        <v>92.507392333424988</v>
      </c>
      <c r="AY13">
        <f>AVERAGE(S_plus!BF$2:'S_plus'!BF13)</f>
        <v>99.068936137283345</v>
      </c>
      <c r="AZ13">
        <f>AVERAGE(S_plus!BG$2:'S_plus'!BG13)</f>
        <v>92.934730771216664</v>
      </c>
      <c r="BA13">
        <f>AVERAGE(S_plus!BH$2:'S_plus'!BH13)</f>
        <v>100.21756126606665</v>
      </c>
      <c r="BB13">
        <f>AVERAGE(S_plus!BI$2:'S_plus'!BI13)</f>
        <v>103.47813384158333</v>
      </c>
      <c r="BC13">
        <f>AVERAGE(S_plus!BJ$2:'S_plus'!BJ13)</f>
        <v>104.51867820275002</v>
      </c>
      <c r="BD13">
        <f>AVERAGE(S_plus!BK$2:'S_plus'!BK13)</f>
        <v>100.20987896644999</v>
      </c>
      <c r="BE13">
        <f>AVERAGE(S_plus!BL$2:'S_plus'!BL13)</f>
        <v>98.11449385666667</v>
      </c>
      <c r="BF13">
        <f>AVERAGE(S_plus!BM$2:'S_plus'!BM13)</f>
        <v>95.186657271041668</v>
      </c>
      <c r="BG13">
        <f>AVERAGE(S_plus!BN$2:'S_plus'!BN13)</f>
        <v>101.43132102323334</v>
      </c>
      <c r="BH13">
        <f>AVERAGE(S_plus!BO$2:'S_plus'!BO13)</f>
        <v>95.017481316725011</v>
      </c>
      <c r="BI13">
        <f>AVERAGE(S_plus!BP$2:'S_plus'!BP13)</f>
        <v>99.346059083866677</v>
      </c>
      <c r="BJ13">
        <f>AVERAGE(S_plus!BQ$2:'S_plus'!BQ13)</f>
        <v>97.617802735450013</v>
      </c>
      <c r="BK13">
        <f>AVERAGE(S_plus!BR$2:'S_plus'!BR13)</f>
        <v>97.580092508891667</v>
      </c>
      <c r="BL13">
        <f>AVERAGE(S_plus!BS$2:'S_plus'!BS13)</f>
        <v>101.87274256515832</v>
      </c>
      <c r="BM13">
        <f>AVERAGE(S_plus!BT$2:'S_plus'!BT13)</f>
        <v>105.36951916699998</v>
      </c>
      <c r="BN13">
        <f>AVERAGE(S_plus!BU$2:'S_plus'!BU13)</f>
        <v>100.95397197663334</v>
      </c>
      <c r="BO13">
        <f>AVERAGE(S_plus!BV$2:'S_plus'!BV13)</f>
        <v>96.670762037475015</v>
      </c>
      <c r="BP13">
        <f>AVERAGE(S_plus!BW$2:'S_plus'!BW13)</f>
        <v>95.482874306149995</v>
      </c>
      <c r="BQ13">
        <f>AVERAGE(S_plus!BX$2:'S_plus'!BX13)</f>
        <v>99.829216581183346</v>
      </c>
      <c r="BR13">
        <f>AVERAGE(S_plus!BY$2:'S_plus'!BY13)</f>
        <v>100.61115773995</v>
      </c>
      <c r="BS13">
        <f>AVERAGE(S_plus!BZ$2:'S_plus'!BZ13)</f>
        <v>94.212958370633331</v>
      </c>
      <c r="BT13">
        <f>AVERAGE(S_plus!CA$2:'S_plus'!CA13)</f>
        <v>101.34842802564167</v>
      </c>
      <c r="BU13">
        <f>AVERAGE(S_plus!CB$2:'S_plus'!CB13)</f>
        <v>98.979687764941673</v>
      </c>
      <c r="BV13">
        <f>AVERAGE(S_plus!CC$2:'S_plus'!CC13)</f>
        <v>99.16989976624167</v>
      </c>
      <c r="BW13">
        <f>AVERAGE(S_plus!CD$2:'S_plus'!CD13)</f>
        <v>97.256987770175002</v>
      </c>
      <c r="BX13">
        <f>AVERAGE(S_plus!CE$2:'S_plus'!CE13)</f>
        <v>97.965765451249993</v>
      </c>
      <c r="BY13">
        <f>AVERAGE(S_plus!CF$2:'S_plus'!CF13)</f>
        <v>97.181556332283321</v>
      </c>
      <c r="BZ13">
        <f>AVERAGE(S_plus!CG$2:'S_plus'!CG13)</f>
        <v>93.763923840791662</v>
      </c>
      <c r="CA13">
        <f>AVERAGE(S_plus!CH$2:'S_plus'!CH13)</f>
        <v>104.98878467083334</v>
      </c>
      <c r="CB13">
        <f>AVERAGE(S_plus!CI$2:'S_plus'!CI13)</f>
        <v>94.128100458458334</v>
      </c>
      <c r="CC13">
        <f>AVERAGE(S_plus!CJ$2:'S_plus'!CJ13)</f>
        <v>103.25998312538333</v>
      </c>
      <c r="CD13">
        <f>AVERAGE(S_plus!CK$2:'S_plus'!CK13)</f>
        <v>98.160625163758326</v>
      </c>
      <c r="CE13">
        <f>AVERAGE(S_plus!CL$2:'S_plus'!CL13)</f>
        <v>95.160353717358319</v>
      </c>
      <c r="CF13">
        <f>AVERAGE(S_plus!CM$2:'S_plus'!CM13)</f>
        <v>100.32941507104168</v>
      </c>
      <c r="CG13">
        <f>AVERAGE(S_plus!CN$2:'S_plus'!CN13)</f>
        <v>95.022639933066685</v>
      </c>
      <c r="CH13">
        <f>AVERAGE(S_plus!CO$2:'S_plus'!CO13)</f>
        <v>104.66608710366667</v>
      </c>
      <c r="CI13">
        <f>AVERAGE(S_plus!CP$2:'S_plus'!CP13)</f>
        <v>102.44063382590834</v>
      </c>
      <c r="CJ13">
        <f>AVERAGE(S_plus!CQ$2:'S_plus'!CQ13)</f>
        <v>100.97817026944166</v>
      </c>
      <c r="CK13">
        <f>AVERAGE(S_plus!CR$2:'S_plus'!CR13)</f>
        <v>100.17427677432499</v>
      </c>
      <c r="CL13">
        <f>AVERAGE(S_plus!CS$2:'S_plus'!CS13)</f>
        <v>102.98215710091669</v>
      </c>
      <c r="CM13">
        <f>AVERAGE(S_plus!CT$2:'S_plus'!CT13)</f>
        <v>101.58687697421665</v>
      </c>
      <c r="CN13">
        <f>AVERAGE(S_plus!CU$2:'S_plus'!CU13)</f>
        <v>101.27926018064166</v>
      </c>
      <c r="CO13">
        <f>AVERAGE(S_plus!CV$2:'S_plus'!CV13)</f>
        <v>103.57687944466666</v>
      </c>
      <c r="CP13">
        <f>AVERAGE(S_plus!CW$2:'S_plus'!CW13)</f>
        <v>100.23990230309165</v>
      </c>
      <c r="CQ13">
        <f>AVERAGE(S_plus!CX$2:'S_plus'!CX13)</f>
        <v>102.00545080029998</v>
      </c>
      <c r="CR13">
        <f>AVERAGE(S_plus!CY$2:'S_plus'!CY13)</f>
        <v>99.989622689541662</v>
      </c>
      <c r="CS13">
        <f>AVERAGE(S_plus!CZ$2:'S_plus'!CZ13)</f>
        <v>101.81497063274166</v>
      </c>
      <c r="CT13">
        <f>AVERAGE(S_plus!DA$2:'S_plus'!DA13)</f>
        <v>96.474211206299984</v>
      </c>
      <c r="CU13">
        <f>AVERAGE(S_plus!DB$2:'S_plus'!DB13)</f>
        <v>102.37501078300834</v>
      </c>
      <c r="CV13">
        <f>AVERAGE(S_plus!DC$2:'S_plus'!DC13)</f>
        <v>98.721897659649997</v>
      </c>
      <c r="CW13">
        <f>AVERAGE(S_plus!DD$2:'S_plus'!DD13)</f>
        <v>101.63470131205833</v>
      </c>
      <c r="CX13">
        <f>AVERAGE(S_plus!DE$2:'S_plus'!DE13)</f>
        <v>101.72864088168335</v>
      </c>
      <c r="CY13">
        <f>AVERAGE(S_plus!DF$2:'S_plus'!DF13)</f>
        <v>102.223525269625</v>
      </c>
      <c r="CZ13">
        <f>AVERAGE(S_plus!DG$2:'S_plus'!DG13)</f>
        <v>98.406244904175011</v>
      </c>
      <c r="DA13">
        <f>AVERAGE(S_plus!DH$2:'S_plus'!DH13)</f>
        <v>101.21832769820834</v>
      </c>
    </row>
    <row r="14" spans="3:105" x14ac:dyDescent="0.25">
      <c r="E14">
        <f>E13+Asian!dt</f>
        <v>0.11999999999999998</v>
      </c>
      <c r="F14">
        <f>AVERAGE(S_plus!M$2:'S_plus'!M14)</f>
        <v>94.627084729592312</v>
      </c>
      <c r="G14">
        <f>AVERAGE(S_plus!N$2:'S_plus'!N14)</f>
        <v>95.008324612084621</v>
      </c>
      <c r="H14">
        <f>AVERAGE(S_plus!O$2:'S_plus'!O14)</f>
        <v>109.21785805492307</v>
      </c>
      <c r="I14">
        <f>AVERAGE(S_plus!P$2:'S_plus'!P14)</f>
        <v>99.51843250676923</v>
      </c>
      <c r="J14">
        <f>AVERAGE(S_plus!Q$2:'S_plus'!Q14)</f>
        <v>102.49509714287692</v>
      </c>
      <c r="K14">
        <f>AVERAGE(S_plus!R$2:'S_plus'!R14)</f>
        <v>100.14323043081539</v>
      </c>
      <c r="L14">
        <f>AVERAGE(S_plus!S$2:'S_plus'!S14)</f>
        <v>106.99847204807692</v>
      </c>
      <c r="M14">
        <f>AVERAGE(S_plus!T$2:'S_plus'!T14)</f>
        <v>99.294878551038437</v>
      </c>
      <c r="N14">
        <f>AVERAGE(S_plus!U$2:'S_plus'!U14)</f>
        <v>108.41403103700002</v>
      </c>
      <c r="O14">
        <f>AVERAGE(S_plus!V$2:'S_plus'!V14)</f>
        <v>97.425914798600019</v>
      </c>
      <c r="P14">
        <f>AVERAGE(S_plus!W$2:'S_plus'!W14)</f>
        <v>100.42767338002308</v>
      </c>
      <c r="Q14">
        <f>AVERAGE(S_plus!X$2:'S_plus'!X14)</f>
        <v>101.51252964281539</v>
      </c>
      <c r="R14">
        <f>AVERAGE(S_plus!Y$2:'S_plus'!Y14)</f>
        <v>100.32414720993847</v>
      </c>
      <c r="S14">
        <f>AVERAGE(S_plus!Z$2:'S_plus'!Z14)</f>
        <v>98.991622320907695</v>
      </c>
      <c r="T14">
        <f>AVERAGE(S_plus!AA$2:'S_plus'!AA14)</f>
        <v>103.17739602939233</v>
      </c>
      <c r="U14">
        <f>AVERAGE(S_plus!AB$2:'S_plus'!AB14)</f>
        <v>95.384773254230751</v>
      </c>
      <c r="V14">
        <f>AVERAGE(S_plus!AC$2:'S_plus'!AC14)</f>
        <v>93.174603754061536</v>
      </c>
      <c r="W14">
        <f>AVERAGE(S_plus!AD$2:'S_plus'!AD14)</f>
        <v>96.459032812838487</v>
      </c>
      <c r="X14">
        <f>AVERAGE(S_plus!AE$2:'S_plus'!AE14)</f>
        <v>100.61964292742309</v>
      </c>
      <c r="Y14">
        <f>AVERAGE(S_plus!AF$2:'S_plus'!AF14)</f>
        <v>94.731407717230766</v>
      </c>
      <c r="Z14">
        <f>AVERAGE(S_plus!AG$2:'S_plus'!AG14)</f>
        <v>102.43319056206154</v>
      </c>
      <c r="AA14">
        <f>AVERAGE(S_plus!AH$2:'S_plus'!AH14)</f>
        <v>97.143325668807691</v>
      </c>
      <c r="AB14">
        <f>AVERAGE(S_plus!AI$2:'S_plus'!AI14)</f>
        <v>100.88148278024613</v>
      </c>
      <c r="AC14">
        <f>AVERAGE(S_plus!AJ$2:'S_plus'!AJ14)</f>
        <v>99.953224673207686</v>
      </c>
      <c r="AD14">
        <f>AVERAGE(S_plus!AK$2:'S_plus'!AK14)</f>
        <v>105.43380738000002</v>
      </c>
      <c r="AE14">
        <f>AVERAGE(S_plus!AL$2:'S_plus'!AL14)</f>
        <v>99.934669073946154</v>
      </c>
      <c r="AF14">
        <f>AVERAGE(S_plus!AM$2:'S_plus'!AM14)</f>
        <v>99.703932237392308</v>
      </c>
      <c r="AG14">
        <f>AVERAGE(S_plus!AN$2:'S_plus'!AN14)</f>
        <v>105.68502929553847</v>
      </c>
      <c r="AH14">
        <f>AVERAGE(S_plus!AO$2:'S_plus'!AO14)</f>
        <v>105.56042089777689</v>
      </c>
      <c r="AI14">
        <f>AVERAGE(S_plus!AP$2:'S_plus'!AP14)</f>
        <v>97.638299253284615</v>
      </c>
      <c r="AJ14">
        <f>AVERAGE(S_plus!AQ$2:'S_plus'!AQ14)</f>
        <v>98.187712810130748</v>
      </c>
      <c r="AK14">
        <f>AVERAGE(S_plus!AR$2:'S_plus'!AR14)</f>
        <v>101.5092152197</v>
      </c>
      <c r="AL14">
        <f>AVERAGE(S_plus!AS$2:'S_plus'!AS14)</f>
        <v>102.72378241417694</v>
      </c>
      <c r="AM14">
        <f>AVERAGE(S_plus!AT$2:'S_plus'!AT14)</f>
        <v>94.962033201738464</v>
      </c>
      <c r="AN14">
        <f>AVERAGE(S_plus!AU$2:'S_plus'!AU14)</f>
        <v>98.096954931038454</v>
      </c>
      <c r="AO14">
        <f>AVERAGE(S_plus!AV$2:'S_plus'!AV14)</f>
        <v>98.042444688499998</v>
      </c>
      <c r="AP14">
        <f>AVERAGE(S_plus!AW$2:'S_plus'!AW14)</f>
        <v>104.32726495661538</v>
      </c>
      <c r="AQ14">
        <f>AVERAGE(S_plus!AX$2:'S_plus'!AX14)</f>
        <v>99.028417633292307</v>
      </c>
      <c r="AR14">
        <f>AVERAGE(S_plus!AY$2:'S_plus'!AY14)</f>
        <v>107.09910550663078</v>
      </c>
      <c r="AS14">
        <f>AVERAGE(S_plus!AZ$2:'S_plus'!AZ14)</f>
        <v>104.09044770092306</v>
      </c>
      <c r="AT14">
        <f>AVERAGE(S_plus!BA$2:'S_plus'!BA14)</f>
        <v>104.09608316953849</v>
      </c>
      <c r="AU14">
        <f>AVERAGE(S_plus!BB$2:'S_plus'!BB14)</f>
        <v>102.6240069960154</v>
      </c>
      <c r="AV14">
        <f>AVERAGE(S_plus!BC$2:'S_plus'!BC14)</f>
        <v>101.79409268032306</v>
      </c>
      <c r="AW14">
        <f>AVERAGE(S_plus!BD$2:'S_plus'!BD14)</f>
        <v>96.276943350099998</v>
      </c>
      <c r="AX14">
        <f>AVERAGE(S_plus!BE$2:'S_plus'!BE14)</f>
        <v>91.919260328515364</v>
      </c>
      <c r="AY14">
        <f>AVERAGE(S_plus!BF$2:'S_plus'!BF14)</f>
        <v>98.507109215</v>
      </c>
      <c r="AZ14">
        <f>AVERAGE(S_plus!BG$2:'S_plus'!BG14)</f>
        <v>93.178476757338458</v>
      </c>
      <c r="BA14">
        <f>AVERAGE(S_plus!BH$2:'S_plus'!BH14)</f>
        <v>100.09680000366923</v>
      </c>
      <c r="BB14">
        <f>AVERAGE(S_plus!BI$2:'S_plus'!BI14)</f>
        <v>103.35826657307692</v>
      </c>
      <c r="BC14">
        <f>AVERAGE(S_plus!BJ$2:'S_plus'!BJ14)</f>
        <v>104.9232900846154</v>
      </c>
      <c r="BD14">
        <f>AVERAGE(S_plus!BK$2:'S_plus'!BK14)</f>
        <v>99.953087144092308</v>
      </c>
      <c r="BE14">
        <f>AVERAGE(S_plus!BL$2:'S_plus'!BL14)</f>
        <v>97.870898761769226</v>
      </c>
      <c r="BF14">
        <f>AVERAGE(S_plus!BM$2:'S_plus'!BM14)</f>
        <v>95.344506375800009</v>
      </c>
      <c r="BG14">
        <f>AVERAGE(S_plus!BN$2:'S_plus'!BN14)</f>
        <v>101.32750151290769</v>
      </c>
      <c r="BH14">
        <f>AVERAGE(S_plus!BO$2:'S_plus'!BO14)</f>
        <v>94.449553346353852</v>
      </c>
      <c r="BI14">
        <f>AVERAGE(S_plus!BP$2:'S_plus'!BP14)</f>
        <v>99.260254876384607</v>
      </c>
      <c r="BJ14">
        <f>AVERAGE(S_plus!BQ$2:'S_plus'!BQ14)</f>
        <v>97.601531011992321</v>
      </c>
      <c r="BK14">
        <f>AVERAGE(S_plus!BR$2:'S_plus'!BR14)</f>
        <v>97.721848550961553</v>
      </c>
      <c r="BL14">
        <f>AVERAGE(S_plus!BS$2:'S_plus'!BS14)</f>
        <v>102.04728061368459</v>
      </c>
      <c r="BM14">
        <f>AVERAGE(S_plus!BT$2:'S_plus'!BT14)</f>
        <v>105.30031946715384</v>
      </c>
      <c r="BN14">
        <f>AVERAGE(S_plus!BU$2:'S_plus'!BU14)</f>
        <v>101.14225858473847</v>
      </c>
      <c r="BO14">
        <f>AVERAGE(S_plus!BV$2:'S_plus'!BV14)</f>
        <v>96.569811956523083</v>
      </c>
      <c r="BP14">
        <f>AVERAGE(S_plus!BW$2:'S_plus'!BW14)</f>
        <v>95.400564347976925</v>
      </c>
      <c r="BQ14">
        <f>AVERAGE(S_plus!BX$2:'S_plus'!BX14)</f>
        <v>99.784040551169241</v>
      </c>
      <c r="BR14">
        <f>AVERAGE(S_plus!BY$2:'S_plus'!BY14)</f>
        <v>100.70154319933847</v>
      </c>
      <c r="BS14">
        <f>AVERAGE(S_plus!BZ$2:'S_plus'!BZ14)</f>
        <v>94.128531064384617</v>
      </c>
      <c r="BT14">
        <f>AVERAGE(S_plus!CA$2:'S_plus'!CA14)</f>
        <v>101.29508276082308</v>
      </c>
      <c r="BU14">
        <f>AVERAGE(S_plus!CB$2:'S_plus'!CB14)</f>
        <v>99.219700920638459</v>
      </c>
      <c r="BV14">
        <f>AVERAGE(S_plus!CC$2:'S_plus'!CC14)</f>
        <v>99.424892846453844</v>
      </c>
      <c r="BW14">
        <f>AVERAGE(S_plus!CD$2:'S_plus'!CD14)</f>
        <v>97.274520026523078</v>
      </c>
      <c r="BX14">
        <f>AVERAGE(S_plus!CE$2:'S_plus'!CE14)</f>
        <v>98.24827440776923</v>
      </c>
      <c r="BY14">
        <f>AVERAGE(S_plus!CF$2:'S_plus'!CF14)</f>
        <v>97.446745315338447</v>
      </c>
      <c r="BZ14">
        <f>AVERAGE(S_plus!CG$2:'S_plus'!CG14)</f>
        <v>93.497213209815371</v>
      </c>
      <c r="CA14">
        <f>AVERAGE(S_plus!CH$2:'S_plus'!CH14)</f>
        <v>105.39443427153847</v>
      </c>
      <c r="CB14">
        <f>AVERAGE(S_plus!CI$2:'S_plus'!CI14)</f>
        <v>93.915698514146158</v>
      </c>
      <c r="CC14">
        <f>AVERAGE(S_plus!CJ$2:'S_plus'!CJ14)</f>
        <v>103.62353609327693</v>
      </c>
      <c r="CD14">
        <f>AVERAGE(S_plus!CK$2:'S_plus'!CK14)</f>
        <v>97.854042531461545</v>
      </c>
      <c r="CE14">
        <f>AVERAGE(S_plus!CL$2:'S_plus'!CL14)</f>
        <v>94.916575612307696</v>
      </c>
      <c r="CF14">
        <f>AVERAGE(S_plus!CM$2:'S_plus'!CM14)</f>
        <v>99.970213994138476</v>
      </c>
      <c r="CG14">
        <f>AVERAGE(S_plus!CN$2:'S_plus'!CN14)</f>
        <v>94.749953155807717</v>
      </c>
      <c r="CH14">
        <f>AVERAGE(S_plus!CO$2:'S_plus'!CO14)</f>
        <v>104.61986549700001</v>
      </c>
      <c r="CI14">
        <f>AVERAGE(S_plus!CP$2:'S_plus'!CP14)</f>
        <v>102.89501441999232</v>
      </c>
      <c r="CJ14">
        <f>AVERAGE(S_plus!CQ$2:'S_plus'!CQ14)</f>
        <v>101.29662764325386</v>
      </c>
      <c r="CK14">
        <f>AVERAGE(S_plus!CR$2:'S_plus'!CR14)</f>
        <v>100.15891793888461</v>
      </c>
      <c r="CL14">
        <f>AVERAGE(S_plus!CS$2:'S_plus'!CS14)</f>
        <v>103.24787181992309</v>
      </c>
      <c r="CM14">
        <f>AVERAGE(S_plus!CT$2:'S_plus'!CT14)</f>
        <v>101.8894148872769</v>
      </c>
      <c r="CN14">
        <f>AVERAGE(S_plus!CU$2:'S_plus'!CU14)</f>
        <v>101.43085120966923</v>
      </c>
      <c r="CO14">
        <f>AVERAGE(S_plus!CV$2:'S_plus'!CV14)</f>
        <v>103.76147134753845</v>
      </c>
      <c r="CP14">
        <f>AVERAGE(S_plus!CW$2:'S_plus'!CW14)</f>
        <v>100.52623746708461</v>
      </c>
      <c r="CQ14">
        <f>AVERAGE(S_plus!CX$2:'S_plus'!CX14)</f>
        <v>102.32125328543076</v>
      </c>
      <c r="CR14">
        <f>AVERAGE(S_plus!CY$2:'S_plus'!CY14)</f>
        <v>99.787020533061551</v>
      </c>
      <c r="CS14">
        <f>AVERAGE(S_plus!CZ$2:'S_plus'!CZ14)</f>
        <v>101.91834565376152</v>
      </c>
      <c r="CT14">
        <f>AVERAGE(S_plus!DA$2:'S_plus'!DA14)</f>
        <v>96.461532870623074</v>
      </c>
      <c r="CU14">
        <f>AVERAGE(S_plus!DB$2:'S_plus'!DB14)</f>
        <v>102.81458269823845</v>
      </c>
      <c r="CV14">
        <f>AVERAGE(S_plus!DC$2:'S_plus'!DC14)</f>
        <v>98.904507887600005</v>
      </c>
      <c r="CW14">
        <f>AVERAGE(S_plus!DD$2:'S_plus'!DD14)</f>
        <v>101.59785976774614</v>
      </c>
      <c r="CX14">
        <f>AVERAGE(S_plus!DE$2:'S_plus'!DE14)</f>
        <v>101.71995473032308</v>
      </c>
      <c r="CY14">
        <f>AVERAGE(S_plus!DF$2:'S_plus'!DF14)</f>
        <v>102.01062383655386</v>
      </c>
      <c r="CZ14">
        <f>AVERAGE(S_plus!DG$2:'S_plus'!DG14)</f>
        <v>98.191808293276921</v>
      </c>
      <c r="DA14">
        <f>AVERAGE(S_plus!DH$2:'S_plus'!DH14)</f>
        <v>101.2500711951154</v>
      </c>
    </row>
    <row r="15" spans="3:105" x14ac:dyDescent="0.25">
      <c r="E15">
        <f>E14+Asian!dt</f>
        <v>0.12999999999999998</v>
      </c>
      <c r="F15">
        <f>AVERAGE(S_plus!M$2:'S_plus'!M15)</f>
        <v>93.875039072364288</v>
      </c>
      <c r="G15">
        <f>AVERAGE(S_plus!N$2:'S_plus'!N15)</f>
        <v>94.573959008221436</v>
      </c>
      <c r="H15">
        <f>AVERAGE(S_plus!O$2:'S_plus'!O15)</f>
        <v>109.87209354614285</v>
      </c>
      <c r="I15">
        <f>AVERAGE(S_plus!P$2:'S_plus'!P15)</f>
        <v>99.642481460857127</v>
      </c>
      <c r="J15">
        <f>AVERAGE(S_plus!Q$2:'S_plus'!Q15)</f>
        <v>102.53738714402857</v>
      </c>
      <c r="K15">
        <f>AVERAGE(S_plus!R$2:'S_plus'!R15)</f>
        <v>100.11387001587858</v>
      </c>
      <c r="L15">
        <f>AVERAGE(S_plus!S$2:'S_plus'!S15)</f>
        <v>107.00811881549998</v>
      </c>
      <c r="M15">
        <f>AVERAGE(S_plus!T$2:'S_plus'!T15)</f>
        <v>98.661480558199983</v>
      </c>
      <c r="N15">
        <f>AVERAGE(S_plus!U$2:'S_plus'!U15)</f>
        <v>108.6679449362143</v>
      </c>
      <c r="O15">
        <f>AVERAGE(S_plus!V$2:'S_plus'!V15)</f>
        <v>97.292767340400019</v>
      </c>
      <c r="P15">
        <f>AVERAGE(S_plus!W$2:'S_plus'!W15)</f>
        <v>100.70326714080714</v>
      </c>
      <c r="Q15">
        <f>AVERAGE(S_plus!X$2:'S_plus'!X15)</f>
        <v>101.11949849927858</v>
      </c>
      <c r="R15">
        <f>AVERAGE(S_plus!Y$2:'S_plus'!Y15)</f>
        <v>100.18023925388572</v>
      </c>
      <c r="S15">
        <f>AVERAGE(S_plus!Z$2:'S_plus'!Z15)</f>
        <v>98.81812366416429</v>
      </c>
      <c r="T15">
        <f>AVERAGE(S_plus!AA$2:'S_plus'!AA15)</f>
        <v>103.52967148465002</v>
      </c>
      <c r="U15">
        <f>AVERAGE(S_plus!AB$2:'S_plus'!AB15)</f>
        <v>95.345456536392831</v>
      </c>
      <c r="V15">
        <f>AVERAGE(S_plus!AC$2:'S_plus'!AC15)</f>
        <v>92.980870330028566</v>
      </c>
      <c r="W15">
        <f>AVERAGE(S_plus!AD$2:'S_plus'!AD15)</f>
        <v>96.084863809992868</v>
      </c>
      <c r="X15">
        <f>AVERAGE(S_plus!AE$2:'S_plus'!AE15)</f>
        <v>101.17009553260716</v>
      </c>
      <c r="Y15">
        <f>AVERAGE(S_plus!AF$2:'S_plus'!AF15)</f>
        <v>94.255778602528579</v>
      </c>
      <c r="Z15">
        <f>AVERAGE(S_plus!AG$2:'S_plus'!AG15)</f>
        <v>102.38919283112857</v>
      </c>
      <c r="AA15">
        <f>AVERAGE(S_plus!AH$2:'S_plus'!AH15)</f>
        <v>97.129357453892865</v>
      </c>
      <c r="AB15">
        <f>AVERAGE(S_plus!AI$2:'S_plus'!AI15)</f>
        <v>100.50151691247855</v>
      </c>
      <c r="AC15">
        <f>AVERAGE(S_plus!AJ$2:'S_plus'!AJ15)</f>
        <v>100.13907139083571</v>
      </c>
      <c r="AD15">
        <f>AVERAGE(S_plus!AK$2:'S_plus'!AK15)</f>
        <v>105.8759686635</v>
      </c>
      <c r="AE15">
        <f>AVERAGE(S_plus!AL$2:'S_plus'!AL15)</f>
        <v>100.04092257637856</v>
      </c>
      <c r="AF15">
        <f>AVERAGE(S_plus!AM$2:'S_plus'!AM15)</f>
        <v>99.440129599792854</v>
      </c>
      <c r="AG15">
        <f>AVERAGE(S_plus!AN$2:'S_plus'!AN15)</f>
        <v>105.923258448</v>
      </c>
      <c r="AH15">
        <f>AVERAGE(S_plus!AO$2:'S_plus'!AO15)</f>
        <v>106.32110222964998</v>
      </c>
      <c r="AI15">
        <f>AVERAGE(S_plus!AP$2:'S_plus'!AP15)</f>
        <v>97.780531917350004</v>
      </c>
      <c r="AJ15">
        <f>AVERAGE(S_plus!AQ$2:'S_plus'!AQ15)</f>
        <v>97.997451774864274</v>
      </c>
      <c r="AK15">
        <f>AVERAGE(S_plus!AR$2:'S_plus'!AR15)</f>
        <v>101.36753256409284</v>
      </c>
      <c r="AL15">
        <f>AVERAGE(S_plus!AS$2:'S_plus'!AS15)</f>
        <v>103.0566199796643</v>
      </c>
      <c r="AM15">
        <f>AVERAGE(S_plus!AT$2:'S_plus'!AT15)</f>
        <v>94.630539488571443</v>
      </c>
      <c r="AN15">
        <f>AVERAGE(S_plus!AU$2:'S_plus'!AU15)</f>
        <v>98.037308857214285</v>
      </c>
      <c r="AO15">
        <f>AVERAGE(S_plus!AV$2:'S_plus'!AV15)</f>
        <v>98.073832502599998</v>
      </c>
      <c r="AP15">
        <f>AVERAGE(S_plus!AW$2:'S_plus'!AW15)</f>
        <v>104.59342132992856</v>
      </c>
      <c r="AQ15">
        <f>AVERAGE(S_plus!AX$2:'S_plus'!AX15)</f>
        <v>99.056699166042861</v>
      </c>
      <c r="AR15">
        <f>AVERAGE(S_plus!AY$2:'S_plus'!AY15)</f>
        <v>107.32163712072858</v>
      </c>
      <c r="AS15">
        <f>AVERAGE(S_plus!AZ$2:'S_plus'!AZ15)</f>
        <v>104.73627115207141</v>
      </c>
      <c r="AT15">
        <f>AVERAGE(S_plus!BA$2:'S_plus'!BA15)</f>
        <v>104.79991024385717</v>
      </c>
      <c r="AU15">
        <f>AVERAGE(S_plus!BB$2:'S_plus'!BB15)</f>
        <v>103.20709052487143</v>
      </c>
      <c r="AV15">
        <f>AVERAGE(S_plus!BC$2:'S_plus'!BC15)</f>
        <v>102.35321568865713</v>
      </c>
      <c r="AW15">
        <f>AVERAGE(S_plus!BD$2:'S_plus'!BD15)</f>
        <v>96.467812353264293</v>
      </c>
      <c r="AX15">
        <f>AVERAGE(S_plus!BE$2:'S_plus'!BE15)</f>
        <v>91.194121007878564</v>
      </c>
      <c r="AY15">
        <f>AVERAGE(S_plus!BF$2:'S_plus'!BF15)</f>
        <v>98.063520149578579</v>
      </c>
      <c r="AZ15">
        <f>AVERAGE(S_plus!BG$2:'S_plus'!BG15)</f>
        <v>93.209047212764276</v>
      </c>
      <c r="BA15">
        <f>AVERAGE(S_plus!BH$2:'S_plus'!BH15)</f>
        <v>99.946876816478579</v>
      </c>
      <c r="BB15">
        <f>AVERAGE(S_plus!BI$2:'S_plus'!BI15)</f>
        <v>103.40304811971428</v>
      </c>
      <c r="BC15">
        <f>AVERAGE(S_plus!BJ$2:'S_plus'!BJ15)</f>
        <v>105.17872058771431</v>
      </c>
      <c r="BD15">
        <f>AVERAGE(S_plus!BK$2:'S_plus'!BK15)</f>
        <v>99.750308802064282</v>
      </c>
      <c r="BE15">
        <f>AVERAGE(S_plus!BL$2:'S_plus'!BL15)</f>
        <v>97.594827623407127</v>
      </c>
      <c r="BF15">
        <f>AVERAGE(S_plus!BM$2:'S_plus'!BM15)</f>
        <v>95.251659356000005</v>
      </c>
      <c r="BG15">
        <f>AVERAGE(S_plus!BN$2:'S_plus'!BN15)</f>
        <v>101.24236687805714</v>
      </c>
      <c r="BH15">
        <f>AVERAGE(S_plus!BO$2:'S_plus'!BO15)</f>
        <v>93.775545128635713</v>
      </c>
      <c r="BI15">
        <f>AVERAGE(S_plus!BP$2:'S_plus'!BP15)</f>
        <v>99.218136037142855</v>
      </c>
      <c r="BJ15">
        <f>AVERAGE(S_plus!BQ$2:'S_plus'!BQ15)</f>
        <v>97.645079584028593</v>
      </c>
      <c r="BK15">
        <f>AVERAGE(S_plus!BR$2:'S_plus'!BR15)</f>
        <v>97.964784672178581</v>
      </c>
      <c r="BL15">
        <f>AVERAGE(S_plus!BS$2:'S_plus'!BS15)</f>
        <v>102.23479021527855</v>
      </c>
      <c r="BM15">
        <f>AVERAGE(S_plus!BT$2:'S_plus'!BT15)</f>
        <v>105.3047065527857</v>
      </c>
      <c r="BN15">
        <f>AVERAGE(S_plus!BU$2:'S_plus'!BU15)</f>
        <v>101.34093126954288</v>
      </c>
      <c r="BO15">
        <f>AVERAGE(S_plus!BV$2:'S_plus'!BV15)</f>
        <v>96.524740794264289</v>
      </c>
      <c r="BP15">
        <f>AVERAGE(S_plus!BW$2:'S_plus'!BW15)</f>
        <v>95.310215354328562</v>
      </c>
      <c r="BQ15">
        <f>AVERAGE(S_plus!BX$2:'S_plus'!BX15)</f>
        <v>99.666276861142862</v>
      </c>
      <c r="BR15">
        <f>AVERAGE(S_plus!BY$2:'S_plus'!BY15)</f>
        <v>100.84298207588573</v>
      </c>
      <c r="BS15">
        <f>AVERAGE(S_plus!BZ$2:'S_plus'!BZ15)</f>
        <v>94.001361111242858</v>
      </c>
      <c r="BT15">
        <f>AVERAGE(S_plus!CA$2:'S_plus'!CA15)</f>
        <v>101.32544777497857</v>
      </c>
      <c r="BU15">
        <f>AVERAGE(S_plus!CB$2:'S_plus'!CB15)</f>
        <v>99.454336431592864</v>
      </c>
      <c r="BV15">
        <f>AVERAGE(S_plus!CC$2:'S_plus'!CC15)</f>
        <v>99.622356136350007</v>
      </c>
      <c r="BW15">
        <f>AVERAGE(S_plus!CD$2:'S_plus'!CD15)</f>
        <v>97.315475589378579</v>
      </c>
      <c r="BX15">
        <f>AVERAGE(S_plus!CE$2:'S_plus'!CE15)</f>
        <v>98.526249244571417</v>
      </c>
      <c r="BY15">
        <f>AVERAGE(S_plus!CF$2:'S_plus'!CF15)</f>
        <v>97.681859185099981</v>
      </c>
      <c r="BZ15">
        <f>AVERAGE(S_plus!CG$2:'S_plus'!CG15)</f>
        <v>93.225416738935692</v>
      </c>
      <c r="CA15">
        <f>AVERAGE(S_plus!CH$2:'S_plus'!CH15)</f>
        <v>105.82854642742858</v>
      </c>
      <c r="CB15">
        <f>AVERAGE(S_plus!CI$2:'S_plus'!CI15)</f>
        <v>93.630017471242851</v>
      </c>
      <c r="CC15">
        <f>AVERAGE(S_plus!CJ$2:'S_plus'!CJ15)</f>
        <v>103.80710263754285</v>
      </c>
      <c r="CD15">
        <f>AVERAGE(S_plus!CK$2:'S_plus'!CK15)</f>
        <v>97.562577331914298</v>
      </c>
      <c r="CE15">
        <f>AVERAGE(S_plus!CL$2:'S_plus'!CL15)</f>
        <v>94.612782927799998</v>
      </c>
      <c r="CF15">
        <f>AVERAGE(S_plus!CM$2:'S_plus'!CM15)</f>
        <v>99.429790252200021</v>
      </c>
      <c r="CG15">
        <f>AVERAGE(S_plus!CN$2:'S_plus'!CN15)</f>
        <v>94.670646996950026</v>
      </c>
      <c r="CH15">
        <f>AVERAGE(S_plus!CO$2:'S_plus'!CO15)</f>
        <v>104.70263103042858</v>
      </c>
      <c r="CI15">
        <f>AVERAGE(S_plus!CP$2:'S_plus'!CP15)</f>
        <v>102.95083888777859</v>
      </c>
      <c r="CJ15">
        <f>AVERAGE(S_plus!CQ$2:'S_plus'!CQ15)</f>
        <v>101.58214470016431</v>
      </c>
      <c r="CK15">
        <f>AVERAGE(S_plus!CR$2:'S_plus'!CR15)</f>
        <v>100.08100219851428</v>
      </c>
      <c r="CL15">
        <f>AVERAGE(S_plus!CS$2:'S_plus'!CS15)</f>
        <v>103.6448623409286</v>
      </c>
      <c r="CM15">
        <f>AVERAGE(S_plus!CT$2:'S_plus'!CT15)</f>
        <v>102.13485838475712</v>
      </c>
      <c r="CN15">
        <f>AVERAGE(S_plus!CU$2:'S_plus'!CU15)</f>
        <v>101.33786005776427</v>
      </c>
      <c r="CO15">
        <f>AVERAGE(S_plus!CV$2:'S_plus'!CV15)</f>
        <v>104.0160175952857</v>
      </c>
      <c r="CP15">
        <f>AVERAGE(S_plus!CW$2:'S_plus'!CW15)</f>
        <v>100.81384002879285</v>
      </c>
      <c r="CQ15">
        <f>AVERAGE(S_plus!CX$2:'S_plus'!CX15)</f>
        <v>102.76620413218572</v>
      </c>
      <c r="CR15">
        <f>AVERAGE(S_plus!CY$2:'S_plus'!CY15)</f>
        <v>99.762937182821446</v>
      </c>
      <c r="CS15">
        <f>AVERAGE(S_plus!CZ$2:'S_plus'!CZ15)</f>
        <v>101.9915244431357</v>
      </c>
      <c r="CT15">
        <f>AVERAGE(S_plus!DA$2:'S_plus'!DA15)</f>
        <v>96.575253822071431</v>
      </c>
      <c r="CU15">
        <f>AVERAGE(S_plus!DB$2:'S_plus'!DB15)</f>
        <v>103.13631763265001</v>
      </c>
      <c r="CV15">
        <f>AVERAGE(S_plus!DC$2:'S_plus'!DC15)</f>
        <v>98.745064211349998</v>
      </c>
      <c r="CW15">
        <f>AVERAGE(S_plus!DD$2:'S_plus'!DD15)</f>
        <v>101.43698596888571</v>
      </c>
      <c r="CX15">
        <f>AVERAGE(S_plus!DE$2:'S_plus'!DE15)</f>
        <v>101.74069795515713</v>
      </c>
      <c r="CY15">
        <f>AVERAGE(S_plus!DF$2:'S_plus'!DF15)</f>
        <v>101.78686935748571</v>
      </c>
      <c r="CZ15">
        <f>AVERAGE(S_plus!DG$2:'S_plus'!DG15)</f>
        <v>98.17194501054999</v>
      </c>
      <c r="DA15">
        <f>AVERAGE(S_plus!DH$2:'S_plus'!DH15)</f>
        <v>101.22490345475001</v>
      </c>
    </row>
    <row r="16" spans="3:105" x14ac:dyDescent="0.25">
      <c r="E16">
        <f>E15+Asian!dt</f>
        <v>0.13999999999999999</v>
      </c>
      <c r="F16">
        <f>AVERAGE(S_plus!M$2:'S_plus'!M16)</f>
        <v>93.308653544020004</v>
      </c>
      <c r="G16">
        <f>AVERAGE(S_plus!N$2:'S_plus'!N16)</f>
        <v>94.215500985886663</v>
      </c>
      <c r="H16">
        <f>AVERAGE(S_plus!O$2:'S_plus'!O16)</f>
        <v>110.49676192393332</v>
      </c>
      <c r="I16">
        <f>AVERAGE(S_plus!P$2:'S_plus'!P16)</f>
        <v>99.726491205799988</v>
      </c>
      <c r="J16">
        <f>AVERAGE(S_plus!Q$2:'S_plus'!Q16)</f>
        <v>102.46463394696001</v>
      </c>
      <c r="K16">
        <f>AVERAGE(S_plus!R$2:'S_plus'!R16)</f>
        <v>100.28406001048667</v>
      </c>
      <c r="L16">
        <f>AVERAGE(S_plus!S$2:'S_plus'!S16)</f>
        <v>107.29218139686665</v>
      </c>
      <c r="M16">
        <f>AVERAGE(S_plus!T$2:'S_plus'!T16)</f>
        <v>98.078785104979985</v>
      </c>
      <c r="N16">
        <f>AVERAGE(S_plus!U$2:'S_plus'!U16)</f>
        <v>109.06519504180001</v>
      </c>
      <c r="O16">
        <f>AVERAGE(S_plus!V$2:'S_plus'!V16)</f>
        <v>97.093176569973352</v>
      </c>
      <c r="P16">
        <f>AVERAGE(S_plus!W$2:'S_plus'!W16)</f>
        <v>100.96579662842001</v>
      </c>
      <c r="Q16">
        <f>AVERAGE(S_plus!X$2:'S_plus'!X16)</f>
        <v>100.86794368099332</v>
      </c>
      <c r="R16">
        <f>AVERAGE(S_plus!Y$2:'S_plus'!Y16)</f>
        <v>99.939273914560005</v>
      </c>
      <c r="S16">
        <f>AVERAGE(S_plus!Z$2:'S_plus'!Z16)</f>
        <v>98.831944916319998</v>
      </c>
      <c r="T16">
        <f>AVERAGE(S_plus!AA$2:'S_plus'!AA16)</f>
        <v>103.90333602640668</v>
      </c>
      <c r="U16">
        <f>AVERAGE(S_plus!AB$2:'S_plus'!AB16)</f>
        <v>94.945151916279968</v>
      </c>
      <c r="V16">
        <f>AVERAGE(S_plus!AC$2:'S_plus'!AC16)</f>
        <v>92.727883764999987</v>
      </c>
      <c r="W16">
        <f>AVERAGE(S_plus!AD$2:'S_plus'!AD16)</f>
        <v>95.731947629480004</v>
      </c>
      <c r="X16">
        <f>AVERAGE(S_plus!AE$2:'S_plus'!AE16)</f>
        <v>101.41490217543334</v>
      </c>
      <c r="Y16">
        <f>AVERAGE(S_plus!AF$2:'S_plus'!AF16)</f>
        <v>93.927703893673339</v>
      </c>
      <c r="Z16">
        <f>AVERAGE(S_plus!AG$2:'S_plus'!AG16)</f>
        <v>102.55460933425334</v>
      </c>
      <c r="AA16">
        <f>AVERAGE(S_plus!AH$2:'S_plus'!AH16)</f>
        <v>97.331034133900005</v>
      </c>
      <c r="AB16">
        <f>AVERAGE(S_plus!AI$2:'S_plus'!AI16)</f>
        <v>100.01071887458664</v>
      </c>
      <c r="AC16">
        <f>AVERAGE(S_plus!AJ$2:'S_plus'!AJ16)</f>
        <v>100.24555812737999</v>
      </c>
      <c r="AD16">
        <f>AVERAGE(S_plus!AK$2:'S_plus'!AK16)</f>
        <v>105.96864138400001</v>
      </c>
      <c r="AE16">
        <f>AVERAGE(S_plus!AL$2:'S_plus'!AL16)</f>
        <v>100.24808419668666</v>
      </c>
      <c r="AF16">
        <f>AVERAGE(S_plus!AM$2:'S_plus'!AM16)</f>
        <v>99.116557187820007</v>
      </c>
      <c r="AG16">
        <f>AVERAGE(S_plus!AN$2:'S_plus'!AN16)</f>
        <v>106.06993684700001</v>
      </c>
      <c r="AH16">
        <f>AVERAGE(S_plus!AO$2:'S_plus'!AO16)</f>
        <v>106.63943977660665</v>
      </c>
      <c r="AI16">
        <f>AVERAGE(S_plus!AP$2:'S_plus'!AP16)</f>
        <v>97.96865897679335</v>
      </c>
      <c r="AJ16">
        <f>AVERAGE(S_plus!AQ$2:'S_plus'!AQ16)</f>
        <v>97.958648542099979</v>
      </c>
      <c r="AK16">
        <f>AVERAGE(S_plus!AR$2:'S_plus'!AR16)</f>
        <v>101.02983613778665</v>
      </c>
      <c r="AL16">
        <f>AVERAGE(S_plus!AS$2:'S_plus'!AS16)</f>
        <v>103.46601402542001</v>
      </c>
      <c r="AM16">
        <f>AVERAGE(S_plus!AT$2:'S_plus'!AT16)</f>
        <v>94.491420843786685</v>
      </c>
      <c r="AN16">
        <f>AVERAGE(S_plus!AU$2:'S_plus'!AU16)</f>
        <v>97.865322545166663</v>
      </c>
      <c r="AO16">
        <f>AVERAGE(S_plus!AV$2:'S_plus'!AV16)</f>
        <v>98.085770313006662</v>
      </c>
      <c r="AP16">
        <f>AVERAGE(S_plus!AW$2:'S_plus'!AW16)</f>
        <v>104.82694485853332</v>
      </c>
      <c r="AQ16">
        <f>AVERAGE(S_plus!AX$2:'S_plus'!AX16)</f>
        <v>99.305628495440004</v>
      </c>
      <c r="AR16">
        <f>AVERAGE(S_plus!AY$2:'S_plus'!AY16)</f>
        <v>107.46725769368001</v>
      </c>
      <c r="AS16">
        <f>AVERAGE(S_plus!AZ$2:'S_plus'!AZ16)</f>
        <v>105.12080624193331</v>
      </c>
      <c r="AT16">
        <f>AVERAGE(S_plus!BA$2:'S_plus'!BA16)</f>
        <v>105.22804539446669</v>
      </c>
      <c r="AU16">
        <f>AVERAGE(S_plus!BB$2:'S_plus'!BB16)</f>
        <v>103.43817486361334</v>
      </c>
      <c r="AV16">
        <f>AVERAGE(S_plus!BC$2:'S_plus'!BC16)</f>
        <v>102.97932791414665</v>
      </c>
      <c r="AW16">
        <f>AVERAGE(S_plus!BD$2:'S_plus'!BD16)</f>
        <v>96.762433581846665</v>
      </c>
      <c r="AX16">
        <f>AVERAGE(S_plus!BE$2:'S_plus'!BE16)</f>
        <v>90.602953572053323</v>
      </c>
      <c r="AY16">
        <f>AVERAGE(S_plus!BF$2:'S_plus'!BF16)</f>
        <v>97.56080603752666</v>
      </c>
      <c r="AZ16">
        <f>AVERAGE(S_plus!BG$2:'S_plus'!BG16)</f>
        <v>93.34521346873332</v>
      </c>
      <c r="BA16">
        <f>AVERAGE(S_plus!BH$2:'S_plus'!BH16)</f>
        <v>99.80583568259334</v>
      </c>
      <c r="BB16">
        <f>AVERAGE(S_plus!BI$2:'S_plus'!BI16)</f>
        <v>103.47434726066666</v>
      </c>
      <c r="BC16">
        <f>AVERAGE(S_plus!BJ$2:'S_plus'!BJ16)</f>
        <v>105.36740145473335</v>
      </c>
      <c r="BD16">
        <f>AVERAGE(S_plus!BK$2:'S_plus'!BK16)</f>
        <v>99.367626247033328</v>
      </c>
      <c r="BE16">
        <f>AVERAGE(S_plus!BL$2:'S_plus'!BL16)</f>
        <v>97.442078536146653</v>
      </c>
      <c r="BF16">
        <f>AVERAGE(S_plus!BM$2:'S_plus'!BM16)</f>
        <v>95.007195543266661</v>
      </c>
      <c r="BG16">
        <f>AVERAGE(S_plus!BN$2:'S_plus'!BN16)</f>
        <v>101.19633503711999</v>
      </c>
      <c r="BH16">
        <f>AVERAGE(S_plus!BO$2:'S_plus'!BO16)</f>
        <v>93.30326034318</v>
      </c>
      <c r="BI16">
        <f>AVERAGE(S_plus!BP$2:'S_plus'!BP16)</f>
        <v>99.286888810933334</v>
      </c>
      <c r="BJ16">
        <f>AVERAGE(S_plus!BQ$2:'S_plus'!BQ16)</f>
        <v>97.747945190840014</v>
      </c>
      <c r="BK16">
        <f>AVERAGE(S_plus!BR$2:'S_plus'!BR16)</f>
        <v>98.154510231966682</v>
      </c>
      <c r="BL16">
        <f>AVERAGE(S_plus!BS$2:'S_plus'!BS16)</f>
        <v>102.45827928479331</v>
      </c>
      <c r="BM16">
        <f>AVERAGE(S_plus!BT$2:'S_plus'!BT16)</f>
        <v>105.42085910919999</v>
      </c>
      <c r="BN16">
        <f>AVERAGE(S_plus!BU$2:'S_plus'!BU16)</f>
        <v>101.48486193477335</v>
      </c>
      <c r="BO16">
        <f>AVERAGE(S_plus!BV$2:'S_plus'!BV16)</f>
        <v>96.231322094553349</v>
      </c>
      <c r="BP16">
        <f>AVERAGE(S_plus!BW$2:'S_plus'!BW16)</f>
        <v>95.199199681646661</v>
      </c>
      <c r="BQ16">
        <f>AVERAGE(S_plus!BX$2:'S_plus'!BX16)</f>
        <v>99.351649953886678</v>
      </c>
      <c r="BR16">
        <f>AVERAGE(S_plus!BY$2:'S_plus'!BY16)</f>
        <v>100.75488746709334</v>
      </c>
      <c r="BS16">
        <f>AVERAGE(S_plus!BZ$2:'S_plus'!BZ16)</f>
        <v>93.993898541273339</v>
      </c>
      <c r="BT16">
        <f>AVERAGE(S_plus!CA$2:'S_plus'!CA16)</f>
        <v>101.26167530471334</v>
      </c>
      <c r="BU16">
        <f>AVERAGE(S_plus!CB$2:'S_plus'!CB16)</f>
        <v>99.600940461619999</v>
      </c>
      <c r="BV16">
        <f>AVERAGE(S_plus!CC$2:'S_plus'!CC16)</f>
        <v>99.660345829259995</v>
      </c>
      <c r="BW16">
        <f>AVERAGE(S_plus!CD$2:'S_plus'!CD16)</f>
        <v>97.406084360146679</v>
      </c>
      <c r="BX16">
        <f>AVERAGE(S_plus!CE$2:'S_plus'!CE16)</f>
        <v>98.923811402933325</v>
      </c>
      <c r="BY16">
        <f>AVERAGE(S_plus!CF$2:'S_plus'!CF16)</f>
        <v>97.783440406173312</v>
      </c>
      <c r="BZ16">
        <f>AVERAGE(S_plus!CG$2:'S_plus'!CG16)</f>
        <v>92.86594446721999</v>
      </c>
      <c r="CA16">
        <f>AVERAGE(S_plus!CH$2:'S_plus'!CH16)</f>
        <v>106.00224089800001</v>
      </c>
      <c r="CB16">
        <f>AVERAGE(S_plus!CI$2:'S_plus'!CI16)</f>
        <v>93.390585225786666</v>
      </c>
      <c r="CC16">
        <f>AVERAGE(S_plus!CJ$2:'S_plus'!CJ16)</f>
        <v>103.70353035450667</v>
      </c>
      <c r="CD16">
        <f>AVERAGE(S_plus!CK$2:'S_plus'!CK16)</f>
        <v>97.289043686680017</v>
      </c>
      <c r="CE16">
        <f>AVERAGE(S_plus!CL$2:'S_plus'!CL16)</f>
        <v>94.341824402326665</v>
      </c>
      <c r="CF16">
        <f>AVERAGE(S_plus!CM$2:'S_plus'!CM16)</f>
        <v>98.857931803220012</v>
      </c>
      <c r="CG16">
        <f>AVERAGE(S_plus!CN$2:'S_plus'!CN16)</f>
        <v>94.610085509593347</v>
      </c>
      <c r="CH16">
        <f>AVERAGE(S_plus!CO$2:'S_plus'!CO16)</f>
        <v>104.71069772433333</v>
      </c>
      <c r="CI16">
        <f>AVERAGE(S_plus!CP$2:'S_plus'!CP16)</f>
        <v>103.17888191899334</v>
      </c>
      <c r="CJ16">
        <f>AVERAGE(S_plus!CQ$2:'S_plus'!CQ16)</f>
        <v>102.20516193835334</v>
      </c>
      <c r="CK16">
        <f>AVERAGE(S_plus!CR$2:'S_plus'!CR16)</f>
        <v>100.33772204188</v>
      </c>
      <c r="CL16">
        <f>AVERAGE(S_plus!CS$2:'S_plus'!CS16)</f>
        <v>104.13893048900003</v>
      </c>
      <c r="CM16">
        <f>AVERAGE(S_plus!CT$2:'S_plus'!CT16)</f>
        <v>102.61663433570666</v>
      </c>
      <c r="CN16">
        <f>AVERAGE(S_plus!CU$2:'S_plus'!CU16)</f>
        <v>101.39434023198</v>
      </c>
      <c r="CO16">
        <f>AVERAGE(S_plus!CV$2:'S_plus'!CV16)</f>
        <v>104.33363318493333</v>
      </c>
      <c r="CP16">
        <f>AVERAGE(S_plus!CW$2:'S_plus'!CW16)</f>
        <v>101.21038420714</v>
      </c>
      <c r="CQ16">
        <f>AVERAGE(S_plus!CX$2:'S_plus'!CX16)</f>
        <v>102.88882261884001</v>
      </c>
      <c r="CR16">
        <f>AVERAGE(S_plus!CY$2:'S_plus'!CY16)</f>
        <v>100.05543680230001</v>
      </c>
      <c r="CS16">
        <f>AVERAGE(S_plus!CZ$2:'S_plus'!CZ16)</f>
        <v>102.15643061845999</v>
      </c>
      <c r="CT16">
        <f>AVERAGE(S_plus!DA$2:'S_plus'!DA16)</f>
        <v>96.867184276666663</v>
      </c>
      <c r="CU16">
        <f>AVERAGE(S_plus!DB$2:'S_plus'!DB16)</f>
        <v>103.08720171080667</v>
      </c>
      <c r="CV16">
        <f>AVERAGE(S_plus!DC$2:'S_plus'!DC16)</f>
        <v>98.687153777853325</v>
      </c>
      <c r="CW16">
        <f>AVERAGE(S_plus!DD$2:'S_plus'!DD16)</f>
        <v>101.15142401876666</v>
      </c>
      <c r="CX16">
        <f>AVERAGE(S_plus!DE$2:'S_plus'!DE16)</f>
        <v>101.94338267661333</v>
      </c>
      <c r="CY16">
        <f>AVERAGE(S_plus!DF$2:'S_plus'!DF16)</f>
        <v>101.44347352593999</v>
      </c>
      <c r="CZ16">
        <f>AVERAGE(S_plus!DG$2:'S_plus'!DG16)</f>
        <v>98.17556283511999</v>
      </c>
      <c r="DA16">
        <f>AVERAGE(S_plus!DH$2:'S_plus'!DH16)</f>
        <v>101.10607541276001</v>
      </c>
    </row>
    <row r="17" spans="5:105" x14ac:dyDescent="0.25">
      <c r="E17">
        <f>E16+Asian!dt</f>
        <v>0.15</v>
      </c>
      <c r="F17">
        <f>AVERAGE(S_plus!M$2:'S_plus'!M17)</f>
        <v>92.805826806881257</v>
      </c>
      <c r="G17">
        <f>AVERAGE(S_plus!N$2:'S_plus'!N17)</f>
        <v>94.065728827212496</v>
      </c>
      <c r="H17">
        <f>AVERAGE(S_plus!O$2:'S_plus'!O17)</f>
        <v>110.82543432062499</v>
      </c>
      <c r="I17">
        <f>AVERAGE(S_plus!P$2:'S_plus'!P17)</f>
        <v>99.906619136187487</v>
      </c>
      <c r="J17">
        <f>AVERAGE(S_plus!Q$2:'S_plus'!Q17)</f>
        <v>102.20010922565625</v>
      </c>
      <c r="K17">
        <f>AVERAGE(S_plus!R$2:'S_plus'!R17)</f>
        <v>100.44007134658125</v>
      </c>
      <c r="L17">
        <f>AVERAGE(S_plus!S$2:'S_plus'!S17)</f>
        <v>107.49450253443749</v>
      </c>
      <c r="M17">
        <f>AVERAGE(S_plus!T$2:'S_plus'!T17)</f>
        <v>97.453457082774989</v>
      </c>
      <c r="N17">
        <f>AVERAGE(S_plus!U$2:'S_plus'!U17)</f>
        <v>109.14760560606251</v>
      </c>
      <c r="O17">
        <f>AVERAGE(S_plus!V$2:'S_plus'!V17)</f>
        <v>96.96582163624376</v>
      </c>
      <c r="P17">
        <f>AVERAGE(S_plus!W$2:'S_plus'!W17)</f>
        <v>101.20453177126875</v>
      </c>
      <c r="Q17">
        <f>AVERAGE(S_plus!X$2:'S_plus'!X17)</f>
        <v>100.7017111018875</v>
      </c>
      <c r="R17">
        <f>AVERAGE(S_plus!Y$2:'S_plus'!Y17)</f>
        <v>99.705252531518752</v>
      </c>
      <c r="S17">
        <f>AVERAGE(S_plus!Z$2:'S_plus'!Z17)</f>
        <v>98.87877855399374</v>
      </c>
      <c r="T17">
        <f>AVERAGE(S_plus!AA$2:'S_plus'!AA17)</f>
        <v>104.28787728119377</v>
      </c>
      <c r="U17">
        <f>AVERAGE(S_plus!AB$2:'S_plus'!AB17)</f>
        <v>94.693753365406224</v>
      </c>
      <c r="V17">
        <f>AVERAGE(S_plus!AC$2:'S_plus'!AC17)</f>
        <v>92.862750711668738</v>
      </c>
      <c r="W17">
        <f>AVERAGE(S_plus!AD$2:'S_plus'!AD17)</f>
        <v>95.417269690181257</v>
      </c>
      <c r="X17">
        <f>AVERAGE(S_plus!AE$2:'S_plus'!AE17)</f>
        <v>101.79738128634375</v>
      </c>
      <c r="Y17">
        <f>AVERAGE(S_plus!AF$2:'S_plus'!AF17)</f>
        <v>93.620008290581254</v>
      </c>
      <c r="Z17">
        <f>AVERAGE(S_plus!AG$2:'S_plus'!AG17)</f>
        <v>102.8167216714875</v>
      </c>
      <c r="AA17">
        <f>AVERAGE(S_plus!AH$2:'S_plus'!AH17)</f>
        <v>97.683013211843758</v>
      </c>
      <c r="AB17">
        <f>AVERAGE(S_plus!AI$2:'S_plus'!AI17)</f>
        <v>99.623970747624981</v>
      </c>
      <c r="AC17">
        <f>AVERAGE(S_plus!AJ$2:'S_plus'!AJ17)</f>
        <v>100.59710198891874</v>
      </c>
      <c r="AD17">
        <f>AVERAGE(S_plus!AK$2:'S_plus'!AK17)</f>
        <v>106.41478967525001</v>
      </c>
      <c r="AE17">
        <f>AVERAGE(S_plus!AL$2:'S_plus'!AL17)</f>
        <v>100.53534619689374</v>
      </c>
      <c r="AF17">
        <f>AVERAGE(S_plus!AM$2:'S_plus'!AM17)</f>
        <v>98.789293479243753</v>
      </c>
      <c r="AG17">
        <f>AVERAGE(S_plus!AN$2:'S_plus'!AN17)</f>
        <v>106.41369064037501</v>
      </c>
      <c r="AH17">
        <f>AVERAGE(S_plus!AO$2:'S_plus'!AO17)</f>
        <v>106.81418960213124</v>
      </c>
      <c r="AI17">
        <f>AVERAGE(S_plus!AP$2:'S_plus'!AP17)</f>
        <v>98.166077468431254</v>
      </c>
      <c r="AJ17">
        <f>AVERAGE(S_plus!AQ$2:'S_plus'!AQ17)</f>
        <v>97.977132221699975</v>
      </c>
      <c r="AK17">
        <f>AVERAGE(S_plus!AR$2:'S_plus'!AR17)</f>
        <v>100.69528989554999</v>
      </c>
      <c r="AL17">
        <f>AVERAGE(S_plus!AS$2:'S_plus'!AS17)</f>
        <v>103.89206043639376</v>
      </c>
      <c r="AM17">
        <f>AVERAGE(S_plus!AT$2:'S_plus'!AT17)</f>
        <v>94.395449678237512</v>
      </c>
      <c r="AN17">
        <f>AVERAGE(S_plus!AU$2:'S_plus'!AU17)</f>
        <v>97.824726960837495</v>
      </c>
      <c r="AO17">
        <f>AVERAGE(S_plus!AV$2:'S_plus'!AV17)</f>
        <v>98.167062015875004</v>
      </c>
      <c r="AP17">
        <f>AVERAGE(S_plus!AW$2:'S_plus'!AW17)</f>
        <v>105.13962870018749</v>
      </c>
      <c r="AQ17">
        <f>AVERAGE(S_plus!AX$2:'S_plus'!AX17)</f>
        <v>99.263527891712499</v>
      </c>
      <c r="AR17">
        <f>AVERAGE(S_plus!AY$2:'S_plus'!AY17)</f>
        <v>107.55034149132501</v>
      </c>
      <c r="AS17">
        <f>AVERAGE(S_plus!AZ$2:'S_plus'!AZ17)</f>
        <v>105.29485804531248</v>
      </c>
      <c r="AT17">
        <f>AVERAGE(S_plus!BA$2:'S_plus'!BA17)</f>
        <v>105.48463813793751</v>
      </c>
      <c r="AU17">
        <f>AVERAGE(S_plus!BB$2:'S_plus'!BB17)</f>
        <v>103.72596708432501</v>
      </c>
      <c r="AV17">
        <f>AVERAGE(S_plus!BC$2:'S_plus'!BC17)</f>
        <v>103.68631887269999</v>
      </c>
      <c r="AW17">
        <f>AVERAGE(S_plus!BD$2:'S_plus'!BD17)</f>
        <v>97.135274822668748</v>
      </c>
      <c r="AX17">
        <f>AVERAGE(S_plus!BE$2:'S_plus'!BE17)</f>
        <v>90.136872566037482</v>
      </c>
      <c r="AY17">
        <f>AVERAGE(S_plus!BF$2:'S_plus'!BF17)</f>
        <v>97.215919773687503</v>
      </c>
      <c r="AZ17">
        <f>AVERAGE(S_plus!BG$2:'S_plus'!BG17)</f>
        <v>93.505249612856232</v>
      </c>
      <c r="BA17">
        <f>AVERAGE(S_plus!BH$2:'S_plus'!BH17)</f>
        <v>99.579590372618753</v>
      </c>
      <c r="BB17">
        <f>AVERAGE(S_plus!BI$2:'S_plus'!BI17)</f>
        <v>103.64014435468749</v>
      </c>
      <c r="BC17">
        <f>AVERAGE(S_plus!BJ$2:'S_plus'!BJ17)</f>
        <v>105.61751769687501</v>
      </c>
      <c r="BD17">
        <f>AVERAGE(S_plus!BK$2:'S_plus'!BK17)</f>
        <v>99.118512056374996</v>
      </c>
      <c r="BE17">
        <f>AVERAGE(S_plus!BL$2:'S_plus'!BL17)</f>
        <v>97.235835466518736</v>
      </c>
      <c r="BF17">
        <f>AVERAGE(S_plus!BM$2:'S_plus'!BM17)</f>
        <v>94.816096270968757</v>
      </c>
      <c r="BG17">
        <f>AVERAGE(S_plus!BN$2:'S_plus'!BN17)</f>
        <v>101.2295105763</v>
      </c>
      <c r="BH17">
        <f>AVERAGE(S_plus!BO$2:'S_plus'!BO17)</f>
        <v>92.854544933206256</v>
      </c>
      <c r="BI17">
        <f>AVERAGE(S_plus!BP$2:'S_plus'!BP17)</f>
        <v>99.433220948124998</v>
      </c>
      <c r="BJ17">
        <f>AVERAGE(S_plus!BQ$2:'S_plus'!BQ17)</f>
        <v>97.547841358637513</v>
      </c>
      <c r="BK17">
        <f>AVERAGE(S_plus!BR$2:'S_plus'!BR17)</f>
        <v>98.461017003968763</v>
      </c>
      <c r="BL17">
        <f>AVERAGE(S_plus!BS$2:'S_plus'!BS17)</f>
        <v>102.61798294299373</v>
      </c>
      <c r="BM17">
        <f>AVERAGE(S_plus!BT$2:'S_plus'!BT17)</f>
        <v>105.671579472</v>
      </c>
      <c r="BN17">
        <f>AVERAGE(S_plus!BU$2:'S_plus'!BU17)</f>
        <v>101.85916039016251</v>
      </c>
      <c r="BO17">
        <f>AVERAGE(S_plus!BV$2:'S_plus'!BV17)</f>
        <v>95.973765588600003</v>
      </c>
      <c r="BP17">
        <f>AVERAGE(S_plus!BW$2:'S_plus'!BW17)</f>
        <v>95.148018070324994</v>
      </c>
      <c r="BQ17">
        <f>AVERAGE(S_plus!BX$2:'S_plus'!BX17)</f>
        <v>99.103715512556263</v>
      </c>
      <c r="BR17">
        <f>AVERAGE(S_plus!BY$2:'S_plus'!BY17)</f>
        <v>100.61011967201875</v>
      </c>
      <c r="BS17">
        <f>AVERAGE(S_plus!BZ$2:'S_plus'!BZ17)</f>
        <v>93.985230620218744</v>
      </c>
      <c r="BT17">
        <f>AVERAGE(S_plus!CA$2:'S_plus'!CA17)</f>
        <v>100.98019736904999</v>
      </c>
      <c r="BU17">
        <f>AVERAGE(S_plus!CB$2:'S_plus'!CB17)</f>
        <v>99.81436757226875</v>
      </c>
      <c r="BV17">
        <f>AVERAGE(S_plus!CC$2:'S_plus'!CC17)</f>
        <v>99.523998135893748</v>
      </c>
      <c r="BW17">
        <f>AVERAGE(S_plus!CD$2:'S_plus'!CD17)</f>
        <v>97.477186708456259</v>
      </c>
      <c r="BX17">
        <f>AVERAGE(S_plus!CE$2:'S_plus'!CE17)</f>
        <v>99.234774199812492</v>
      </c>
      <c r="BY17">
        <f>AVERAGE(S_plus!CF$2:'S_plus'!CF17)</f>
        <v>97.613325980643737</v>
      </c>
      <c r="BZ17">
        <f>AVERAGE(S_plus!CG$2:'S_plus'!CG17)</f>
        <v>92.597412423449981</v>
      </c>
      <c r="CA17">
        <f>AVERAGE(S_plus!CH$2:'S_plus'!CH17)</f>
        <v>106.20882139981251</v>
      </c>
      <c r="CB17">
        <f>AVERAGE(S_plus!CI$2:'S_plus'!CI17)</f>
        <v>93.215267982687493</v>
      </c>
      <c r="CC17">
        <f>AVERAGE(S_plus!CJ$2:'S_plus'!CJ17)</f>
        <v>103.82158711047499</v>
      </c>
      <c r="CD17">
        <f>AVERAGE(S_plus!CK$2:'S_plus'!CK17)</f>
        <v>97.03948944655626</v>
      </c>
      <c r="CE17">
        <f>AVERAGE(S_plus!CL$2:'S_plus'!CL17)</f>
        <v>94.260853894600004</v>
      </c>
      <c r="CF17">
        <f>AVERAGE(S_plus!CM$2:'S_plus'!CM17)</f>
        <v>98.457522858381253</v>
      </c>
      <c r="CG17">
        <f>AVERAGE(S_plus!CN$2:'S_plus'!CN17)</f>
        <v>94.472276732481262</v>
      </c>
      <c r="CH17">
        <f>AVERAGE(S_plus!CO$2:'S_plus'!CO17)</f>
        <v>104.60713368024999</v>
      </c>
      <c r="CI17">
        <f>AVERAGE(S_plus!CP$2:'S_plus'!CP17)</f>
        <v>103.45374955530626</v>
      </c>
      <c r="CJ17">
        <f>AVERAGE(S_plus!CQ$2:'S_plus'!CQ17)</f>
        <v>103.10146632083126</v>
      </c>
      <c r="CK17">
        <f>AVERAGE(S_plus!CR$2:'S_plus'!CR17)</f>
        <v>100.5785686271375</v>
      </c>
      <c r="CL17">
        <f>AVERAGE(S_plus!CS$2:'S_plus'!CS17)</f>
        <v>104.83427533893752</v>
      </c>
      <c r="CM17">
        <f>AVERAGE(S_plus!CT$2:'S_plus'!CT17)</f>
        <v>103.12905764816249</v>
      </c>
      <c r="CN17">
        <f>AVERAGE(S_plus!CU$2:'S_plus'!CU17)</f>
        <v>101.26786251623125</v>
      </c>
      <c r="CO17">
        <f>AVERAGE(S_plus!CV$2:'S_plus'!CV17)</f>
        <v>104.8790371906875</v>
      </c>
      <c r="CP17">
        <f>AVERAGE(S_plus!CW$2:'S_plus'!CW17)</f>
        <v>101.69184447681876</v>
      </c>
      <c r="CQ17">
        <f>AVERAGE(S_plus!CX$2:'S_plus'!CX17)</f>
        <v>103.10492027310001</v>
      </c>
      <c r="CR17">
        <f>AVERAGE(S_plus!CY$2:'S_plus'!CY17)</f>
        <v>100.23520623853126</v>
      </c>
      <c r="CS17">
        <f>AVERAGE(S_plus!CZ$2:'S_plus'!CZ17)</f>
        <v>102.26028539249374</v>
      </c>
      <c r="CT17">
        <f>AVERAGE(S_plus!DA$2:'S_plus'!DA17)</f>
        <v>97.265910439562504</v>
      </c>
      <c r="CU17">
        <f>AVERAGE(S_plus!DB$2:'S_plus'!DB17)</f>
        <v>103.09512132950624</v>
      </c>
      <c r="CV17">
        <f>AVERAGE(S_plus!DC$2:'S_plus'!DC17)</f>
        <v>98.758306928868734</v>
      </c>
      <c r="CW17">
        <f>AVERAGE(S_plus!DD$2:'S_plus'!DD17)</f>
        <v>100.5455401386875</v>
      </c>
      <c r="CX17">
        <f>AVERAGE(S_plus!DE$2:'S_plus'!DE17)</f>
        <v>102.27966793169999</v>
      </c>
      <c r="CY17">
        <f>AVERAGE(S_plus!DF$2:'S_plus'!DF17)</f>
        <v>101.21568020206875</v>
      </c>
      <c r="CZ17">
        <f>AVERAGE(S_plus!DG$2:'S_plus'!DG17)</f>
        <v>98.145655076293735</v>
      </c>
      <c r="DA17">
        <f>AVERAGE(S_plus!DH$2:'S_plus'!DH17)</f>
        <v>100.93607716021251</v>
      </c>
    </row>
    <row r="18" spans="5:105" x14ac:dyDescent="0.25">
      <c r="E18">
        <f>E17+Asian!dt</f>
        <v>0.16</v>
      </c>
      <c r="F18">
        <f>AVERAGE(S_plus!M$2:'S_plus'!M18)</f>
        <v>92.384637220535296</v>
      </c>
      <c r="G18">
        <f>AVERAGE(S_plus!N$2:'S_plus'!N18)</f>
        <v>93.835314930817631</v>
      </c>
      <c r="H18">
        <f>AVERAGE(S_plus!O$2:'S_plus'!O18)</f>
        <v>111.01203265258823</v>
      </c>
      <c r="I18">
        <f>AVERAGE(S_plus!P$2:'S_plus'!P18)</f>
        <v>99.857840892729399</v>
      </c>
      <c r="J18">
        <f>AVERAGE(S_plus!Q$2:'S_plus'!Q18)</f>
        <v>101.9000169776</v>
      </c>
      <c r="K18">
        <f>AVERAGE(S_plus!R$2:'S_plus'!R18)</f>
        <v>100.56965438878235</v>
      </c>
      <c r="L18">
        <f>AVERAGE(S_plus!S$2:'S_plus'!S18)</f>
        <v>107.60798224929411</v>
      </c>
      <c r="M18">
        <f>AVERAGE(S_plus!T$2:'S_plus'!T18)</f>
        <v>96.836628312417645</v>
      </c>
      <c r="N18">
        <f>AVERAGE(S_plus!U$2:'S_plus'!U18)</f>
        <v>109.23825277888237</v>
      </c>
      <c r="O18">
        <f>AVERAGE(S_plus!V$2:'S_plus'!V18)</f>
        <v>96.824412510958837</v>
      </c>
      <c r="P18">
        <f>AVERAGE(S_plus!W$2:'S_plus'!W18)</f>
        <v>101.11534285509413</v>
      </c>
      <c r="Q18">
        <f>AVERAGE(S_plus!X$2:'S_plus'!X18)</f>
        <v>100.61924442317647</v>
      </c>
      <c r="R18">
        <f>AVERAGE(S_plus!Y$2:'S_plus'!Y18)</f>
        <v>99.43073469047647</v>
      </c>
      <c r="S18">
        <f>AVERAGE(S_plus!Z$2:'S_plus'!Z18)</f>
        <v>98.893900370064685</v>
      </c>
      <c r="T18">
        <f>AVERAGE(S_plus!AA$2:'S_plus'!AA18)</f>
        <v>104.5416660190059</v>
      </c>
      <c r="U18">
        <f>AVERAGE(S_plus!AB$2:'S_plus'!AB18)</f>
        <v>94.366085911635267</v>
      </c>
      <c r="V18">
        <f>AVERAGE(S_plus!AC$2:'S_plus'!AC18)</f>
        <v>92.924460193829404</v>
      </c>
      <c r="W18">
        <f>AVERAGE(S_plus!AD$2:'S_plus'!AD18)</f>
        <v>95.087046333076486</v>
      </c>
      <c r="X18">
        <f>AVERAGE(S_plus!AE$2:'S_plus'!AE18)</f>
        <v>102.42142108567647</v>
      </c>
      <c r="Y18">
        <f>AVERAGE(S_plus!AF$2:'S_plus'!AF18)</f>
        <v>93.380516768552937</v>
      </c>
      <c r="Z18">
        <f>AVERAGE(S_plus!AG$2:'S_plus'!AG18)</f>
        <v>102.94161827845882</v>
      </c>
      <c r="AA18">
        <f>AVERAGE(S_plus!AH$2:'S_plus'!AH18)</f>
        <v>98.036342389205885</v>
      </c>
      <c r="AB18">
        <f>AVERAGE(S_plus!AI$2:'S_plus'!AI18)</f>
        <v>99.364875234070581</v>
      </c>
      <c r="AC18">
        <f>AVERAGE(S_plus!AJ$2:'S_plus'!AJ18)</f>
        <v>100.74604358121763</v>
      </c>
      <c r="AD18">
        <f>AVERAGE(S_plus!AK$2:'S_plus'!AK18)</f>
        <v>107.01633703676471</v>
      </c>
      <c r="AE18">
        <f>AVERAGE(S_plus!AL$2:'S_plus'!AL18)</f>
        <v>100.80821471084117</v>
      </c>
      <c r="AF18">
        <f>AVERAGE(S_plus!AM$2:'S_plus'!AM18)</f>
        <v>98.37366808932353</v>
      </c>
      <c r="AG18">
        <f>AVERAGE(S_plus!AN$2:'S_plus'!AN18)</f>
        <v>106.99157822788236</v>
      </c>
      <c r="AH18">
        <f>AVERAGE(S_plus!AO$2:'S_plus'!AO18)</f>
        <v>106.84162604600587</v>
      </c>
      <c r="AI18">
        <f>AVERAGE(S_plus!AP$2:'S_plus'!AP18)</f>
        <v>98.145648362752937</v>
      </c>
      <c r="AJ18">
        <f>AVERAGE(S_plus!AQ$2:'S_plus'!AQ18)</f>
        <v>98.112468490658799</v>
      </c>
      <c r="AK18">
        <f>AVERAGE(S_plus!AR$2:'S_plus'!AR18)</f>
        <v>100.40234297607059</v>
      </c>
      <c r="AL18">
        <f>AVERAGE(S_plus!AS$2:'S_plus'!AS18)</f>
        <v>104.41480094466472</v>
      </c>
      <c r="AM18">
        <f>AVERAGE(S_plus!AT$2:'S_plus'!AT18)</f>
        <v>94.439335522876476</v>
      </c>
      <c r="AN18">
        <f>AVERAGE(S_plus!AU$2:'S_plus'!AU18)</f>
        <v>97.826758945152932</v>
      </c>
      <c r="AO18">
        <f>AVERAGE(S_plus!AV$2:'S_plus'!AV18)</f>
        <v>98.029151692188236</v>
      </c>
      <c r="AP18">
        <f>AVERAGE(S_plus!AW$2:'S_plus'!AW18)</f>
        <v>105.55243955829411</v>
      </c>
      <c r="AQ18">
        <f>AVERAGE(S_plus!AX$2:'S_plus'!AX18)</f>
        <v>99.119338623376464</v>
      </c>
      <c r="AR18">
        <f>AVERAGE(S_plus!AY$2:'S_plus'!AY18)</f>
        <v>107.50734648689412</v>
      </c>
      <c r="AS18">
        <f>AVERAGE(S_plus!AZ$2:'S_plus'!AZ18)</f>
        <v>105.49388247982351</v>
      </c>
      <c r="AT18">
        <f>AVERAGE(S_plus!BA$2:'S_plus'!BA18)</f>
        <v>105.72290787341177</v>
      </c>
      <c r="AU18">
        <f>AVERAGE(S_plus!BB$2:'S_plus'!BB18)</f>
        <v>104.08981840360001</v>
      </c>
      <c r="AV18">
        <f>AVERAGE(S_plus!BC$2:'S_plus'!BC18)</f>
        <v>104.43226177654117</v>
      </c>
      <c r="AW18">
        <f>AVERAGE(S_plus!BD$2:'S_plus'!BD18)</f>
        <v>97.537083565100005</v>
      </c>
      <c r="AX18">
        <f>AVERAGE(S_plus!BE$2:'S_plus'!BE18)</f>
        <v>89.808539297711746</v>
      </c>
      <c r="AY18">
        <f>AVERAGE(S_plus!BF$2:'S_plus'!BF18)</f>
        <v>97.067392108164711</v>
      </c>
      <c r="AZ18">
        <f>AVERAGE(S_plus!BG$2:'S_plus'!BG18)</f>
        <v>93.619137054782328</v>
      </c>
      <c r="BA18">
        <f>AVERAGE(S_plus!BH$2:'S_plus'!BH18)</f>
        <v>99.425912544841182</v>
      </c>
      <c r="BB18">
        <f>AVERAGE(S_plus!BI$2:'S_plus'!BI18)</f>
        <v>103.89694860970587</v>
      </c>
      <c r="BC18">
        <f>AVERAGE(S_plus!BJ$2:'S_plus'!BJ18)</f>
        <v>105.84324057852942</v>
      </c>
      <c r="BD18">
        <f>AVERAGE(S_plus!BK$2:'S_plus'!BK18)</f>
        <v>99.027778222641174</v>
      </c>
      <c r="BE18">
        <f>AVERAGE(S_plus!BL$2:'S_plus'!BL18)</f>
        <v>96.896468619529401</v>
      </c>
      <c r="BF18">
        <f>AVERAGE(S_plus!BM$2:'S_plus'!BM18)</f>
        <v>94.575146664152953</v>
      </c>
      <c r="BG18">
        <f>AVERAGE(S_plus!BN$2:'S_plus'!BN18)</f>
        <v>101.42661824775294</v>
      </c>
      <c r="BH18">
        <f>AVERAGE(S_plus!BO$2:'S_plus'!BO18)</f>
        <v>92.508170982111764</v>
      </c>
      <c r="BI18">
        <f>AVERAGE(S_plus!BP$2:'S_plus'!BP18)</f>
        <v>99.47208564758823</v>
      </c>
      <c r="BJ18">
        <f>AVERAGE(S_plus!BQ$2:'S_plus'!BQ18)</f>
        <v>97.346909331152943</v>
      </c>
      <c r="BK18">
        <f>AVERAGE(S_plus!BR$2:'S_plus'!BR18)</f>
        <v>98.586010369676487</v>
      </c>
      <c r="BL18">
        <f>AVERAGE(S_plus!BS$2:'S_plus'!BS18)</f>
        <v>102.85443642993528</v>
      </c>
      <c r="BM18">
        <f>AVERAGE(S_plus!BT$2:'S_plus'!BT18)</f>
        <v>106.03702318088236</v>
      </c>
      <c r="BN18">
        <f>AVERAGE(S_plus!BU$2:'S_plus'!BU18)</f>
        <v>102.04317722197648</v>
      </c>
      <c r="BO18">
        <f>AVERAGE(S_plus!BV$2:'S_plus'!BV18)</f>
        <v>95.879681364511768</v>
      </c>
      <c r="BP18">
        <f>AVERAGE(S_plus!BW$2:'S_plus'!BW18)</f>
        <v>95.002718645752935</v>
      </c>
      <c r="BQ18">
        <f>AVERAGE(S_plus!BX$2:'S_plus'!BX18)</f>
        <v>98.69993200328237</v>
      </c>
      <c r="BR18">
        <f>AVERAGE(S_plus!BY$2:'S_plus'!BY18)</f>
        <v>100.63617401378235</v>
      </c>
      <c r="BS18">
        <f>AVERAGE(S_plus!BZ$2:'S_plus'!BZ18)</f>
        <v>94.058610308900001</v>
      </c>
      <c r="BT18">
        <f>AVERAGE(S_plus!CA$2:'S_plus'!CA18)</f>
        <v>100.67664576301176</v>
      </c>
      <c r="BU18">
        <f>AVERAGE(S_plus!CB$2:'S_plus'!CB18)</f>
        <v>100.03158072872353</v>
      </c>
      <c r="BV18">
        <f>AVERAGE(S_plus!CC$2:'S_plus'!CC18)</f>
        <v>99.26696795252353</v>
      </c>
      <c r="BW18">
        <f>AVERAGE(S_plus!CD$2:'S_plus'!CD18)</f>
        <v>97.66112549284118</v>
      </c>
      <c r="BX18">
        <f>AVERAGE(S_plus!CE$2:'S_plus'!CE18)</f>
        <v>99.448757730764697</v>
      </c>
      <c r="BY18">
        <f>AVERAGE(S_plus!CF$2:'S_plus'!CF18)</f>
        <v>97.442780880741168</v>
      </c>
      <c r="BZ18">
        <f>AVERAGE(S_plus!CG$2:'S_plus'!CG18)</f>
        <v>92.3695858629941</v>
      </c>
      <c r="CA18">
        <f>AVERAGE(S_plus!CH$2:'S_plus'!CH18)</f>
        <v>106.48374129941178</v>
      </c>
      <c r="CB18">
        <f>AVERAGE(S_plus!CI$2:'S_plus'!CI18)</f>
        <v>93.097074791494109</v>
      </c>
      <c r="CC18">
        <f>AVERAGE(S_plus!CJ$2:'S_plus'!CJ18)</f>
        <v>103.92401978927057</v>
      </c>
      <c r="CD18">
        <f>AVERAGE(S_plus!CK$2:'S_plus'!CK18)</f>
        <v>96.755114440052949</v>
      </c>
      <c r="CE18">
        <f>AVERAGE(S_plus!CL$2:'S_plus'!CL18)</f>
        <v>94.253935647188243</v>
      </c>
      <c r="CF18">
        <f>AVERAGE(S_plus!CM$2:'S_plus'!CM18)</f>
        <v>98.232404275264699</v>
      </c>
      <c r="CG18">
        <f>AVERAGE(S_plus!CN$2:'S_plus'!CN18)</f>
        <v>94.56030940795884</v>
      </c>
      <c r="CH18">
        <f>AVERAGE(S_plus!CO$2:'S_plus'!CO18)</f>
        <v>104.60978681029411</v>
      </c>
      <c r="CI18">
        <f>AVERAGE(S_plus!CP$2:'S_plus'!CP18)</f>
        <v>103.74885385664118</v>
      </c>
      <c r="CJ18">
        <f>AVERAGE(S_plus!CQ$2:'S_plus'!CQ18)</f>
        <v>103.96664044195884</v>
      </c>
      <c r="CK18">
        <f>AVERAGE(S_plus!CR$2:'S_plus'!CR18)</f>
        <v>100.66171208901176</v>
      </c>
      <c r="CL18">
        <f>AVERAGE(S_plus!CS$2:'S_plus'!CS18)</f>
        <v>105.39745198400001</v>
      </c>
      <c r="CM18">
        <f>AVERAGE(S_plus!CT$2:'S_plus'!CT18)</f>
        <v>103.55348362944704</v>
      </c>
      <c r="CN18">
        <f>AVERAGE(S_plus!CU$2:'S_plus'!CU18)</f>
        <v>101.30381487804118</v>
      </c>
      <c r="CO18">
        <f>AVERAGE(S_plus!CV$2:'S_plus'!CV18)</f>
        <v>105.19608336847058</v>
      </c>
      <c r="CP18">
        <f>AVERAGE(S_plus!CW$2:'S_plus'!CW18)</f>
        <v>102.11499190888824</v>
      </c>
      <c r="CQ18">
        <f>AVERAGE(S_plus!CX$2:'S_plus'!CX18)</f>
        <v>103.44084490332942</v>
      </c>
      <c r="CR18">
        <f>AVERAGE(S_plus!CY$2:'S_plus'!CY18)</f>
        <v>100.5362095939706</v>
      </c>
      <c r="CS18">
        <f>AVERAGE(S_plus!CZ$2:'S_plus'!CZ18)</f>
        <v>102.2258967607</v>
      </c>
      <c r="CT18">
        <f>AVERAGE(S_plus!DA$2:'S_plus'!DA18)</f>
        <v>97.623496325882357</v>
      </c>
      <c r="CU18">
        <f>AVERAGE(S_plus!DB$2:'S_plus'!DB18)</f>
        <v>103.13193542529999</v>
      </c>
      <c r="CV18">
        <f>AVERAGE(S_plus!DC$2:'S_plus'!DC18)</f>
        <v>98.762773376829387</v>
      </c>
      <c r="CW18">
        <f>AVERAGE(S_plus!DD$2:'S_plus'!DD18)</f>
        <v>100.03297807609411</v>
      </c>
      <c r="CX18">
        <f>AVERAGE(S_plus!DE$2:'S_plus'!DE18)</f>
        <v>102.40395996301174</v>
      </c>
      <c r="CY18">
        <f>AVERAGE(S_plus!DF$2:'S_plus'!DF18)</f>
        <v>101.06886570088824</v>
      </c>
      <c r="CZ18">
        <f>AVERAGE(S_plus!DG$2:'S_plus'!DG18)</f>
        <v>98.121169102688214</v>
      </c>
      <c r="DA18">
        <f>AVERAGE(S_plus!DH$2:'S_plus'!DH18)</f>
        <v>100.50336448012942</v>
      </c>
    </row>
    <row r="19" spans="5:105" x14ac:dyDescent="0.25">
      <c r="E19">
        <f>E18+Asian!dt</f>
        <v>0.17</v>
      </c>
      <c r="F19">
        <f>AVERAGE(S_plus!M$2:'S_plus'!M19)</f>
        <v>91.969970474988884</v>
      </c>
      <c r="G19">
        <f>AVERAGE(S_plus!N$2:'S_plus'!N19)</f>
        <v>93.664559869822213</v>
      </c>
      <c r="H19">
        <f>AVERAGE(S_plus!O$2:'S_plus'!O19)</f>
        <v>111.07351854911111</v>
      </c>
      <c r="I19">
        <f>AVERAGE(S_plus!P$2:'S_plus'!P19)</f>
        <v>99.891727334355551</v>
      </c>
      <c r="J19">
        <f>AVERAGE(S_plus!Q$2:'S_plus'!Q19)</f>
        <v>101.8128866732889</v>
      </c>
      <c r="K19">
        <f>AVERAGE(S_plus!R$2:'S_plus'!R19)</f>
        <v>100.51912962539444</v>
      </c>
      <c r="L19">
        <f>AVERAGE(S_plus!S$2:'S_plus'!S19)</f>
        <v>107.85313858216665</v>
      </c>
      <c r="M19">
        <f>AVERAGE(S_plus!T$2:'S_plus'!T19)</f>
        <v>96.426827714561099</v>
      </c>
      <c r="N19">
        <f>AVERAGE(S_plus!U$2:'S_plus'!U19)</f>
        <v>109.40890169933334</v>
      </c>
      <c r="O19">
        <f>AVERAGE(S_plus!V$2:'S_plus'!V19)</f>
        <v>96.717445069566679</v>
      </c>
      <c r="P19">
        <f>AVERAGE(S_plus!W$2:'S_plus'!W19)</f>
        <v>101.12364456892222</v>
      </c>
      <c r="Q19">
        <f>AVERAGE(S_plus!X$2:'S_plus'!X19)</f>
        <v>100.60064841705555</v>
      </c>
      <c r="R19">
        <f>AVERAGE(S_plus!Y$2:'S_plus'!Y19)</f>
        <v>99.201528643200007</v>
      </c>
      <c r="S19">
        <f>AVERAGE(S_plus!Z$2:'S_plus'!Z19)</f>
        <v>98.844297504088871</v>
      </c>
      <c r="T19">
        <f>AVERAGE(S_plus!AA$2:'S_plus'!AA19)</f>
        <v>104.70522856900557</v>
      </c>
      <c r="U19">
        <f>AVERAGE(S_plus!AB$2:'S_plus'!AB19)</f>
        <v>94.228679913261089</v>
      </c>
      <c r="V19">
        <f>AVERAGE(S_plus!AC$2:'S_plus'!AC19)</f>
        <v>92.828269431144435</v>
      </c>
      <c r="W19">
        <f>AVERAGE(S_plus!AD$2:'S_plus'!AD19)</f>
        <v>94.892001521311116</v>
      </c>
      <c r="X19">
        <f>AVERAGE(S_plus!AE$2:'S_plus'!AE19)</f>
        <v>102.83761794813888</v>
      </c>
      <c r="Y19">
        <f>AVERAGE(S_plus!AF$2:'S_plus'!AF19)</f>
        <v>93.207962505277777</v>
      </c>
      <c r="Z19">
        <f>AVERAGE(S_plus!AG$2:'S_plus'!AG19)</f>
        <v>103.27530543821111</v>
      </c>
      <c r="AA19">
        <f>AVERAGE(S_plus!AH$2:'S_plus'!AH19)</f>
        <v>97.929370049183333</v>
      </c>
      <c r="AB19">
        <f>AVERAGE(S_plus!AI$2:'S_plus'!AI19)</f>
        <v>98.870708365016654</v>
      </c>
      <c r="AC19">
        <f>AVERAGE(S_plus!AJ$2:'S_plus'!AJ19)</f>
        <v>100.70285044622221</v>
      </c>
      <c r="AD19">
        <f>AVERAGE(S_plus!AK$2:'S_plus'!AK19)</f>
        <v>107.51581026316667</v>
      </c>
      <c r="AE19">
        <f>AVERAGE(S_plus!AL$2:'S_plus'!AL19)</f>
        <v>101.33904330484999</v>
      </c>
      <c r="AF19">
        <f>AVERAGE(S_plus!AM$2:'S_plus'!AM19)</f>
        <v>97.942416211311112</v>
      </c>
      <c r="AG19">
        <f>AVERAGE(S_plus!AN$2:'S_plus'!AN19)</f>
        <v>107.31514075261111</v>
      </c>
      <c r="AH19">
        <f>AVERAGE(S_plus!AO$2:'S_plus'!AO19)</f>
        <v>106.69363346411666</v>
      </c>
      <c r="AI19">
        <f>AVERAGE(S_plus!AP$2:'S_plus'!AP19)</f>
        <v>98.149106740394444</v>
      </c>
      <c r="AJ19">
        <f>AVERAGE(S_plus!AQ$2:'S_plus'!AQ19)</f>
        <v>98.303426645011086</v>
      </c>
      <c r="AK19">
        <f>AVERAGE(S_plus!AR$2:'S_plus'!AR19)</f>
        <v>100.33039755024998</v>
      </c>
      <c r="AL19">
        <f>AVERAGE(S_plus!AS$2:'S_plus'!AS19)</f>
        <v>104.77532031979446</v>
      </c>
      <c r="AM19">
        <f>AVERAGE(S_plus!AT$2:'S_plus'!AT19)</f>
        <v>94.40350678236112</v>
      </c>
      <c r="AN19">
        <f>AVERAGE(S_plus!AU$2:'S_plus'!AU19)</f>
        <v>97.912539608305551</v>
      </c>
      <c r="AO19">
        <f>AVERAGE(S_plus!AV$2:'S_plus'!AV19)</f>
        <v>97.98128118446111</v>
      </c>
      <c r="AP19">
        <f>AVERAGE(S_plus!AW$2:'S_plus'!AW19)</f>
        <v>106.09711835072221</v>
      </c>
      <c r="AQ19">
        <f>AVERAGE(S_plus!AX$2:'S_plus'!AX19)</f>
        <v>99.0091998985</v>
      </c>
      <c r="AR19">
        <f>AVERAGE(S_plus!AY$2:'S_plus'!AY19)</f>
        <v>107.2608471857889</v>
      </c>
      <c r="AS19">
        <f>AVERAGE(S_plus!AZ$2:'S_plus'!AZ19)</f>
        <v>105.68690433027776</v>
      </c>
      <c r="AT19">
        <f>AVERAGE(S_plus!BA$2:'S_plus'!BA19)</f>
        <v>105.86258544088889</v>
      </c>
      <c r="AU19">
        <f>AVERAGE(S_plus!BB$2:'S_plus'!BB19)</f>
        <v>104.49262413778889</v>
      </c>
      <c r="AV19">
        <f>AVERAGE(S_plus!BC$2:'S_plus'!BC19)</f>
        <v>105.19989685239999</v>
      </c>
      <c r="AW19">
        <f>AVERAGE(S_plus!BD$2:'S_plus'!BD19)</f>
        <v>97.825793271205555</v>
      </c>
      <c r="AX19">
        <f>AVERAGE(S_plus!BE$2:'S_plus'!BE19)</f>
        <v>89.488079880694443</v>
      </c>
      <c r="AY19">
        <f>AVERAGE(S_plus!BF$2:'S_plus'!BF19)</f>
        <v>96.948119264594453</v>
      </c>
      <c r="AZ19">
        <f>AVERAGE(S_plus!BG$2:'S_plus'!BG19)</f>
        <v>93.684390518783317</v>
      </c>
      <c r="BA19">
        <f>AVERAGE(S_plus!BH$2:'S_plus'!BH19)</f>
        <v>99.432156458077785</v>
      </c>
      <c r="BB19">
        <f>AVERAGE(S_plus!BI$2:'S_plus'!BI19)</f>
        <v>104.27224870672222</v>
      </c>
      <c r="BC19">
        <f>AVERAGE(S_plus!BJ$2:'S_plus'!BJ19)</f>
        <v>105.94578632166667</v>
      </c>
      <c r="BD19">
        <f>AVERAGE(S_plus!BK$2:'S_plus'!BK19)</f>
        <v>98.814627488699998</v>
      </c>
      <c r="BE19">
        <f>AVERAGE(S_plus!BL$2:'S_plus'!BL19)</f>
        <v>96.544514586077767</v>
      </c>
      <c r="BF19">
        <f>AVERAGE(S_plus!BM$2:'S_plus'!BM19)</f>
        <v>94.280994867083351</v>
      </c>
      <c r="BG19">
        <f>AVERAGE(S_plus!BN$2:'S_plus'!BN19)</f>
        <v>101.49955237948888</v>
      </c>
      <c r="BH19">
        <f>AVERAGE(S_plus!BO$2:'S_plus'!BO19)</f>
        <v>92.068631373322219</v>
      </c>
      <c r="BI19">
        <f>AVERAGE(S_plus!BP$2:'S_plus'!BP19)</f>
        <v>99.360762353799998</v>
      </c>
      <c r="BJ19">
        <f>AVERAGE(S_plus!BQ$2:'S_plus'!BQ19)</f>
        <v>96.991137478716666</v>
      </c>
      <c r="BK19">
        <f>AVERAGE(S_plus!BR$2:'S_plus'!BR19)</f>
        <v>98.788711382027785</v>
      </c>
      <c r="BL19">
        <f>AVERAGE(S_plus!BS$2:'S_plus'!BS19)</f>
        <v>103.05103656593887</v>
      </c>
      <c r="BM19">
        <f>AVERAGE(S_plus!BT$2:'S_plus'!BT19)</f>
        <v>106.27041764644446</v>
      </c>
      <c r="BN19">
        <f>AVERAGE(S_plus!BU$2:'S_plus'!BU19)</f>
        <v>102.39189303342224</v>
      </c>
      <c r="BO19">
        <f>AVERAGE(S_plus!BV$2:'S_plus'!BV19)</f>
        <v>95.973087218016673</v>
      </c>
      <c r="BP19">
        <f>AVERAGE(S_plus!BW$2:'S_plus'!BW19)</f>
        <v>94.803141581688877</v>
      </c>
      <c r="BQ19">
        <f>AVERAGE(S_plus!BX$2:'S_plus'!BX19)</f>
        <v>98.280094944333356</v>
      </c>
      <c r="BR19">
        <f>AVERAGE(S_plus!BY$2:'S_plus'!BY19)</f>
        <v>100.59397314565555</v>
      </c>
      <c r="BS19">
        <f>AVERAGE(S_plus!BZ$2:'S_plus'!BZ19)</f>
        <v>94.034839965472216</v>
      </c>
      <c r="BT19">
        <f>AVERAGE(S_plus!CA$2:'S_plus'!CA19)</f>
        <v>100.37682852286667</v>
      </c>
      <c r="BU19">
        <f>AVERAGE(S_plus!CB$2:'S_plus'!CB19)</f>
        <v>100.38942268329444</v>
      </c>
      <c r="BV19">
        <f>AVERAGE(S_plus!CC$2:'S_plus'!CC19)</f>
        <v>99.055544698905564</v>
      </c>
      <c r="BW19">
        <f>AVERAGE(S_plus!CD$2:'S_plus'!CD19)</f>
        <v>97.749633208577791</v>
      </c>
      <c r="BX19">
        <f>AVERAGE(S_plus!CE$2:'S_plus'!CE19)</f>
        <v>99.473198571105556</v>
      </c>
      <c r="BY19">
        <f>AVERAGE(S_plus!CF$2:'S_plus'!CF19)</f>
        <v>97.327334521183332</v>
      </c>
      <c r="BZ19">
        <f>AVERAGE(S_plus!CG$2:'S_plus'!CG19)</f>
        <v>92.129427109261101</v>
      </c>
      <c r="CA19">
        <f>AVERAGE(S_plus!CH$2:'S_plus'!CH19)</f>
        <v>106.80700695972223</v>
      </c>
      <c r="CB19">
        <f>AVERAGE(S_plus!CI$2:'S_plus'!CI19)</f>
        <v>92.955656681433325</v>
      </c>
      <c r="CC19">
        <f>AVERAGE(S_plus!CJ$2:'S_plus'!CJ19)</f>
        <v>103.8044620569222</v>
      </c>
      <c r="CD19">
        <f>AVERAGE(S_plus!CK$2:'S_plus'!CK19)</f>
        <v>96.455080492633343</v>
      </c>
      <c r="CE19">
        <f>AVERAGE(S_plus!CL$2:'S_plus'!CL19)</f>
        <v>94.307763741266683</v>
      </c>
      <c r="CF19">
        <f>AVERAGE(S_plus!CM$2:'S_plus'!CM19)</f>
        <v>98.178375758694443</v>
      </c>
      <c r="CG19">
        <f>AVERAGE(S_plus!CN$2:'S_plus'!CN19)</f>
        <v>94.629900667888904</v>
      </c>
      <c r="CH19">
        <f>AVERAGE(S_plus!CO$2:'S_plus'!CO19)</f>
        <v>104.41147922261111</v>
      </c>
      <c r="CI19">
        <f>AVERAGE(S_plus!CP$2:'S_plus'!CP19)</f>
        <v>103.98992060477222</v>
      </c>
      <c r="CJ19">
        <f>AVERAGE(S_plus!CQ$2:'S_plus'!CQ19)</f>
        <v>104.60665173718336</v>
      </c>
      <c r="CK19">
        <f>AVERAGE(S_plus!CR$2:'S_plus'!CR19)</f>
        <v>100.79751674351111</v>
      </c>
      <c r="CL19">
        <f>AVERAGE(S_plus!CS$2:'S_plus'!CS19)</f>
        <v>105.83321598044446</v>
      </c>
      <c r="CM19">
        <f>AVERAGE(S_plus!CT$2:'S_plus'!CT19)</f>
        <v>103.91669391214444</v>
      </c>
      <c r="CN19">
        <f>AVERAGE(S_plus!CU$2:'S_plus'!CU19)</f>
        <v>101.19408119017221</v>
      </c>
      <c r="CO19">
        <f>AVERAGE(S_plus!CV$2:'S_plus'!CV19)</f>
        <v>105.47147272805556</v>
      </c>
      <c r="CP19">
        <f>AVERAGE(S_plus!CW$2:'S_plus'!CW19)</f>
        <v>102.5050437688389</v>
      </c>
      <c r="CQ19">
        <f>AVERAGE(S_plus!CX$2:'S_plus'!CX19)</f>
        <v>103.78038336931111</v>
      </c>
      <c r="CR19">
        <f>AVERAGE(S_plus!CY$2:'S_plus'!CY19)</f>
        <v>100.63369318219446</v>
      </c>
      <c r="CS19">
        <f>AVERAGE(S_plus!CZ$2:'S_plus'!CZ19)</f>
        <v>102.12833697343888</v>
      </c>
      <c r="CT19">
        <f>AVERAGE(S_plus!DA$2:'S_plus'!DA19)</f>
        <v>97.997544643000012</v>
      </c>
      <c r="CU19">
        <f>AVERAGE(S_plus!DB$2:'S_plus'!DB19)</f>
        <v>102.98840244083888</v>
      </c>
      <c r="CV19">
        <f>AVERAGE(S_plus!DC$2:'S_plus'!DC19)</f>
        <v>98.970804175227769</v>
      </c>
      <c r="CW19">
        <f>AVERAGE(S_plus!DD$2:'S_plus'!DD19)</f>
        <v>99.651784387277772</v>
      </c>
      <c r="CX19">
        <f>AVERAGE(S_plus!DE$2:'S_plus'!DE19)</f>
        <v>102.67867669762221</v>
      </c>
      <c r="CY19">
        <f>AVERAGE(S_plus!DF$2:'S_plus'!DF19)</f>
        <v>100.88601084808334</v>
      </c>
      <c r="CZ19">
        <f>AVERAGE(S_plus!DG$2:'S_plus'!DG19)</f>
        <v>97.949803407472203</v>
      </c>
      <c r="DA19">
        <f>AVERAGE(S_plus!DH$2:'S_plus'!DH19)</f>
        <v>100.05528992850002</v>
      </c>
    </row>
    <row r="20" spans="5:105" x14ac:dyDescent="0.25">
      <c r="E20">
        <f>E19+Asian!dt</f>
        <v>0.18000000000000002</v>
      </c>
      <c r="F20">
        <f>AVERAGE(S_plus!M$2:'S_plus'!M20)</f>
        <v>91.734722240484217</v>
      </c>
      <c r="G20">
        <f>AVERAGE(S_plus!N$2:'S_plus'!N20)</f>
        <v>93.528679743152637</v>
      </c>
      <c r="H20">
        <f>AVERAGE(S_plus!O$2:'S_plus'!O20)</f>
        <v>111.33360438294736</v>
      </c>
      <c r="I20">
        <f>AVERAGE(S_plus!P$2:'S_plus'!P20)</f>
        <v>99.899689354126309</v>
      </c>
      <c r="J20">
        <f>AVERAGE(S_plus!Q$2:'S_plus'!Q20)</f>
        <v>101.55666729038948</v>
      </c>
      <c r="K20">
        <f>AVERAGE(S_plus!R$2:'S_plus'!R20)</f>
        <v>100.54714262532106</v>
      </c>
      <c r="L20">
        <f>AVERAGE(S_plus!S$2:'S_plus'!S20)</f>
        <v>108.15472299747367</v>
      </c>
      <c r="M20">
        <f>AVERAGE(S_plus!T$2:'S_plus'!T20)</f>
        <v>95.808485746931566</v>
      </c>
      <c r="N20">
        <f>AVERAGE(S_plus!U$2:'S_plus'!U20)</f>
        <v>109.49104708442106</v>
      </c>
      <c r="O20">
        <f>AVERAGE(S_plus!V$2:'S_plus'!V20)</f>
        <v>96.714822446231594</v>
      </c>
      <c r="P20">
        <f>AVERAGE(S_plus!W$2:'S_plus'!W20)</f>
        <v>101.17455484729473</v>
      </c>
      <c r="Q20">
        <f>AVERAGE(S_plus!X$2:'S_plus'!X20)</f>
        <v>100.59511022747368</v>
      </c>
      <c r="R20">
        <f>AVERAGE(S_plus!Y$2:'S_plus'!Y20)</f>
        <v>98.865886809310538</v>
      </c>
      <c r="S20">
        <f>AVERAGE(S_plus!Z$2:'S_plus'!Z20)</f>
        <v>98.855221446799987</v>
      </c>
      <c r="T20">
        <f>AVERAGE(S_plus!AA$2:'S_plus'!AA20)</f>
        <v>104.89266064232108</v>
      </c>
      <c r="U20">
        <f>AVERAGE(S_plus!AB$2:'S_plus'!AB20)</f>
        <v>94.188357645247336</v>
      </c>
      <c r="V20">
        <f>AVERAGE(S_plus!AC$2:'S_plus'!AC20)</f>
        <v>92.76166712053157</v>
      </c>
      <c r="W20">
        <f>AVERAGE(S_plus!AD$2:'S_plus'!AD20)</f>
        <v>94.680683327921059</v>
      </c>
      <c r="X20">
        <f>AVERAGE(S_plus!AE$2:'S_plus'!AE20)</f>
        <v>103.18916082723683</v>
      </c>
      <c r="Y20">
        <f>AVERAGE(S_plus!AF$2:'S_plus'!AF20)</f>
        <v>93.136687449789477</v>
      </c>
      <c r="Z20">
        <f>AVERAGE(S_plus!AG$2:'S_plus'!AG20)</f>
        <v>103.59903863962104</v>
      </c>
      <c r="AA20">
        <f>AVERAGE(S_plus!AH$2:'S_plus'!AH20)</f>
        <v>97.95758516924738</v>
      </c>
      <c r="AB20">
        <f>AVERAGE(S_plus!AI$2:'S_plus'!AI20)</f>
        <v>98.50604337293683</v>
      </c>
      <c r="AC20">
        <f>AVERAGE(S_plus!AJ$2:'S_plus'!AJ20)</f>
        <v>100.73553559305262</v>
      </c>
      <c r="AD20">
        <f>AVERAGE(S_plus!AK$2:'S_plus'!AK20)</f>
        <v>108.01332340878949</v>
      </c>
      <c r="AE20">
        <f>AVERAGE(S_plus!AL$2:'S_plus'!AL20)</f>
        <v>102.00018002391052</v>
      </c>
      <c r="AF20">
        <f>AVERAGE(S_plus!AM$2:'S_plus'!AM20)</f>
        <v>97.478981286457881</v>
      </c>
      <c r="AG20">
        <f>AVERAGE(S_plus!AN$2:'S_plus'!AN20)</f>
        <v>107.69262013378948</v>
      </c>
      <c r="AH20">
        <f>AVERAGE(S_plus!AO$2:'S_plus'!AO20)</f>
        <v>106.49563168521577</v>
      </c>
      <c r="AI20">
        <f>AVERAGE(S_plus!AP$2:'S_plus'!AP20)</f>
        <v>98.03296825671579</v>
      </c>
      <c r="AJ20">
        <f>AVERAGE(S_plus!AQ$2:'S_plus'!AQ20)</f>
        <v>98.487819043326283</v>
      </c>
      <c r="AK20">
        <f>AVERAGE(S_plus!AR$2:'S_plus'!AR20)</f>
        <v>100.26420829707367</v>
      </c>
      <c r="AL20">
        <f>AVERAGE(S_plus!AS$2:'S_plus'!AS20)</f>
        <v>105.13097282301581</v>
      </c>
      <c r="AM20">
        <f>AVERAGE(S_plus!AT$2:'S_plus'!AT20)</f>
        <v>94.507897260136858</v>
      </c>
      <c r="AN20">
        <f>AVERAGE(S_plus!AU$2:'S_plus'!AU20)</f>
        <v>98.15144618592106</v>
      </c>
      <c r="AO20">
        <f>AVERAGE(S_plus!AV$2:'S_plus'!AV20)</f>
        <v>97.953058535542098</v>
      </c>
      <c r="AP20">
        <f>AVERAGE(S_plus!AW$2:'S_plus'!AW20)</f>
        <v>106.53900341984209</v>
      </c>
      <c r="AQ20">
        <f>AVERAGE(S_plus!AX$2:'S_plus'!AX20)</f>
        <v>98.856814979831583</v>
      </c>
      <c r="AR20">
        <f>AVERAGE(S_plus!AY$2:'S_plus'!AY20)</f>
        <v>106.94284663622106</v>
      </c>
      <c r="AS20">
        <f>AVERAGE(S_plus!AZ$2:'S_plus'!AZ20)</f>
        <v>105.81332868599999</v>
      </c>
      <c r="AT20">
        <f>AVERAGE(S_plus!BA$2:'S_plus'!BA20)</f>
        <v>105.97453688068421</v>
      </c>
      <c r="AU20">
        <f>AVERAGE(S_plus!BB$2:'S_plus'!BB20)</f>
        <v>104.92161939848421</v>
      </c>
      <c r="AV20">
        <f>AVERAGE(S_plus!BC$2:'S_plus'!BC20)</f>
        <v>105.8517860164842</v>
      </c>
      <c r="AW20">
        <f>AVERAGE(S_plus!BD$2:'S_plus'!BD20)</f>
        <v>97.964046119036851</v>
      </c>
      <c r="AX20">
        <f>AVERAGE(S_plus!BE$2:'S_plus'!BE20)</f>
        <v>89.328279717752636</v>
      </c>
      <c r="AY20">
        <f>AVERAGE(S_plus!BF$2:'S_plus'!BF20)</f>
        <v>96.986547017105266</v>
      </c>
      <c r="AZ20">
        <f>AVERAGE(S_plus!BG$2:'S_plus'!BG20)</f>
        <v>93.705728137942089</v>
      </c>
      <c r="BA20">
        <f>AVERAGE(S_plus!BH$2:'S_plus'!BH20)</f>
        <v>99.502323750231582</v>
      </c>
      <c r="BB20">
        <f>AVERAGE(S_plus!BI$2:'S_plus'!BI20)</f>
        <v>104.78299099236843</v>
      </c>
      <c r="BC20">
        <f>AVERAGE(S_plus!BJ$2:'S_plus'!BJ20)</f>
        <v>106.14502026568421</v>
      </c>
      <c r="BD20">
        <f>AVERAGE(S_plus!BK$2:'S_plus'!BK20)</f>
        <v>98.539606576768421</v>
      </c>
      <c r="BE20">
        <f>AVERAGE(S_plus!BL$2:'S_plus'!BL20)</f>
        <v>96.144124299947364</v>
      </c>
      <c r="BF20">
        <f>AVERAGE(S_plus!BM$2:'S_plus'!BM20)</f>
        <v>94.10737012689475</v>
      </c>
      <c r="BG20">
        <f>AVERAGE(S_plus!BN$2:'S_plus'!BN20)</f>
        <v>101.47784287267368</v>
      </c>
      <c r="BH20">
        <f>AVERAGE(S_plus!BO$2:'S_plus'!BO20)</f>
        <v>91.499285310557894</v>
      </c>
      <c r="BI20">
        <f>AVERAGE(S_plus!BP$2:'S_plus'!BP20)</f>
        <v>99.155857472799994</v>
      </c>
      <c r="BJ20">
        <f>AVERAGE(S_plus!BQ$2:'S_plus'!BQ20)</f>
        <v>96.711813233715802</v>
      </c>
      <c r="BK20">
        <f>AVERAGE(S_plus!BR$2:'S_plus'!BR20)</f>
        <v>98.886459301868442</v>
      </c>
      <c r="BL20">
        <f>AVERAGE(S_plus!BS$2:'S_plus'!BS20)</f>
        <v>103.32714407220524</v>
      </c>
      <c r="BM20">
        <f>AVERAGE(S_plus!BT$2:'S_plus'!BT20)</f>
        <v>106.49114005157895</v>
      </c>
      <c r="BN20">
        <f>AVERAGE(S_plus!BU$2:'S_plus'!BU20)</f>
        <v>102.62517371018949</v>
      </c>
      <c r="BO20">
        <f>AVERAGE(S_plus!BV$2:'S_plus'!BV20)</f>
        <v>96.170802493405262</v>
      </c>
      <c r="BP20">
        <f>AVERAGE(S_plus!BW$2:'S_plus'!BW20)</f>
        <v>94.719779263757886</v>
      </c>
      <c r="BQ20">
        <f>AVERAGE(S_plus!BX$2:'S_plus'!BX20)</f>
        <v>97.744611603557914</v>
      </c>
      <c r="BR20">
        <f>AVERAGE(S_plus!BY$2:'S_plus'!BY20)</f>
        <v>100.60735240904211</v>
      </c>
      <c r="BS20">
        <f>AVERAGE(S_plus!BZ$2:'S_plus'!BZ20)</f>
        <v>94.058229115826308</v>
      </c>
      <c r="BT20">
        <f>AVERAGE(S_plus!CA$2:'S_plus'!CA20)</f>
        <v>100.08834287842105</v>
      </c>
      <c r="BU20">
        <f>AVERAGE(S_plus!CB$2:'S_plus'!CB20)</f>
        <v>100.80643564454211</v>
      </c>
      <c r="BV20">
        <f>AVERAGE(S_plus!CC$2:'S_plus'!CC20)</f>
        <v>98.727640259436853</v>
      </c>
      <c r="BW20">
        <f>AVERAGE(S_plus!CD$2:'S_plus'!CD20)</f>
        <v>97.940687318705272</v>
      </c>
      <c r="BX20">
        <f>AVERAGE(S_plus!CE$2:'S_plus'!CE20)</f>
        <v>99.855042125310518</v>
      </c>
      <c r="BY20">
        <f>AVERAGE(S_plus!CF$2:'S_plus'!CF20)</f>
        <v>97.140110595131574</v>
      </c>
      <c r="BZ20">
        <f>AVERAGE(S_plus!CG$2:'S_plus'!CG20)</f>
        <v>91.976176765805249</v>
      </c>
      <c r="CA20">
        <f>AVERAGE(S_plus!CH$2:'S_plus'!CH20)</f>
        <v>107.31475094394737</v>
      </c>
      <c r="CB20">
        <f>AVERAGE(S_plus!CI$2:'S_plus'!CI20)</f>
        <v>92.784870712278945</v>
      </c>
      <c r="CC20">
        <f>AVERAGE(S_plus!CJ$2:'S_plus'!CJ20)</f>
        <v>103.66952514045262</v>
      </c>
      <c r="CD20">
        <f>AVERAGE(S_plus!CK$2:'S_plus'!CK20)</f>
        <v>96.228522916410526</v>
      </c>
      <c r="CE20">
        <f>AVERAGE(S_plus!CL$2:'S_plus'!CL20)</f>
        <v>94.278413282436858</v>
      </c>
      <c r="CF20">
        <f>AVERAGE(S_plus!CM$2:'S_plus'!CM20)</f>
        <v>98.245107059357892</v>
      </c>
      <c r="CG20">
        <f>AVERAGE(S_plus!CN$2:'S_plus'!CN20)</f>
        <v>94.745475873968445</v>
      </c>
      <c r="CH20">
        <f>AVERAGE(S_plus!CO$2:'S_plus'!CO20)</f>
        <v>104.28871917231578</v>
      </c>
      <c r="CI20">
        <f>AVERAGE(S_plus!CP$2:'S_plus'!CP20)</f>
        <v>104.11028396883684</v>
      </c>
      <c r="CJ20">
        <f>AVERAGE(S_plus!CQ$2:'S_plus'!CQ20)</f>
        <v>105.02849629227897</v>
      </c>
      <c r="CK20">
        <f>AVERAGE(S_plus!CR$2:'S_plus'!CR20)</f>
        <v>100.91160838574737</v>
      </c>
      <c r="CL20">
        <f>AVERAGE(S_plus!CS$2:'S_plus'!CS20)</f>
        <v>106.12992027000001</v>
      </c>
      <c r="CM20">
        <f>AVERAGE(S_plus!CT$2:'S_plus'!CT20)</f>
        <v>104.08567546997894</v>
      </c>
      <c r="CN20">
        <f>AVERAGE(S_plus!CU$2:'S_plus'!CU20)</f>
        <v>101.20373606626841</v>
      </c>
      <c r="CO20">
        <f>AVERAGE(S_plus!CV$2:'S_plus'!CV20)</f>
        <v>105.65356361536843</v>
      </c>
      <c r="CP20">
        <f>AVERAGE(S_plus!CW$2:'S_plus'!CW20)</f>
        <v>102.9304976130579</v>
      </c>
      <c r="CQ20">
        <f>AVERAGE(S_plus!CX$2:'S_plus'!CX20)</f>
        <v>104.15282160666315</v>
      </c>
      <c r="CR20">
        <f>AVERAGE(S_plus!CY$2:'S_plus'!CY20)</f>
        <v>100.71275375202633</v>
      </c>
      <c r="CS20">
        <f>AVERAGE(S_plus!CZ$2:'S_plus'!CZ20)</f>
        <v>102.01271591658947</v>
      </c>
      <c r="CT20">
        <f>AVERAGE(S_plus!DA$2:'S_plus'!DA20)</f>
        <v>98.528754967105272</v>
      </c>
      <c r="CU20">
        <f>AVERAGE(S_plus!DB$2:'S_plus'!DB20)</f>
        <v>102.80665658715262</v>
      </c>
      <c r="CV20">
        <f>AVERAGE(S_plus!DC$2:'S_plus'!DC20)</f>
        <v>99.306341809742094</v>
      </c>
      <c r="CW20">
        <f>AVERAGE(S_plus!DD$2:'S_plus'!DD20)</f>
        <v>99.249794656847357</v>
      </c>
      <c r="CX20">
        <f>AVERAGE(S_plus!DE$2:'S_plus'!DE20)</f>
        <v>102.87925540795788</v>
      </c>
      <c r="CY20">
        <f>AVERAGE(S_plus!DF$2:'S_plus'!DF20)</f>
        <v>100.83299506960002</v>
      </c>
      <c r="CZ20">
        <f>AVERAGE(S_plus!DG$2:'S_plus'!DG20)</f>
        <v>97.729579470494727</v>
      </c>
      <c r="DA20">
        <f>AVERAGE(S_plus!DH$2:'S_plus'!DH20)</f>
        <v>99.790086153084218</v>
      </c>
    </row>
    <row r="21" spans="5:105" x14ac:dyDescent="0.25">
      <c r="E21">
        <f>E20+Asian!dt</f>
        <v>0.19000000000000003</v>
      </c>
      <c r="F21">
        <f>AVERAGE(S_plus!M$2:'S_plus'!M21)</f>
        <v>91.365217785150008</v>
      </c>
      <c r="G21">
        <f>AVERAGE(S_plus!N$2:'S_plus'!N21)</f>
        <v>93.40461486768001</v>
      </c>
      <c r="H21">
        <f>AVERAGE(S_plus!O$2:'S_plus'!O21)</f>
        <v>111.55629119539999</v>
      </c>
      <c r="I21">
        <f>AVERAGE(S_plus!P$2:'S_plus'!P21)</f>
        <v>99.851101471174985</v>
      </c>
      <c r="J21">
        <f>AVERAGE(S_plus!Q$2:'S_plus'!Q21)</f>
        <v>101.25482430516</v>
      </c>
      <c r="K21">
        <f>AVERAGE(S_plus!R$2:'S_plus'!R21)</f>
        <v>100.54561116060501</v>
      </c>
      <c r="L21">
        <f>AVERAGE(S_plus!S$2:'S_plus'!S21)</f>
        <v>108.37956409039998</v>
      </c>
      <c r="M21">
        <f>AVERAGE(S_plus!T$2:'S_plus'!T21)</f>
        <v>95.234002626174998</v>
      </c>
      <c r="N21">
        <f>AVERAGE(S_plus!U$2:'S_plus'!U21)</f>
        <v>109.4852640073</v>
      </c>
      <c r="O21">
        <f>AVERAGE(S_plus!V$2:'S_plus'!V21)</f>
        <v>96.717224050810017</v>
      </c>
      <c r="P21">
        <f>AVERAGE(S_plus!W$2:'S_plus'!W21)</f>
        <v>101.11791698323</v>
      </c>
      <c r="Q21">
        <f>AVERAGE(S_plus!X$2:'S_plus'!X21)</f>
        <v>100.723833782</v>
      </c>
      <c r="R21">
        <f>AVERAGE(S_plus!Y$2:'S_plus'!Y21)</f>
        <v>98.570501062640005</v>
      </c>
      <c r="S21">
        <f>AVERAGE(S_plus!Z$2:'S_plus'!Z21)</f>
        <v>98.840258065014979</v>
      </c>
      <c r="T21">
        <f>AVERAGE(S_plus!AA$2:'S_plus'!AA21)</f>
        <v>105.09379321580502</v>
      </c>
      <c r="U21">
        <f>AVERAGE(S_plus!AB$2:'S_plus'!AB21)</f>
        <v>94.127047960519974</v>
      </c>
      <c r="V21">
        <f>AVERAGE(S_plus!AC$2:'S_plus'!AC21)</f>
        <v>92.865448756339987</v>
      </c>
      <c r="W21">
        <f>AVERAGE(S_plus!AD$2:'S_plus'!AD21)</f>
        <v>94.602263998345009</v>
      </c>
      <c r="X21">
        <f>AVERAGE(S_plus!AE$2:'S_plus'!AE21)</f>
        <v>103.71110227782499</v>
      </c>
      <c r="Y21">
        <f>AVERAGE(S_plus!AF$2:'S_plus'!AF21)</f>
        <v>93.021885449815002</v>
      </c>
      <c r="Z21">
        <f>AVERAGE(S_plus!AG$2:'S_plus'!AG21)</f>
        <v>103.82994175714001</v>
      </c>
      <c r="AA21">
        <f>AVERAGE(S_plus!AH$2:'S_plus'!AH21)</f>
        <v>98.001771489540005</v>
      </c>
      <c r="AB21">
        <f>AVERAGE(S_plus!AI$2:'S_plus'!AI21)</f>
        <v>98.108224885094984</v>
      </c>
      <c r="AC21">
        <f>AVERAGE(S_plus!AJ$2:'S_plus'!AJ21)</f>
        <v>100.72460085569999</v>
      </c>
      <c r="AD21">
        <f>AVERAGE(S_plus!AK$2:'S_plus'!AK21)</f>
        <v>108.4265611662</v>
      </c>
      <c r="AE21">
        <f>AVERAGE(S_plus!AL$2:'S_plus'!AL21)</f>
        <v>102.56365168221501</v>
      </c>
      <c r="AF21">
        <f>AVERAGE(S_plus!AM$2:'S_plus'!AM21)</f>
        <v>96.925052349064998</v>
      </c>
      <c r="AG21">
        <f>AVERAGE(S_plus!AN$2:'S_plus'!AN21)</f>
        <v>108.26817440375001</v>
      </c>
      <c r="AH21">
        <f>AVERAGE(S_plus!AO$2:'S_plus'!AO21)</f>
        <v>106.379194846655</v>
      </c>
      <c r="AI21">
        <f>AVERAGE(S_plus!AP$2:'S_plus'!AP21)</f>
        <v>98.007873996689995</v>
      </c>
      <c r="AJ21">
        <f>AVERAGE(S_plus!AQ$2:'S_plus'!AQ21)</f>
        <v>98.624446606559971</v>
      </c>
      <c r="AK21">
        <f>AVERAGE(S_plus!AR$2:'S_plus'!AR21)</f>
        <v>100.30176445386999</v>
      </c>
      <c r="AL21">
        <f>AVERAGE(S_plus!AS$2:'S_plus'!AS21)</f>
        <v>105.75395636996502</v>
      </c>
      <c r="AM21">
        <f>AVERAGE(S_plus!AT$2:'S_plus'!AT21)</f>
        <v>94.575490221120006</v>
      </c>
      <c r="AN21">
        <f>AVERAGE(S_plus!AU$2:'S_plus'!AU21)</f>
        <v>98.228901470229999</v>
      </c>
      <c r="AO21">
        <f>AVERAGE(S_plus!AV$2:'S_plus'!AV21)</f>
        <v>97.962476974824995</v>
      </c>
      <c r="AP21">
        <f>AVERAGE(S_plus!AW$2:'S_plus'!AW21)</f>
        <v>107.07720486539999</v>
      </c>
      <c r="AQ21">
        <f>AVERAGE(S_plus!AX$2:'S_plus'!AX21)</f>
        <v>98.811099955499998</v>
      </c>
      <c r="AR21">
        <f>AVERAGE(S_plus!AY$2:'S_plus'!AY21)</f>
        <v>106.67107105356001</v>
      </c>
      <c r="AS21">
        <f>AVERAGE(S_plus!AZ$2:'S_plus'!AZ21)</f>
        <v>106.21232973584999</v>
      </c>
      <c r="AT21">
        <f>AVERAGE(S_plus!BA$2:'S_plus'!BA21)</f>
        <v>106.04959890719999</v>
      </c>
      <c r="AU21">
        <f>AVERAGE(S_plus!BB$2:'S_plus'!BB21)</f>
        <v>105.37123410586</v>
      </c>
      <c r="AV21">
        <f>AVERAGE(S_plus!BC$2:'S_plus'!BC21)</f>
        <v>106.40552473640999</v>
      </c>
      <c r="AW21">
        <f>AVERAGE(S_plus!BD$2:'S_plus'!BD21)</f>
        <v>98.047926694870014</v>
      </c>
      <c r="AX21">
        <f>AVERAGE(S_plus!BE$2:'S_plus'!BE21)</f>
        <v>89.140748792834998</v>
      </c>
      <c r="AY21">
        <f>AVERAGE(S_plus!BF$2:'S_plus'!BF21)</f>
        <v>97.021290466960011</v>
      </c>
      <c r="AZ21">
        <f>AVERAGE(S_plus!BG$2:'S_plus'!BG21)</f>
        <v>93.605715067854973</v>
      </c>
      <c r="BA21">
        <f>AVERAGE(S_plus!BH$2:'S_plus'!BH21)</f>
        <v>99.56034957172001</v>
      </c>
      <c r="BB21">
        <f>AVERAGE(S_plus!BI$2:'S_plus'!BI21)</f>
        <v>105.15727810210001</v>
      </c>
      <c r="BC21">
        <f>AVERAGE(S_plus!BJ$2:'S_plus'!BJ21)</f>
        <v>106.26685083894999</v>
      </c>
      <c r="BD21">
        <f>AVERAGE(S_plus!BK$2:'S_plus'!BK21)</f>
        <v>98.306294184774998</v>
      </c>
      <c r="BE21">
        <f>AVERAGE(S_plus!BL$2:'S_plus'!BL21)</f>
        <v>95.782011205659984</v>
      </c>
      <c r="BF21">
        <f>AVERAGE(S_plus!BM$2:'S_plus'!BM21)</f>
        <v>93.983228653060024</v>
      </c>
      <c r="BG21">
        <f>AVERAGE(S_plus!BN$2:'S_plus'!BN21)</f>
        <v>101.40395649478998</v>
      </c>
      <c r="BH21">
        <f>AVERAGE(S_plus!BO$2:'S_plus'!BO21)</f>
        <v>91.04884237476</v>
      </c>
      <c r="BI21">
        <f>AVERAGE(S_plus!BP$2:'S_plus'!BP21)</f>
        <v>98.930270119455002</v>
      </c>
      <c r="BJ21">
        <f>AVERAGE(S_plus!BQ$2:'S_plus'!BQ21)</f>
        <v>96.261767580020006</v>
      </c>
      <c r="BK21">
        <f>AVERAGE(S_plus!BR$2:'S_plus'!BR21)</f>
        <v>99.074300499325005</v>
      </c>
      <c r="BL21">
        <f>AVERAGE(S_plus!BS$2:'S_plus'!BS21)</f>
        <v>103.62159077164499</v>
      </c>
      <c r="BM21">
        <f>AVERAGE(S_plus!BT$2:'S_plus'!BT21)</f>
        <v>106.7084383241</v>
      </c>
      <c r="BN21">
        <f>AVERAGE(S_plus!BU$2:'S_plus'!BU21)</f>
        <v>102.83050929198001</v>
      </c>
      <c r="BO21">
        <f>AVERAGE(S_plus!BV$2:'S_plus'!BV21)</f>
        <v>96.332588017044998</v>
      </c>
      <c r="BP21">
        <f>AVERAGE(S_plus!BW$2:'S_plus'!BW21)</f>
        <v>94.399019047929997</v>
      </c>
      <c r="BQ21">
        <f>AVERAGE(S_plus!BX$2:'S_plus'!BX21)</f>
        <v>97.196954891565014</v>
      </c>
      <c r="BR21">
        <f>AVERAGE(S_plus!BY$2:'S_plus'!BY21)</f>
        <v>100.62926807514</v>
      </c>
      <c r="BS21">
        <f>AVERAGE(S_plus!BZ$2:'S_plus'!BZ21)</f>
        <v>93.964522124360002</v>
      </c>
      <c r="BT21">
        <f>AVERAGE(S_plus!CA$2:'S_plus'!CA21)</f>
        <v>99.741120365099988</v>
      </c>
      <c r="BU21">
        <f>AVERAGE(S_plus!CB$2:'S_plus'!CB21)</f>
        <v>101.23256748241501</v>
      </c>
      <c r="BV21">
        <f>AVERAGE(S_plus!CC$2:'S_plus'!CC21)</f>
        <v>98.306795966885005</v>
      </c>
      <c r="BW21">
        <f>AVERAGE(S_plus!CD$2:'S_plus'!CD21)</f>
        <v>97.976250267500006</v>
      </c>
      <c r="BX21">
        <f>AVERAGE(S_plus!CE$2:'S_plus'!CE21)</f>
        <v>100.206144292395</v>
      </c>
      <c r="BY21">
        <f>AVERAGE(S_plus!CF$2:'S_plus'!CF21)</f>
        <v>96.982002526074993</v>
      </c>
      <c r="BZ21">
        <f>AVERAGE(S_plus!CG$2:'S_plus'!CG21)</f>
        <v>91.991789105689989</v>
      </c>
      <c r="CA21">
        <f>AVERAGE(S_plus!CH$2:'S_plus'!CH21)</f>
        <v>107.7939193145</v>
      </c>
      <c r="CB21">
        <f>AVERAGE(S_plus!CI$2:'S_plus'!CI21)</f>
        <v>92.648648094709998</v>
      </c>
      <c r="CC21">
        <f>AVERAGE(S_plus!CJ$2:'S_plus'!CJ21)</f>
        <v>103.45665076108499</v>
      </c>
      <c r="CD21">
        <f>AVERAGE(S_plus!CK$2:'S_plus'!CK21)</f>
        <v>95.983406141615006</v>
      </c>
      <c r="CE21">
        <f>AVERAGE(S_plus!CL$2:'S_plus'!CL21)</f>
        <v>94.101868545440013</v>
      </c>
      <c r="CF21">
        <f>AVERAGE(S_plus!CM$2:'S_plus'!CM21)</f>
        <v>98.43119109989</v>
      </c>
      <c r="CG21">
        <f>AVERAGE(S_plus!CN$2:'S_plus'!CN21)</f>
        <v>94.987681886345015</v>
      </c>
      <c r="CH21">
        <f>AVERAGE(S_plus!CO$2:'S_plus'!CO21)</f>
        <v>104.3940572456</v>
      </c>
      <c r="CI21">
        <f>AVERAGE(S_plus!CP$2:'S_plus'!CP21)</f>
        <v>104.18937334309501</v>
      </c>
      <c r="CJ21">
        <f>AVERAGE(S_plus!CQ$2:'S_plus'!CQ21)</f>
        <v>105.51608406341502</v>
      </c>
      <c r="CK21">
        <f>AVERAGE(S_plus!CR$2:'S_plus'!CR21)</f>
        <v>100.94813544631</v>
      </c>
      <c r="CL21">
        <f>AVERAGE(S_plus!CS$2:'S_plus'!CS21)</f>
        <v>106.22925186385001</v>
      </c>
      <c r="CM21">
        <f>AVERAGE(S_plus!CT$2:'S_plus'!CT21)</f>
        <v>104.18299468477998</v>
      </c>
      <c r="CN21">
        <f>AVERAGE(S_plus!CU$2:'S_plus'!CU21)</f>
        <v>101.12361231065999</v>
      </c>
      <c r="CO21">
        <f>AVERAGE(S_plus!CV$2:'S_plus'!CV21)</f>
        <v>105.56489226765</v>
      </c>
      <c r="CP21">
        <f>AVERAGE(S_plus!CW$2:'S_plus'!CW21)</f>
        <v>103.26623494950499</v>
      </c>
      <c r="CQ21">
        <f>AVERAGE(S_plus!CX$2:'S_plus'!CX21)</f>
        <v>104.41886827432999</v>
      </c>
      <c r="CR21">
        <f>AVERAGE(S_plus!CY$2:'S_plus'!CY21)</f>
        <v>100.72448332692501</v>
      </c>
      <c r="CS21">
        <f>AVERAGE(S_plus!CZ$2:'S_plus'!CZ21)</f>
        <v>102.02264141190999</v>
      </c>
      <c r="CT21">
        <f>AVERAGE(S_plus!DA$2:'S_plus'!DA21)</f>
        <v>98.884936881200005</v>
      </c>
      <c r="CU21">
        <f>AVERAGE(S_plus!DB$2:'S_plus'!DB21)</f>
        <v>102.60517574783498</v>
      </c>
      <c r="CV21">
        <f>AVERAGE(S_plus!DC$2:'S_plus'!DC21)</f>
        <v>99.603805188104985</v>
      </c>
      <c r="CW21">
        <f>AVERAGE(S_plus!DD$2:'S_plus'!DD21)</f>
        <v>98.829692220354985</v>
      </c>
      <c r="CX21">
        <f>AVERAGE(S_plus!DE$2:'S_plus'!DE21)</f>
        <v>103.10770074015997</v>
      </c>
      <c r="CY21">
        <f>AVERAGE(S_plus!DF$2:'S_plus'!DF21)</f>
        <v>100.58128910709002</v>
      </c>
      <c r="CZ21">
        <f>AVERAGE(S_plus!DG$2:'S_plus'!DG21)</f>
        <v>97.50590508581999</v>
      </c>
      <c r="DA21">
        <f>AVERAGE(S_plus!DH$2:'S_plus'!DH21)</f>
        <v>99.456178111915008</v>
      </c>
    </row>
    <row r="22" spans="5:105" x14ac:dyDescent="0.25">
      <c r="E22">
        <f>E21+Asian!dt</f>
        <v>0.20000000000000004</v>
      </c>
      <c r="F22">
        <f>AVERAGE(S_plus!M$2:'S_plus'!M22)</f>
        <v>91.071909264990481</v>
      </c>
      <c r="G22">
        <f>AVERAGE(S_plus!N$2:'S_plus'!N22)</f>
        <v>93.275543111800005</v>
      </c>
      <c r="H22">
        <f>AVERAGE(S_plus!O$2:'S_plus'!O22)</f>
        <v>111.54610209661902</v>
      </c>
      <c r="I22">
        <f>AVERAGE(S_plus!P$2:'S_plus'!P22)</f>
        <v>99.903585100928552</v>
      </c>
      <c r="J22">
        <f>AVERAGE(S_plus!Q$2:'S_plus'!Q22)</f>
        <v>100.81005948809049</v>
      </c>
      <c r="K22">
        <f>AVERAGE(S_plus!R$2:'S_plus'!R22)</f>
        <v>100.4466024036762</v>
      </c>
      <c r="L22">
        <f>AVERAGE(S_plus!S$2:'S_plus'!S22)</f>
        <v>108.85291421623808</v>
      </c>
      <c r="M22">
        <f>AVERAGE(S_plus!T$2:'S_plus'!T22)</f>
        <v>94.722591053528575</v>
      </c>
      <c r="N22">
        <f>AVERAGE(S_plus!U$2:'S_plus'!U22)</f>
        <v>109.50567950390476</v>
      </c>
      <c r="O22">
        <f>AVERAGE(S_plus!V$2:'S_plus'!V22)</f>
        <v>96.733476387219056</v>
      </c>
      <c r="P22">
        <f>AVERAGE(S_plus!W$2:'S_plus'!W22)</f>
        <v>101.15487344888572</v>
      </c>
      <c r="Q22">
        <f>AVERAGE(S_plus!X$2:'S_plus'!X22)</f>
        <v>100.96336672038095</v>
      </c>
      <c r="R22">
        <f>AVERAGE(S_plus!Y$2:'S_plus'!Y22)</f>
        <v>98.307343392395239</v>
      </c>
      <c r="S22">
        <f>AVERAGE(S_plus!Z$2:'S_plus'!Z22)</f>
        <v>98.920090174538089</v>
      </c>
      <c r="T22">
        <f>AVERAGE(S_plus!AA$2:'S_plus'!AA22)</f>
        <v>105.39672523819524</v>
      </c>
      <c r="U22">
        <f>AVERAGE(S_plus!AB$2:'S_plus'!AB22)</f>
        <v>94.08465462024283</v>
      </c>
      <c r="V22">
        <f>AVERAGE(S_plus!AC$2:'S_plus'!AC22)</f>
        <v>93.04068659548571</v>
      </c>
      <c r="W22">
        <f>AVERAGE(S_plus!AD$2:'S_plus'!AD22)</f>
        <v>94.660207043700012</v>
      </c>
      <c r="X22">
        <f>AVERAGE(S_plus!AE$2:'S_plus'!AE22)</f>
        <v>104.11564485349999</v>
      </c>
      <c r="Y22">
        <f>AVERAGE(S_plus!AF$2:'S_plus'!AF22)</f>
        <v>92.859964112957144</v>
      </c>
      <c r="Z22">
        <f>AVERAGE(S_plus!AG$2:'S_plus'!AG22)</f>
        <v>104.06181951870477</v>
      </c>
      <c r="AA22">
        <f>AVERAGE(S_plus!AH$2:'S_plus'!AH22)</f>
        <v>98.107009061561911</v>
      </c>
      <c r="AB22">
        <f>AVERAGE(S_plus!AI$2:'S_plus'!AI22)</f>
        <v>97.779241247719014</v>
      </c>
      <c r="AC22">
        <f>AVERAGE(S_plus!AJ$2:'S_plus'!AJ22)</f>
        <v>100.6210681922857</v>
      </c>
      <c r="AD22">
        <f>AVERAGE(S_plus!AK$2:'S_plus'!AK22)</f>
        <v>108.85649010138096</v>
      </c>
      <c r="AE22">
        <f>AVERAGE(S_plus!AL$2:'S_plus'!AL22)</f>
        <v>102.95518472134762</v>
      </c>
      <c r="AF22">
        <f>AVERAGE(S_plus!AM$2:'S_plus'!AM22)</f>
        <v>96.459634924933326</v>
      </c>
      <c r="AG22">
        <f>AVERAGE(S_plus!AN$2:'S_plus'!AN22)</f>
        <v>108.96605281380954</v>
      </c>
      <c r="AH22">
        <f>AVERAGE(S_plus!AO$2:'S_plus'!AO22)</f>
        <v>106.25165567529046</v>
      </c>
      <c r="AI22">
        <f>AVERAGE(S_plus!AP$2:'S_plus'!AP22)</f>
        <v>97.786272196347625</v>
      </c>
      <c r="AJ22">
        <f>AVERAGE(S_plus!AQ$2:'S_plus'!AQ22)</f>
        <v>98.740850124390448</v>
      </c>
      <c r="AK22">
        <f>AVERAGE(S_plus!AR$2:'S_plus'!AR22)</f>
        <v>100.28280781939046</v>
      </c>
      <c r="AL22">
        <f>AVERAGE(S_plus!AS$2:'S_plus'!AS22)</f>
        <v>106.37560597630002</v>
      </c>
      <c r="AM22">
        <f>AVERAGE(S_plus!AT$2:'S_plus'!AT22)</f>
        <v>94.51072621638572</v>
      </c>
      <c r="AN22">
        <f>AVERAGE(S_plus!AU$2:'S_plus'!AU22)</f>
        <v>98.364756395409515</v>
      </c>
      <c r="AO22">
        <f>AVERAGE(S_plus!AV$2:'S_plus'!AV22)</f>
        <v>98.008045512819038</v>
      </c>
      <c r="AP22">
        <f>AVERAGE(S_plus!AW$2:'S_plus'!AW22)</f>
        <v>107.43446133714285</v>
      </c>
      <c r="AQ22">
        <f>AVERAGE(S_plus!AX$2:'S_plus'!AX22)</f>
        <v>98.682401543900014</v>
      </c>
      <c r="AR22">
        <f>AVERAGE(S_plus!AY$2:'S_plus'!AY22)</f>
        <v>106.24164171600478</v>
      </c>
      <c r="AS22">
        <f>AVERAGE(S_plus!AZ$2:'S_plus'!AZ22)</f>
        <v>106.59652834485715</v>
      </c>
      <c r="AT22">
        <f>AVERAGE(S_plus!BA$2:'S_plus'!BA22)</f>
        <v>106.17184467538094</v>
      </c>
      <c r="AU22">
        <f>AVERAGE(S_plus!BB$2:'S_plus'!BB22)</f>
        <v>105.67189877639049</v>
      </c>
      <c r="AV22">
        <f>AVERAGE(S_plus!BC$2:'S_plus'!BC22)</f>
        <v>106.79827414562855</v>
      </c>
      <c r="AW22">
        <f>AVERAGE(S_plus!BD$2:'S_plus'!BD22)</f>
        <v>98.054813261561904</v>
      </c>
      <c r="AX22">
        <f>AVERAGE(S_plus!BE$2:'S_plus'!BE22)</f>
        <v>88.918489969109515</v>
      </c>
      <c r="AY22">
        <f>AVERAGE(S_plus!BF$2:'S_plus'!BF22)</f>
        <v>96.951942123757163</v>
      </c>
      <c r="AZ22">
        <f>AVERAGE(S_plus!BG$2:'S_plus'!BG22)</f>
        <v>93.479968585985688</v>
      </c>
      <c r="BA22">
        <f>AVERAGE(S_plus!BH$2:'S_plus'!BH22)</f>
        <v>99.628102589400015</v>
      </c>
      <c r="BB22">
        <f>AVERAGE(S_plus!BI$2:'S_plus'!BI22)</f>
        <v>105.58076497733335</v>
      </c>
      <c r="BC22">
        <f>AVERAGE(S_plus!BJ$2:'S_plus'!BJ22)</f>
        <v>106.31571242190475</v>
      </c>
      <c r="BD22">
        <f>AVERAGE(S_plus!BK$2:'S_plus'!BK22)</f>
        <v>98.078339578299989</v>
      </c>
      <c r="BE22">
        <f>AVERAGE(S_plus!BL$2:'S_plus'!BL22)</f>
        <v>95.490223369599988</v>
      </c>
      <c r="BF22">
        <f>AVERAGE(S_plus!BM$2:'S_plus'!BM22)</f>
        <v>93.991296160233361</v>
      </c>
      <c r="BG22">
        <f>AVERAGE(S_plus!BN$2:'S_plus'!BN22)</f>
        <v>101.44545915199048</v>
      </c>
      <c r="BH22">
        <f>AVERAGE(S_plus!BO$2:'S_plus'!BO22)</f>
        <v>90.68140402102857</v>
      </c>
      <c r="BI22">
        <f>AVERAGE(S_plus!BP$2:'S_plus'!BP22)</f>
        <v>98.716620009133337</v>
      </c>
      <c r="BJ22">
        <f>AVERAGE(S_plus!BQ$2:'S_plus'!BQ22)</f>
        <v>95.827041789480958</v>
      </c>
      <c r="BK22">
        <f>AVERAGE(S_plus!BR$2:'S_plus'!BR22)</f>
        <v>99.192978450547628</v>
      </c>
      <c r="BL22">
        <f>AVERAGE(S_plus!BS$2:'S_plus'!BS22)</f>
        <v>103.73646320456666</v>
      </c>
      <c r="BM22">
        <f>AVERAGE(S_plus!BT$2:'S_plus'!BT22)</f>
        <v>106.95839514380953</v>
      </c>
      <c r="BN22">
        <f>AVERAGE(S_plus!BU$2:'S_plus'!BU22)</f>
        <v>102.80789245640952</v>
      </c>
      <c r="BO22">
        <f>AVERAGE(S_plus!BV$2:'S_plus'!BV22)</f>
        <v>96.59170077742381</v>
      </c>
      <c r="BP22">
        <f>AVERAGE(S_plus!BW$2:'S_plus'!BW22)</f>
        <v>94.228507621847612</v>
      </c>
      <c r="BQ22">
        <f>AVERAGE(S_plus!BX$2:'S_plus'!BX22)</f>
        <v>96.556448380819063</v>
      </c>
      <c r="BR22">
        <f>AVERAGE(S_plus!BY$2:'S_plus'!BY22)</f>
        <v>100.71787467865715</v>
      </c>
      <c r="BS22">
        <f>AVERAGE(S_plus!BZ$2:'S_plus'!BZ22)</f>
        <v>93.818554621190472</v>
      </c>
      <c r="BT22">
        <f>AVERAGE(S_plus!CA$2:'S_plus'!CA22)</f>
        <v>99.576582722628572</v>
      </c>
      <c r="BU22">
        <f>AVERAGE(S_plus!CB$2:'S_plus'!CB22)</f>
        <v>101.61365323758571</v>
      </c>
      <c r="BV22">
        <f>AVERAGE(S_plus!CC$2:'S_plus'!CC22)</f>
        <v>97.972882056533351</v>
      </c>
      <c r="BW22">
        <f>AVERAGE(S_plus!CD$2:'S_plus'!CD22)</f>
        <v>98.005534499057163</v>
      </c>
      <c r="BX22">
        <f>AVERAGE(S_plus!CE$2:'S_plus'!CE22)</f>
        <v>100.57391646851904</v>
      </c>
      <c r="BY22">
        <f>AVERAGE(S_plus!CF$2:'S_plus'!CF22)</f>
        <v>96.755894814247611</v>
      </c>
      <c r="BZ22">
        <f>AVERAGE(S_plus!CG$2:'S_plus'!CG22)</f>
        <v>92.04430774573332</v>
      </c>
      <c r="CA22">
        <f>AVERAGE(S_plus!CH$2:'S_plus'!CH22)</f>
        <v>108.15599191866667</v>
      </c>
      <c r="CB22">
        <f>AVERAGE(S_plus!CI$2:'S_plus'!CI22)</f>
        <v>92.479935195190478</v>
      </c>
      <c r="CC22">
        <f>AVERAGE(S_plus!CJ$2:'S_plus'!CJ22)</f>
        <v>103.40403805246189</v>
      </c>
      <c r="CD22">
        <f>AVERAGE(S_plus!CK$2:'S_plus'!CK22)</f>
        <v>95.856278832847622</v>
      </c>
      <c r="CE22">
        <f>AVERAGE(S_plus!CL$2:'S_plus'!CL22)</f>
        <v>93.808981059128584</v>
      </c>
      <c r="CF22">
        <f>AVERAGE(S_plus!CM$2:'S_plus'!CM22)</f>
        <v>98.714247274038087</v>
      </c>
      <c r="CG22">
        <f>AVERAGE(S_plus!CN$2:'S_plus'!CN22)</f>
        <v>95.193936949214304</v>
      </c>
      <c r="CH22">
        <f>AVERAGE(S_plus!CO$2:'S_plus'!CO22)</f>
        <v>104.51410184904762</v>
      </c>
      <c r="CI22">
        <f>AVERAGE(S_plus!CP$2:'S_plus'!CP22)</f>
        <v>104.20767850247144</v>
      </c>
      <c r="CJ22">
        <f>AVERAGE(S_plus!CQ$2:'S_plus'!CQ22)</f>
        <v>105.91533999582383</v>
      </c>
      <c r="CK22">
        <f>AVERAGE(S_plus!CR$2:'S_plus'!CR22)</f>
        <v>100.95508971162859</v>
      </c>
      <c r="CL22">
        <f>AVERAGE(S_plus!CS$2:'S_plus'!CS22)</f>
        <v>106.1252065337619</v>
      </c>
      <c r="CM22">
        <f>AVERAGE(S_plus!CT$2:'S_plus'!CT22)</f>
        <v>104.33894071298094</v>
      </c>
      <c r="CN22">
        <f>AVERAGE(S_plus!CU$2:'S_plus'!CU22)</f>
        <v>101.06403302110952</v>
      </c>
      <c r="CO22">
        <f>AVERAGE(S_plus!CV$2:'S_plus'!CV22)</f>
        <v>105.3139506032381</v>
      </c>
      <c r="CP22">
        <f>AVERAGE(S_plus!CW$2:'S_plus'!CW22)</f>
        <v>103.65828061057618</v>
      </c>
      <c r="CQ22">
        <f>AVERAGE(S_plus!CX$2:'S_plus'!CX22)</f>
        <v>104.75364057798095</v>
      </c>
      <c r="CR22">
        <f>AVERAGE(S_plus!CY$2:'S_plus'!CY22)</f>
        <v>100.75643221792858</v>
      </c>
      <c r="CS22">
        <f>AVERAGE(S_plus!CZ$2:'S_plus'!CZ22)</f>
        <v>102.03549880458095</v>
      </c>
      <c r="CT22">
        <f>AVERAGE(S_plus!DA$2:'S_plus'!DA22)</f>
        <v>99.450305029428577</v>
      </c>
      <c r="CU22">
        <f>AVERAGE(S_plus!DB$2:'S_plus'!DB22)</f>
        <v>102.31463481211904</v>
      </c>
      <c r="CV22">
        <f>AVERAGE(S_plus!DC$2:'S_plus'!DC22)</f>
        <v>99.929981549242839</v>
      </c>
      <c r="CW22">
        <f>AVERAGE(S_plus!DD$2:'S_plus'!DD22)</f>
        <v>98.48970065031429</v>
      </c>
      <c r="CX22">
        <f>AVERAGE(S_plus!DE$2:'S_plus'!DE22)</f>
        <v>103.22248882067618</v>
      </c>
      <c r="CY22">
        <f>AVERAGE(S_plus!DF$2:'S_plus'!DF22)</f>
        <v>100.25999093591906</v>
      </c>
      <c r="CZ22">
        <f>AVERAGE(S_plus!DG$2:'S_plus'!DG22)</f>
        <v>97.270231804657129</v>
      </c>
      <c r="DA22">
        <f>AVERAGE(S_plus!DH$2:'S_plus'!DH22)</f>
        <v>99.213095975252386</v>
      </c>
    </row>
    <row r="23" spans="5:105" x14ac:dyDescent="0.25">
      <c r="E23">
        <f>E22+Asian!dt</f>
        <v>0.21000000000000005</v>
      </c>
      <c r="F23">
        <f>AVERAGE(S_plus!M$2:'S_plus'!M23)</f>
        <v>90.774538359618177</v>
      </c>
      <c r="G23">
        <f>AVERAGE(S_plus!N$2:'S_plus'!N23)</f>
        <v>93.326492098954546</v>
      </c>
      <c r="H23">
        <f>AVERAGE(S_plus!O$2:'S_plus'!O23)</f>
        <v>111.60214624977272</v>
      </c>
      <c r="I23">
        <f>AVERAGE(S_plus!P$2:'S_plus'!P23)</f>
        <v>99.91284754024997</v>
      </c>
      <c r="J23">
        <f>AVERAGE(S_plus!Q$2:'S_plus'!Q23)</f>
        <v>100.38114742998637</v>
      </c>
      <c r="K23">
        <f>AVERAGE(S_plus!R$2:'S_plus'!R23)</f>
        <v>100.36262025906363</v>
      </c>
      <c r="L23">
        <f>AVERAGE(S_plus!S$2:'S_plus'!S23)</f>
        <v>109.4533872426818</v>
      </c>
      <c r="M23">
        <f>AVERAGE(S_plus!T$2:'S_plus'!T23)</f>
        <v>94.228290846809102</v>
      </c>
      <c r="N23">
        <f>AVERAGE(S_plus!U$2:'S_plus'!U23)</f>
        <v>109.60573991222728</v>
      </c>
      <c r="O23">
        <f>AVERAGE(S_plus!V$2:'S_plus'!V23)</f>
        <v>96.912127625436369</v>
      </c>
      <c r="P23">
        <f>AVERAGE(S_plus!W$2:'S_plus'!W23)</f>
        <v>101.05531957300455</v>
      </c>
      <c r="Q23">
        <f>AVERAGE(S_plus!X$2:'S_plus'!X23)</f>
        <v>101.26945117818181</v>
      </c>
      <c r="R23">
        <f>AVERAGE(S_plus!Y$2:'S_plus'!Y23)</f>
        <v>97.96351136467274</v>
      </c>
      <c r="S23">
        <f>AVERAGE(S_plus!Z$2:'S_plus'!Z23)</f>
        <v>99.036065235968167</v>
      </c>
      <c r="T23">
        <f>AVERAGE(S_plus!AA$2:'S_plus'!AA23)</f>
        <v>105.56720576918637</v>
      </c>
      <c r="U23">
        <f>AVERAGE(S_plus!AB$2:'S_plus'!AB23)</f>
        <v>94.138425936986337</v>
      </c>
      <c r="V23">
        <f>AVERAGE(S_plus!AC$2:'S_plus'!AC23)</f>
        <v>93.225946726481823</v>
      </c>
      <c r="W23">
        <f>AVERAGE(S_plus!AD$2:'S_plus'!AD23)</f>
        <v>94.829660809077268</v>
      </c>
      <c r="X23">
        <f>AVERAGE(S_plus!AE$2:'S_plus'!AE23)</f>
        <v>104.54506474556818</v>
      </c>
      <c r="Y23">
        <f>AVERAGE(S_plus!AF$2:'S_plus'!AF23)</f>
        <v>92.824533590045448</v>
      </c>
      <c r="Z23">
        <f>AVERAGE(S_plus!AG$2:'S_plus'!AG23)</f>
        <v>104.25339816308183</v>
      </c>
      <c r="AA23">
        <f>AVERAGE(S_plus!AH$2:'S_plus'!AH23)</f>
        <v>98.256069478400008</v>
      </c>
      <c r="AB23">
        <f>AVERAGE(S_plus!AI$2:'S_plus'!AI23)</f>
        <v>97.548797326599967</v>
      </c>
      <c r="AC23">
        <f>AVERAGE(S_plus!AJ$2:'S_plus'!AJ23)</f>
        <v>100.61612538381816</v>
      </c>
      <c r="AD23">
        <f>AVERAGE(S_plus!AK$2:'S_plus'!AK23)</f>
        <v>109.29340445772728</v>
      </c>
      <c r="AE23">
        <f>AVERAGE(S_plus!AL$2:'S_plus'!AL23)</f>
        <v>103.29106148860456</v>
      </c>
      <c r="AF23">
        <f>AVERAGE(S_plus!AM$2:'S_plus'!AM23)</f>
        <v>96.034316717654534</v>
      </c>
      <c r="AG23">
        <f>AVERAGE(S_plus!AN$2:'S_plus'!AN23)</f>
        <v>109.5203277214091</v>
      </c>
      <c r="AH23">
        <f>AVERAGE(S_plus!AO$2:'S_plus'!AO23)</f>
        <v>105.99678585886818</v>
      </c>
      <c r="AI23">
        <f>AVERAGE(S_plus!AP$2:'S_plus'!AP23)</f>
        <v>97.581368909745464</v>
      </c>
      <c r="AJ23">
        <f>AVERAGE(S_plus!AQ$2:'S_plus'!AQ23)</f>
        <v>98.815779063054521</v>
      </c>
      <c r="AK23">
        <f>AVERAGE(S_plus!AR$2:'S_plus'!AR23)</f>
        <v>100.22893094201362</v>
      </c>
      <c r="AL23">
        <f>AVERAGE(S_plus!AS$2:'S_plus'!AS23)</f>
        <v>107.09201250078637</v>
      </c>
      <c r="AM23">
        <f>AVERAGE(S_plus!AT$2:'S_plus'!AT23)</f>
        <v>94.378167415154564</v>
      </c>
      <c r="AN23">
        <f>AVERAGE(S_plus!AU$2:'S_plus'!AU23)</f>
        <v>98.367660274872733</v>
      </c>
      <c r="AO23">
        <f>AVERAGE(S_plus!AV$2:'S_plus'!AV23)</f>
        <v>97.94162956498181</v>
      </c>
      <c r="AP23">
        <f>AVERAGE(S_plus!AW$2:'S_plus'!AW23)</f>
        <v>107.72864558422725</v>
      </c>
      <c r="AQ23">
        <f>AVERAGE(S_plus!AX$2:'S_plus'!AX23)</f>
        <v>98.426402118613638</v>
      </c>
      <c r="AR23">
        <f>AVERAGE(S_plus!AY$2:'S_plus'!AY23)</f>
        <v>105.60532401822275</v>
      </c>
      <c r="AS23">
        <f>AVERAGE(S_plus!AZ$2:'S_plus'!AZ23)</f>
        <v>107.04214302659092</v>
      </c>
      <c r="AT23">
        <f>AVERAGE(S_plus!BA$2:'S_plus'!BA23)</f>
        <v>106.18918888586363</v>
      </c>
      <c r="AU23">
        <f>AVERAGE(S_plus!BB$2:'S_plus'!BB23)</f>
        <v>105.95774047532728</v>
      </c>
      <c r="AV23">
        <f>AVERAGE(S_plus!BC$2:'S_plus'!BC23)</f>
        <v>107.2349497926909</v>
      </c>
      <c r="AW23">
        <f>AVERAGE(S_plus!BD$2:'S_plus'!BD23)</f>
        <v>98.156110896718189</v>
      </c>
      <c r="AX23">
        <f>AVERAGE(S_plus!BE$2:'S_plus'!BE23)</f>
        <v>88.74575772273181</v>
      </c>
      <c r="AY23">
        <f>AVERAGE(S_plus!BF$2:'S_plus'!BF23)</f>
        <v>96.831754430931824</v>
      </c>
      <c r="AZ23">
        <f>AVERAGE(S_plus!BG$2:'S_plus'!BG23)</f>
        <v>93.361090067340896</v>
      </c>
      <c r="BA23">
        <f>AVERAGE(S_plus!BH$2:'S_plus'!BH23)</f>
        <v>99.810333650336375</v>
      </c>
      <c r="BB23">
        <f>AVERAGE(S_plus!BI$2:'S_plus'!BI23)</f>
        <v>105.83318273036365</v>
      </c>
      <c r="BC23">
        <f>AVERAGE(S_plus!BJ$2:'S_plus'!BJ23)</f>
        <v>106.37128564718181</v>
      </c>
      <c r="BD23">
        <f>AVERAGE(S_plus!BK$2:'S_plus'!BK23)</f>
        <v>97.849745272527258</v>
      </c>
      <c r="BE23">
        <f>AVERAGE(S_plus!BL$2:'S_plus'!BL23)</f>
        <v>95.363685381754536</v>
      </c>
      <c r="BF23">
        <f>AVERAGE(S_plus!BM$2:'S_plus'!BM23)</f>
        <v>93.969856078309107</v>
      </c>
      <c r="BG23">
        <f>AVERAGE(S_plus!BN$2:'S_plus'!BN23)</f>
        <v>101.48001589003637</v>
      </c>
      <c r="BH23">
        <f>AVERAGE(S_plus!BO$2:'S_plus'!BO23)</f>
        <v>90.424164742100004</v>
      </c>
      <c r="BI23">
        <f>AVERAGE(S_plus!BP$2:'S_plus'!BP23)</f>
        <v>98.504735639422734</v>
      </c>
      <c r="BJ23">
        <f>AVERAGE(S_plus!BQ$2:'S_plus'!BQ23)</f>
        <v>95.39423129547275</v>
      </c>
      <c r="BK23">
        <f>AVERAGE(S_plus!BR$2:'S_plus'!BR23)</f>
        <v>99.318631148931814</v>
      </c>
      <c r="BL23">
        <f>AVERAGE(S_plus!BS$2:'S_plus'!BS23)</f>
        <v>103.82560008122272</v>
      </c>
      <c r="BM23">
        <f>AVERAGE(S_plus!BT$2:'S_plus'!BT23)</f>
        <v>107.16291062609092</v>
      </c>
      <c r="BN23">
        <f>AVERAGE(S_plus!BU$2:'S_plus'!BU23)</f>
        <v>102.80514032961818</v>
      </c>
      <c r="BO23">
        <f>AVERAGE(S_plus!BV$2:'S_plus'!BV23)</f>
        <v>96.710775919359094</v>
      </c>
      <c r="BP23">
        <f>AVERAGE(S_plus!BW$2:'S_plus'!BW23)</f>
        <v>94.049401809709082</v>
      </c>
      <c r="BQ23">
        <f>AVERAGE(S_plus!BX$2:'S_plus'!BX23)</f>
        <v>95.967037359250014</v>
      </c>
      <c r="BR23">
        <f>AVERAGE(S_plus!BY$2:'S_plus'!BY23)</f>
        <v>100.5983352693182</v>
      </c>
      <c r="BS23">
        <f>AVERAGE(S_plus!BZ$2:'S_plus'!BZ23)</f>
        <v>93.552419821418184</v>
      </c>
      <c r="BT23">
        <f>AVERAGE(S_plus!CA$2:'S_plus'!CA23)</f>
        <v>99.283960450245459</v>
      </c>
      <c r="BU23">
        <f>AVERAGE(S_plus!CB$2:'S_plus'!CB23)</f>
        <v>102.08892812405908</v>
      </c>
      <c r="BV23">
        <f>AVERAGE(S_plus!CC$2:'S_plus'!CC23)</f>
        <v>97.814638775713647</v>
      </c>
      <c r="BW23">
        <f>AVERAGE(S_plus!CD$2:'S_plus'!CD23)</f>
        <v>98.106496641690924</v>
      </c>
      <c r="BX23">
        <f>AVERAGE(S_plus!CE$2:'S_plus'!CE23)</f>
        <v>100.99571821845001</v>
      </c>
      <c r="BY23">
        <f>AVERAGE(S_plus!CF$2:'S_plus'!CF23)</f>
        <v>96.568979615299995</v>
      </c>
      <c r="BZ23">
        <f>AVERAGE(S_plus!CG$2:'S_plus'!CG23)</f>
        <v>91.995939633627259</v>
      </c>
      <c r="CA23">
        <f>AVERAGE(S_plus!CH$2:'S_plus'!CH23)</f>
        <v>108.83858176259092</v>
      </c>
      <c r="CB23">
        <f>AVERAGE(S_plus!CI$2:'S_plus'!CI23)</f>
        <v>92.381081307204553</v>
      </c>
      <c r="CC23">
        <f>AVERAGE(S_plus!CJ$2:'S_plus'!CJ23)</f>
        <v>103.35208867489543</v>
      </c>
      <c r="CD23">
        <f>AVERAGE(S_plus!CK$2:'S_plus'!CK23)</f>
        <v>95.787306257218177</v>
      </c>
      <c r="CE23">
        <f>AVERAGE(S_plus!CL$2:'S_plus'!CL23)</f>
        <v>93.504388033340916</v>
      </c>
      <c r="CF23">
        <f>AVERAGE(S_plus!CM$2:'S_plus'!CM23)</f>
        <v>99.178853018990907</v>
      </c>
      <c r="CG23">
        <f>AVERAGE(S_plus!CN$2:'S_plus'!CN23)</f>
        <v>95.33803389731365</v>
      </c>
      <c r="CH23">
        <f>AVERAGE(S_plus!CO$2:'S_plus'!CO23)</f>
        <v>104.7691005585</v>
      </c>
      <c r="CI23">
        <f>AVERAGE(S_plus!CP$2:'S_plus'!CP23)</f>
        <v>104.2163278173591</v>
      </c>
      <c r="CJ23">
        <f>AVERAGE(S_plus!CQ$2:'S_plus'!CQ23)</f>
        <v>106.19746875269547</v>
      </c>
      <c r="CK23">
        <f>AVERAGE(S_plus!CR$2:'S_plus'!CR23)</f>
        <v>101.07252469637274</v>
      </c>
      <c r="CL23">
        <f>AVERAGE(S_plus!CS$2:'S_plus'!CS23)</f>
        <v>106.16072864422726</v>
      </c>
      <c r="CM23">
        <f>AVERAGE(S_plus!CT$2:'S_plus'!CT23)</f>
        <v>104.62522117016364</v>
      </c>
      <c r="CN23">
        <f>AVERAGE(S_plus!CU$2:'S_plus'!CU23)</f>
        <v>100.98307831304091</v>
      </c>
      <c r="CO23">
        <f>AVERAGE(S_plus!CV$2:'S_plus'!CV23)</f>
        <v>104.97703812905455</v>
      </c>
      <c r="CP23">
        <f>AVERAGE(S_plus!CW$2:'S_plus'!CW23)</f>
        <v>104.06285092109546</v>
      </c>
      <c r="CQ23">
        <f>AVERAGE(S_plus!CX$2:'S_plus'!CX23)</f>
        <v>105.14931365116364</v>
      </c>
      <c r="CR23">
        <f>AVERAGE(S_plus!CY$2:'S_plus'!CY23)</f>
        <v>100.70825594135908</v>
      </c>
      <c r="CS23">
        <f>AVERAGE(S_plus!CZ$2:'S_plus'!CZ23)</f>
        <v>102.09745423378182</v>
      </c>
      <c r="CT23">
        <f>AVERAGE(S_plus!DA$2:'S_plus'!DA23)</f>
        <v>100.02603593709091</v>
      </c>
      <c r="CU23">
        <f>AVERAGE(S_plus!DB$2:'S_plus'!DB23)</f>
        <v>102.09564836096818</v>
      </c>
      <c r="CV23">
        <f>AVERAGE(S_plus!DC$2:'S_plus'!DC23)</f>
        <v>100.29222729468634</v>
      </c>
      <c r="CW23">
        <f>AVERAGE(S_plus!DD$2:'S_plus'!DD23)</f>
        <v>98.182837146622717</v>
      </c>
      <c r="CX23">
        <f>AVERAGE(S_plus!DE$2:'S_plus'!DE23)</f>
        <v>103.24646868882725</v>
      </c>
      <c r="CY23">
        <f>AVERAGE(S_plus!DF$2:'S_plus'!DF23)</f>
        <v>99.865739158231833</v>
      </c>
      <c r="CZ23">
        <f>AVERAGE(S_plus!DG$2:'S_plus'!DG23)</f>
        <v>96.96354801495454</v>
      </c>
      <c r="DA23">
        <f>AVERAGE(S_plus!DH$2:'S_plus'!DH23)</f>
        <v>99.10112362766364</v>
      </c>
    </row>
    <row r="24" spans="5:105" x14ac:dyDescent="0.25">
      <c r="E24">
        <f>E23+Asian!dt</f>
        <v>0.22000000000000006</v>
      </c>
      <c r="F24">
        <f>AVERAGE(S_plus!M$2:'S_plus'!M24)</f>
        <v>90.618125791056528</v>
      </c>
      <c r="G24">
        <f>AVERAGE(S_plus!N$2:'S_plus'!N24)</f>
        <v>93.532496944434783</v>
      </c>
      <c r="H24">
        <f>AVERAGE(S_plus!O$2:'S_plus'!O24)</f>
        <v>111.55190623978261</v>
      </c>
      <c r="I24">
        <f>AVERAGE(S_plus!P$2:'S_plus'!P24)</f>
        <v>99.889978654304329</v>
      </c>
      <c r="J24">
        <f>AVERAGE(S_plus!Q$2:'S_plus'!Q24)</f>
        <v>99.969487825621755</v>
      </c>
      <c r="K24">
        <f>AVERAGE(S_plus!R$2:'S_plus'!R24)</f>
        <v>100.20826387615217</v>
      </c>
      <c r="L24">
        <f>AVERAGE(S_plus!S$2:'S_plus'!S24)</f>
        <v>110.12068354847824</v>
      </c>
      <c r="M24">
        <f>AVERAGE(S_plus!T$2:'S_plus'!T24)</f>
        <v>93.840021808395662</v>
      </c>
      <c r="N24">
        <f>AVERAGE(S_plus!U$2:'S_plus'!U24)</f>
        <v>109.62779837743479</v>
      </c>
      <c r="O24">
        <f>AVERAGE(S_plus!V$2:'S_plus'!V24)</f>
        <v>97.099158130591306</v>
      </c>
      <c r="P24">
        <f>AVERAGE(S_plus!W$2:'S_plus'!W24)</f>
        <v>101.01121244478696</v>
      </c>
      <c r="Q24">
        <f>AVERAGE(S_plus!X$2:'S_plus'!X24)</f>
        <v>101.66840289065217</v>
      </c>
      <c r="R24">
        <f>AVERAGE(S_plus!Y$2:'S_plus'!Y24)</f>
        <v>97.615355957156538</v>
      </c>
      <c r="S24">
        <f>AVERAGE(S_plus!Z$2:'S_plus'!Z24)</f>
        <v>99.235278916013016</v>
      </c>
      <c r="T24">
        <f>AVERAGE(S_plus!AA$2:'S_plus'!AA24)</f>
        <v>105.53429035456956</v>
      </c>
      <c r="U24">
        <f>AVERAGE(S_plus!AB$2:'S_plus'!AB24)</f>
        <v>94.166643404543464</v>
      </c>
      <c r="V24">
        <f>AVERAGE(S_plus!AC$2:'S_plus'!AC24)</f>
        <v>93.289337577126091</v>
      </c>
      <c r="W24">
        <f>AVERAGE(S_plus!AD$2:'S_plus'!AD24)</f>
        <v>94.983384581382595</v>
      </c>
      <c r="X24">
        <f>AVERAGE(S_plus!AE$2:'S_plus'!AE24)</f>
        <v>104.93511498532608</v>
      </c>
      <c r="Y24">
        <f>AVERAGE(S_plus!AF$2:'S_plus'!AF24)</f>
        <v>92.880852525234786</v>
      </c>
      <c r="Z24">
        <f>AVERAGE(S_plus!AG$2:'S_plus'!AG24)</f>
        <v>104.33269540303479</v>
      </c>
      <c r="AA24">
        <f>AVERAGE(S_plus!AH$2:'S_plus'!AH24)</f>
        <v>98.297666011486953</v>
      </c>
      <c r="AB24">
        <f>AVERAGE(S_plus!AI$2:'S_plus'!AI24)</f>
        <v>97.309639900769525</v>
      </c>
      <c r="AC24">
        <f>AVERAGE(S_plus!AJ$2:'S_plus'!AJ24)</f>
        <v>100.57528250613042</v>
      </c>
      <c r="AD24">
        <f>AVERAGE(S_plus!AK$2:'S_plus'!AK24)</f>
        <v>109.69913401752174</v>
      </c>
      <c r="AE24">
        <f>AVERAGE(S_plus!AL$2:'S_plus'!AL24)</f>
        <v>103.4858787043174</v>
      </c>
      <c r="AF24">
        <f>AVERAGE(S_plus!AM$2:'S_plus'!AM24)</f>
        <v>95.761663617752163</v>
      </c>
      <c r="AG24">
        <f>AVERAGE(S_plus!AN$2:'S_plus'!AN24)</f>
        <v>110.15521990886958</v>
      </c>
      <c r="AH24">
        <f>AVERAGE(S_plus!AO$2:'S_plus'!AO24)</f>
        <v>105.7340364353913</v>
      </c>
      <c r="AI24">
        <f>AVERAGE(S_plus!AP$2:'S_plus'!AP24)</f>
        <v>97.422722966560883</v>
      </c>
      <c r="AJ24">
        <f>AVERAGE(S_plus!AQ$2:'S_plus'!AQ24)</f>
        <v>98.896765842269545</v>
      </c>
      <c r="AK24">
        <f>AVERAGE(S_plus!AR$2:'S_plus'!AR24)</f>
        <v>100.11113524030432</v>
      </c>
      <c r="AL24">
        <f>AVERAGE(S_plus!AS$2:'S_plus'!AS24)</f>
        <v>107.87133682857826</v>
      </c>
      <c r="AM24">
        <f>AVERAGE(S_plus!AT$2:'S_plus'!AT24)</f>
        <v>94.162315425730455</v>
      </c>
      <c r="AN24">
        <f>AVERAGE(S_plus!AU$2:'S_plus'!AU24)</f>
        <v>98.450116982486946</v>
      </c>
      <c r="AO24">
        <f>AVERAGE(S_plus!AV$2:'S_plus'!AV24)</f>
        <v>97.921288569556509</v>
      </c>
      <c r="AP24">
        <f>AVERAGE(S_plus!AW$2:'S_plus'!AW24)</f>
        <v>107.95928678621738</v>
      </c>
      <c r="AQ24">
        <f>AVERAGE(S_plus!AX$2:'S_plus'!AX24)</f>
        <v>98.25925145136523</v>
      </c>
      <c r="AR24">
        <f>AVERAGE(S_plus!AY$2:'S_plus'!AY24)</f>
        <v>105.18800990857392</v>
      </c>
      <c r="AS24">
        <f>AVERAGE(S_plus!AZ$2:'S_plus'!AZ24)</f>
        <v>107.33620795813043</v>
      </c>
      <c r="AT24">
        <f>AVERAGE(S_plus!BA$2:'S_plus'!BA24)</f>
        <v>106.19234518752172</v>
      </c>
      <c r="AU24">
        <f>AVERAGE(S_plus!BB$2:'S_plus'!BB24)</f>
        <v>106.1397472030522</v>
      </c>
      <c r="AV24">
        <f>AVERAGE(S_plus!BC$2:'S_plus'!BC24)</f>
        <v>107.46318306913912</v>
      </c>
      <c r="AW24">
        <f>AVERAGE(S_plus!BD$2:'S_plus'!BD24)</f>
        <v>98.401090274904348</v>
      </c>
      <c r="AX24">
        <f>AVERAGE(S_plus!BE$2:'S_plus'!BE24)</f>
        <v>88.620202018708682</v>
      </c>
      <c r="AY24">
        <f>AVERAGE(S_plus!BF$2:'S_plus'!BF24)</f>
        <v>96.684700863839126</v>
      </c>
      <c r="AZ24">
        <f>AVERAGE(S_plus!BG$2:'S_plus'!BG24)</f>
        <v>93.289675907004337</v>
      </c>
      <c r="BA24">
        <f>AVERAGE(S_plus!BH$2:'S_plus'!BH24)</f>
        <v>99.88677972901742</v>
      </c>
      <c r="BB24">
        <f>AVERAGE(S_plus!BI$2:'S_plus'!BI24)</f>
        <v>105.84438259473913</v>
      </c>
      <c r="BC24">
        <f>AVERAGE(S_plus!BJ$2:'S_plus'!BJ24)</f>
        <v>106.61897601056521</v>
      </c>
      <c r="BD24">
        <f>AVERAGE(S_plus!BK$2:'S_plus'!BK24)</f>
        <v>97.669386902247822</v>
      </c>
      <c r="BE24">
        <f>AVERAGE(S_plus!BL$2:'S_plus'!BL24)</f>
        <v>95.184631915126076</v>
      </c>
      <c r="BF24">
        <f>AVERAGE(S_plus!BM$2:'S_plus'!BM24)</f>
        <v>94.188321423130461</v>
      </c>
      <c r="BG24">
        <f>AVERAGE(S_plus!BN$2:'S_plus'!BN24)</f>
        <v>101.51121779451304</v>
      </c>
      <c r="BH24">
        <f>AVERAGE(S_plus!BO$2:'S_plus'!BO24)</f>
        <v>90.195553605269566</v>
      </c>
      <c r="BI24">
        <f>AVERAGE(S_plus!BP$2:'S_plus'!BP24)</f>
        <v>98.194125651286967</v>
      </c>
      <c r="BJ24">
        <f>AVERAGE(S_plus!BQ$2:'S_plus'!BQ24)</f>
        <v>94.892211337730458</v>
      </c>
      <c r="BK24">
        <f>AVERAGE(S_plus!BR$2:'S_plus'!BR24)</f>
        <v>99.342529953321744</v>
      </c>
      <c r="BL24">
        <f>AVERAGE(S_plus!BS$2:'S_plus'!BS24)</f>
        <v>103.98856871934346</v>
      </c>
      <c r="BM24">
        <f>AVERAGE(S_plus!BT$2:'S_plus'!BT24)</f>
        <v>107.42011683386956</v>
      </c>
      <c r="BN24">
        <f>AVERAGE(S_plus!BU$2:'S_plus'!BU24)</f>
        <v>102.96984617646088</v>
      </c>
      <c r="BO24">
        <f>AVERAGE(S_plus!BV$2:'S_plus'!BV24)</f>
        <v>96.900645414560884</v>
      </c>
      <c r="BP24">
        <f>AVERAGE(S_plus!BW$2:'S_plus'!BW24)</f>
        <v>93.979083113165217</v>
      </c>
      <c r="BQ24">
        <f>AVERAGE(S_plus!BX$2:'S_plus'!BX24)</f>
        <v>95.574557273691312</v>
      </c>
      <c r="BR24">
        <f>AVERAGE(S_plus!BY$2:'S_plus'!BY24)</f>
        <v>100.52057878189568</v>
      </c>
      <c r="BS24">
        <f>AVERAGE(S_plus!BZ$2:'S_plus'!BZ24)</f>
        <v>93.365849684813043</v>
      </c>
      <c r="BT24">
        <f>AVERAGE(S_plus!CA$2:'S_plus'!CA24)</f>
        <v>99.002058096613041</v>
      </c>
      <c r="BU24">
        <f>AVERAGE(S_plus!CB$2:'S_plus'!CB24)</f>
        <v>102.3087728797087</v>
      </c>
      <c r="BV24">
        <f>AVERAGE(S_plus!CC$2:'S_plus'!CC24)</f>
        <v>97.654142609482619</v>
      </c>
      <c r="BW24">
        <f>AVERAGE(S_plus!CD$2:'S_plus'!CD24)</f>
        <v>98.17516717441741</v>
      </c>
      <c r="BX24">
        <f>AVERAGE(S_plus!CE$2:'S_plus'!CE24)</f>
        <v>101.43847421825653</v>
      </c>
      <c r="BY24">
        <f>AVERAGE(S_plus!CF$2:'S_plus'!CF24)</f>
        <v>96.329712543913047</v>
      </c>
      <c r="BZ24">
        <f>AVERAGE(S_plus!CG$2:'S_plus'!CG24)</f>
        <v>91.997770068069556</v>
      </c>
      <c r="CA24">
        <f>AVERAGE(S_plus!CH$2:'S_plus'!CH24)</f>
        <v>109.46415429956524</v>
      </c>
      <c r="CB24">
        <f>AVERAGE(S_plus!CI$2:'S_plus'!CI24)</f>
        <v>92.395603379760871</v>
      </c>
      <c r="CC24">
        <f>AVERAGE(S_plus!CJ$2:'S_plus'!CJ24)</f>
        <v>103.34453560394346</v>
      </c>
      <c r="CD24">
        <f>AVERAGE(S_plus!CK$2:'S_plus'!CK24)</f>
        <v>95.645859087043476</v>
      </c>
      <c r="CE24">
        <f>AVERAGE(S_plus!CL$2:'S_plus'!CL24)</f>
        <v>93.239739386560871</v>
      </c>
      <c r="CF24">
        <f>AVERAGE(S_plus!CM$2:'S_plus'!CM24)</f>
        <v>99.52861071442608</v>
      </c>
      <c r="CG24">
        <f>AVERAGE(S_plus!CN$2:'S_plus'!CN24)</f>
        <v>95.398829525760888</v>
      </c>
      <c r="CH24">
        <f>AVERAGE(S_plus!CO$2:'S_plus'!CO24)</f>
        <v>105.12169999495653</v>
      </c>
      <c r="CI24">
        <f>AVERAGE(S_plus!CP$2:'S_plus'!CP24)</f>
        <v>104.18996922386522</v>
      </c>
      <c r="CJ24">
        <f>AVERAGE(S_plus!CQ$2:'S_plus'!CQ24)</f>
        <v>106.40061507492611</v>
      </c>
      <c r="CK24">
        <f>AVERAGE(S_plus!CR$2:'S_plus'!CR24)</f>
        <v>101.28737112409566</v>
      </c>
      <c r="CL24">
        <f>AVERAGE(S_plus!CS$2:'S_plus'!CS24)</f>
        <v>106.20098240452172</v>
      </c>
      <c r="CM24">
        <f>AVERAGE(S_plus!CT$2:'S_plus'!CT24)</f>
        <v>104.99508933824347</v>
      </c>
      <c r="CN24">
        <f>AVERAGE(S_plus!CU$2:'S_plus'!CU24)</f>
        <v>100.95652584834347</v>
      </c>
      <c r="CO24">
        <f>AVERAGE(S_plus!CV$2:'S_plus'!CV24)</f>
        <v>104.60327396203478</v>
      </c>
      <c r="CP24">
        <f>AVERAGE(S_plus!CW$2:'S_plus'!CW24)</f>
        <v>104.36758928578695</v>
      </c>
      <c r="CQ24">
        <f>AVERAGE(S_plus!CX$2:'S_plus'!CX24)</f>
        <v>105.51589315467827</v>
      </c>
      <c r="CR24">
        <f>AVERAGE(S_plus!CY$2:'S_plus'!CY24)</f>
        <v>100.74947859016956</v>
      </c>
      <c r="CS24">
        <f>AVERAGE(S_plus!CZ$2:'S_plus'!CZ24)</f>
        <v>102.23741753344348</v>
      </c>
      <c r="CT24">
        <f>AVERAGE(S_plus!DA$2:'S_plus'!DA24)</f>
        <v>100.61289777730435</v>
      </c>
      <c r="CU24">
        <f>AVERAGE(S_plus!DB$2:'S_plus'!DB24)</f>
        <v>101.69838279150436</v>
      </c>
      <c r="CV24">
        <f>AVERAGE(S_plus!DC$2:'S_plus'!DC24)</f>
        <v>100.56865869869999</v>
      </c>
      <c r="CW24">
        <f>AVERAGE(S_plus!DD$2:'S_plus'!DD24)</f>
        <v>97.956386542082598</v>
      </c>
      <c r="CX24">
        <f>AVERAGE(S_plus!DE$2:'S_plus'!DE24)</f>
        <v>103.35622837431302</v>
      </c>
      <c r="CY24">
        <f>AVERAGE(S_plus!DF$2:'S_plus'!DF24)</f>
        <v>99.315487925613056</v>
      </c>
      <c r="CZ24">
        <f>AVERAGE(S_plus!DG$2:'S_plus'!DG24)</f>
        <v>96.746643862556525</v>
      </c>
      <c r="DA24">
        <f>AVERAGE(S_plus!DH$2:'S_plus'!DH24)</f>
        <v>99.051265556656531</v>
      </c>
    </row>
    <row r="25" spans="5:105" x14ac:dyDescent="0.25">
      <c r="E25">
        <f>E24+Asian!dt</f>
        <v>0.23000000000000007</v>
      </c>
      <c r="F25">
        <f>AVERAGE(S_plus!M$2:'S_plus'!M25)</f>
        <v>90.543476824658342</v>
      </c>
      <c r="G25">
        <f>AVERAGE(S_plus!N$2:'S_plus'!N25)</f>
        <v>93.767578941779163</v>
      </c>
      <c r="H25">
        <f>AVERAGE(S_plus!O$2:'S_plus'!O25)</f>
        <v>111.49780015754168</v>
      </c>
      <c r="I25">
        <f>AVERAGE(S_plus!P$2:'S_plus'!P25)</f>
        <v>99.87229521424581</v>
      </c>
      <c r="J25">
        <f>AVERAGE(S_plus!Q$2:'S_plus'!Q25)</f>
        <v>99.562877229604183</v>
      </c>
      <c r="K25">
        <f>AVERAGE(S_plus!R$2:'S_plus'!R25)</f>
        <v>100.19075124076666</v>
      </c>
      <c r="L25">
        <f>AVERAGE(S_plus!S$2:'S_plus'!S25)</f>
        <v>110.78102310712497</v>
      </c>
      <c r="M25">
        <f>AVERAGE(S_plus!T$2:'S_plus'!T25)</f>
        <v>93.520291324129175</v>
      </c>
      <c r="N25">
        <f>AVERAGE(S_plus!U$2:'S_plus'!U25)</f>
        <v>109.79554740912501</v>
      </c>
      <c r="O25">
        <f>AVERAGE(S_plus!V$2:'S_plus'!V25)</f>
        <v>97.262920554691675</v>
      </c>
      <c r="P25">
        <f>AVERAGE(S_plus!W$2:'S_plus'!W25)</f>
        <v>100.93591787162501</v>
      </c>
      <c r="Q25">
        <f>AVERAGE(S_plus!X$2:'S_plus'!X25)</f>
        <v>102.08400809287501</v>
      </c>
      <c r="R25">
        <f>AVERAGE(S_plus!Y$2:'S_plus'!Y25)</f>
        <v>97.325587367070852</v>
      </c>
      <c r="S25">
        <f>AVERAGE(S_plus!Z$2:'S_plus'!Z25)</f>
        <v>99.629481368345807</v>
      </c>
      <c r="T25">
        <f>AVERAGE(S_plus!AA$2:'S_plus'!AA25)</f>
        <v>105.38829473750417</v>
      </c>
      <c r="U25">
        <f>AVERAGE(S_plus!AB$2:'S_plus'!AB25)</f>
        <v>94.171158299270814</v>
      </c>
      <c r="V25">
        <f>AVERAGE(S_plus!AC$2:'S_plus'!AC25)</f>
        <v>93.354272551737509</v>
      </c>
      <c r="W25">
        <f>AVERAGE(S_plus!AD$2:'S_plus'!AD25)</f>
        <v>95.222046377325</v>
      </c>
      <c r="X25">
        <f>AVERAGE(S_plus!AE$2:'S_plus'!AE25)</f>
        <v>105.36173678939582</v>
      </c>
      <c r="Y25">
        <f>AVERAGE(S_plus!AF$2:'S_plus'!AF25)</f>
        <v>92.91428184977083</v>
      </c>
      <c r="Z25">
        <f>AVERAGE(S_plus!AG$2:'S_plus'!AG25)</f>
        <v>104.44635861399166</v>
      </c>
      <c r="AA25">
        <f>AVERAGE(S_plus!AH$2:'S_plus'!AH25)</f>
        <v>98.332422664166657</v>
      </c>
      <c r="AB25">
        <f>AVERAGE(S_plus!AI$2:'S_plus'!AI25)</f>
        <v>97.070594900341632</v>
      </c>
      <c r="AC25">
        <f>AVERAGE(S_plus!AJ$2:'S_plus'!AJ25)</f>
        <v>100.4372789942875</v>
      </c>
      <c r="AD25">
        <f>AVERAGE(S_plus!AK$2:'S_plus'!AK25)</f>
        <v>109.99862038275</v>
      </c>
      <c r="AE25">
        <f>AVERAGE(S_plus!AL$2:'S_plus'!AL25)</f>
        <v>103.67793575042917</v>
      </c>
      <c r="AF25">
        <f>AVERAGE(S_plus!AM$2:'S_plus'!AM25)</f>
        <v>95.510502840312483</v>
      </c>
      <c r="AG25">
        <f>AVERAGE(S_plus!AN$2:'S_plus'!AN25)</f>
        <v>110.63006374391669</v>
      </c>
      <c r="AH25">
        <f>AVERAGE(S_plus!AO$2:'S_plus'!AO25)</f>
        <v>105.54717004058334</v>
      </c>
      <c r="AI25">
        <f>AVERAGE(S_plus!AP$2:'S_plus'!AP25)</f>
        <v>97.284524407737521</v>
      </c>
      <c r="AJ25">
        <f>AVERAGE(S_plus!AQ$2:'S_plus'!AQ25)</f>
        <v>99.070228612258305</v>
      </c>
      <c r="AK25">
        <f>AVERAGE(S_plus!AR$2:'S_plus'!AR25)</f>
        <v>100.03923545489998</v>
      </c>
      <c r="AL25">
        <f>AVERAGE(S_plus!AS$2:'S_plus'!AS25)</f>
        <v>108.46475084517915</v>
      </c>
      <c r="AM25">
        <f>AVERAGE(S_plus!AT$2:'S_plus'!AT25)</f>
        <v>94.02598571274585</v>
      </c>
      <c r="AN25">
        <f>AVERAGE(S_plus!AU$2:'S_plus'!AU25)</f>
        <v>98.3650759083</v>
      </c>
      <c r="AO25">
        <f>AVERAGE(S_plus!AV$2:'S_plus'!AV25)</f>
        <v>97.762663032454157</v>
      </c>
      <c r="AP25">
        <f>AVERAGE(S_plus!AW$2:'S_plus'!AW25)</f>
        <v>108.13111445683332</v>
      </c>
      <c r="AQ25">
        <f>AVERAGE(S_plus!AX$2:'S_plus'!AX25)</f>
        <v>98.142023714375</v>
      </c>
      <c r="AR25">
        <f>AVERAGE(S_plus!AY$2:'S_plus'!AY25)</f>
        <v>104.78611055066666</v>
      </c>
      <c r="AS25">
        <f>AVERAGE(S_plus!AZ$2:'S_plus'!AZ25)</f>
        <v>107.58345151408334</v>
      </c>
      <c r="AT25">
        <f>AVERAGE(S_plus!BA$2:'S_plus'!BA25)</f>
        <v>106.22269697274999</v>
      </c>
      <c r="AU25">
        <f>AVERAGE(S_plus!BB$2:'S_plus'!BB25)</f>
        <v>106.24531554038334</v>
      </c>
      <c r="AV25">
        <f>AVERAGE(S_plus!BC$2:'S_plus'!BC25)</f>
        <v>107.66593941859166</v>
      </c>
      <c r="AW25">
        <f>AVERAGE(S_plus!BD$2:'S_plus'!BD25)</f>
        <v>98.702648437950003</v>
      </c>
      <c r="AX25">
        <f>AVERAGE(S_plus!BE$2:'S_plus'!BE25)</f>
        <v>88.506735692283314</v>
      </c>
      <c r="AY25">
        <f>AVERAGE(S_plus!BF$2:'S_plus'!BF25)</f>
        <v>96.644270067241663</v>
      </c>
      <c r="AZ25">
        <f>AVERAGE(S_plus!BG$2:'S_plus'!BG25)</f>
        <v>93.277637243016656</v>
      </c>
      <c r="BA25">
        <f>AVERAGE(S_plus!BH$2:'S_plus'!BH25)</f>
        <v>100.04984562689168</v>
      </c>
      <c r="BB25">
        <f>AVERAGE(S_plus!BI$2:'S_plus'!BI25)</f>
        <v>105.874089627</v>
      </c>
      <c r="BC25">
        <f>AVERAGE(S_plus!BJ$2:'S_plus'!BJ25)</f>
        <v>106.89721883545832</v>
      </c>
      <c r="BD25">
        <f>AVERAGE(S_plus!BK$2:'S_plus'!BK25)</f>
        <v>97.380560613699984</v>
      </c>
      <c r="BE25">
        <f>AVERAGE(S_plus!BL$2:'S_plus'!BL25)</f>
        <v>95.007325502908316</v>
      </c>
      <c r="BF25">
        <f>AVERAGE(S_plus!BM$2:'S_plus'!BM25)</f>
        <v>94.315216227800022</v>
      </c>
      <c r="BG25">
        <f>AVERAGE(S_plus!BN$2:'S_plus'!BN25)</f>
        <v>101.54464085082499</v>
      </c>
      <c r="BH25">
        <f>AVERAGE(S_plus!BO$2:'S_plus'!BO25)</f>
        <v>89.969913175987514</v>
      </c>
      <c r="BI25">
        <f>AVERAGE(S_plus!BP$2:'S_plus'!BP25)</f>
        <v>97.888739650854177</v>
      </c>
      <c r="BJ25">
        <f>AVERAGE(S_plus!BQ$2:'S_plus'!BQ25)</f>
        <v>94.302956485454175</v>
      </c>
      <c r="BK25">
        <f>AVERAGE(S_plus!BR$2:'S_plus'!BR25)</f>
        <v>99.514178600891668</v>
      </c>
      <c r="BL25">
        <f>AVERAGE(S_plus!BS$2:'S_plus'!BS25)</f>
        <v>104.07672602091247</v>
      </c>
      <c r="BM25">
        <f>AVERAGE(S_plus!BT$2:'S_plus'!BT25)</f>
        <v>107.65919084691666</v>
      </c>
      <c r="BN25">
        <f>AVERAGE(S_plus!BU$2:'S_plus'!BU25)</f>
        <v>103.148931888275</v>
      </c>
      <c r="BO25">
        <f>AVERAGE(S_plus!BV$2:'S_plus'!BV25)</f>
        <v>96.943979111625012</v>
      </c>
      <c r="BP25">
        <f>AVERAGE(S_plus!BW$2:'S_plus'!BW25)</f>
        <v>93.876411179295829</v>
      </c>
      <c r="BQ25">
        <f>AVERAGE(S_plus!BX$2:'S_plus'!BX25)</f>
        <v>95.191629926208336</v>
      </c>
      <c r="BR25">
        <f>AVERAGE(S_plus!BY$2:'S_plus'!BY25)</f>
        <v>100.49108704833334</v>
      </c>
      <c r="BS25">
        <f>AVERAGE(S_plus!BZ$2:'S_plus'!BZ25)</f>
        <v>93.188372308591667</v>
      </c>
      <c r="BT25">
        <f>AVERAGE(S_plus!CA$2:'S_plus'!CA25)</f>
        <v>98.842599490800012</v>
      </c>
      <c r="BU25">
        <f>AVERAGE(S_plus!CB$2:'S_plus'!CB25)</f>
        <v>102.51903941697083</v>
      </c>
      <c r="BV25">
        <f>AVERAGE(S_plus!CC$2:'S_plus'!CC25)</f>
        <v>97.501103685491671</v>
      </c>
      <c r="BW25">
        <f>AVERAGE(S_plus!CD$2:'S_plus'!CD25)</f>
        <v>98.27785992894168</v>
      </c>
      <c r="BX25">
        <f>AVERAGE(S_plus!CE$2:'S_plus'!CE25)</f>
        <v>101.89241806662083</v>
      </c>
      <c r="BY25">
        <f>AVERAGE(S_plus!CF$2:'S_plus'!CF25)</f>
        <v>96.24109578002917</v>
      </c>
      <c r="BZ25">
        <f>AVERAGE(S_plus!CG$2:'S_plus'!CG25)</f>
        <v>92.03720164094581</v>
      </c>
      <c r="CA25">
        <f>AVERAGE(S_plus!CH$2:'S_plus'!CH25)</f>
        <v>110.13713937387502</v>
      </c>
      <c r="CB25">
        <f>AVERAGE(S_plus!CI$2:'S_plus'!CI25)</f>
        <v>92.463557067500005</v>
      </c>
      <c r="CC25">
        <f>AVERAGE(S_plus!CJ$2:'S_plus'!CJ25)</f>
        <v>103.23371587998747</v>
      </c>
      <c r="CD25">
        <f>AVERAGE(S_plus!CK$2:'S_plus'!CK25)</f>
        <v>95.429291560395825</v>
      </c>
      <c r="CE25">
        <f>AVERAGE(S_plus!CL$2:'S_plus'!CL25)</f>
        <v>92.935888229158323</v>
      </c>
      <c r="CF25">
        <f>AVERAGE(S_plus!CM$2:'S_plus'!CM25)</f>
        <v>99.872091135574991</v>
      </c>
      <c r="CG25">
        <f>AVERAGE(S_plus!CN$2:'S_plus'!CN25)</f>
        <v>95.32094598015</v>
      </c>
      <c r="CH25">
        <f>AVERAGE(S_plus!CO$2:'S_plus'!CO25)</f>
        <v>105.34599150291666</v>
      </c>
      <c r="CI25">
        <f>AVERAGE(S_plus!CP$2:'S_plus'!CP25)</f>
        <v>104.06193881320416</v>
      </c>
      <c r="CJ25">
        <f>AVERAGE(S_plus!CQ$2:'S_plus'!CQ25)</f>
        <v>106.49730288905418</v>
      </c>
      <c r="CK25">
        <f>AVERAGE(S_plus!CR$2:'S_plus'!CR25)</f>
        <v>101.45876053313334</v>
      </c>
      <c r="CL25">
        <f>AVERAGE(S_plus!CS$2:'S_plus'!CS25)</f>
        <v>106.31661130104165</v>
      </c>
      <c r="CM25">
        <f>AVERAGE(S_plus!CT$2:'S_plus'!CT25)</f>
        <v>105.376732118525</v>
      </c>
      <c r="CN25">
        <f>AVERAGE(S_plus!CU$2:'S_plus'!CU25)</f>
        <v>100.86083569809584</v>
      </c>
      <c r="CO25">
        <f>AVERAGE(S_plus!CV$2:'S_plus'!CV25)</f>
        <v>104.17008984348332</v>
      </c>
      <c r="CP25">
        <f>AVERAGE(S_plus!CW$2:'S_plus'!CW25)</f>
        <v>104.96839131096249</v>
      </c>
      <c r="CQ25">
        <f>AVERAGE(S_plus!CX$2:'S_plus'!CX25)</f>
        <v>105.80405017344168</v>
      </c>
      <c r="CR25">
        <f>AVERAGE(S_plus!CY$2:'S_plus'!CY25)</f>
        <v>100.82625493528748</v>
      </c>
      <c r="CS25">
        <f>AVERAGE(S_plus!CZ$2:'S_plus'!CZ25)</f>
        <v>102.31060060854999</v>
      </c>
      <c r="CT25">
        <f>AVERAGE(S_plus!DA$2:'S_plus'!DA25)</f>
        <v>101.19674918729167</v>
      </c>
      <c r="CU25">
        <f>AVERAGE(S_plus!DB$2:'S_plus'!DB25)</f>
        <v>101.25289228665834</v>
      </c>
      <c r="CV25">
        <f>AVERAGE(S_plus!DC$2:'S_plus'!DC25)</f>
        <v>100.72552277592082</v>
      </c>
      <c r="CW25">
        <f>AVERAGE(S_plus!DD$2:'S_plus'!DD25)</f>
        <v>97.673066446216652</v>
      </c>
      <c r="CX25">
        <f>AVERAGE(S_plus!DE$2:'S_plus'!DE25)</f>
        <v>103.3798296163833</v>
      </c>
      <c r="CY25">
        <f>AVERAGE(S_plus!DF$2:'S_plus'!DF25)</f>
        <v>98.811741241341679</v>
      </c>
      <c r="CZ25">
        <f>AVERAGE(S_plus!DG$2:'S_plus'!DG25)</f>
        <v>96.558593640625006</v>
      </c>
      <c r="DA25">
        <f>AVERAGE(S_plus!DH$2:'S_plus'!DH25)</f>
        <v>98.935648875258337</v>
      </c>
    </row>
    <row r="26" spans="5:105" x14ac:dyDescent="0.25">
      <c r="E26">
        <f>E25+Asian!dt</f>
        <v>0.24000000000000007</v>
      </c>
      <c r="F26">
        <f>AVERAGE(S_plus!M$2:'S_plus'!M26)</f>
        <v>90.447442532436014</v>
      </c>
      <c r="G26">
        <f>AVERAGE(S_plus!N$2:'S_plus'!N26)</f>
        <v>93.936291640072</v>
      </c>
      <c r="H26">
        <f>AVERAGE(S_plus!O$2:'S_plus'!O26)</f>
        <v>111.25424700432001</v>
      </c>
      <c r="I26">
        <f>AVERAGE(S_plus!P$2:'S_plus'!P26)</f>
        <v>99.812285102851988</v>
      </c>
      <c r="J26">
        <f>AVERAGE(S_plus!Q$2:'S_plus'!Q26)</f>
        <v>99.188340880196023</v>
      </c>
      <c r="K26">
        <f>AVERAGE(S_plus!R$2:'S_plus'!R26)</f>
        <v>100.08493416636</v>
      </c>
      <c r="L26">
        <f>AVERAGE(S_plus!S$2:'S_plus'!S26)</f>
        <v>111.54341761547998</v>
      </c>
      <c r="M26">
        <f>AVERAGE(S_plus!T$2:'S_plus'!T26)</f>
        <v>93.107430123248008</v>
      </c>
      <c r="N26">
        <f>AVERAGE(S_plus!U$2:'S_plus'!U26)</f>
        <v>109.97132594704</v>
      </c>
      <c r="O26">
        <f>AVERAGE(S_plus!V$2:'S_plus'!V26)</f>
        <v>97.514065103464006</v>
      </c>
      <c r="P26">
        <f>AVERAGE(S_plus!W$2:'S_plus'!W26)</f>
        <v>100.87782116528801</v>
      </c>
      <c r="Q26">
        <f>AVERAGE(S_plus!X$2:'S_plus'!X26)</f>
        <v>102.54263693932</v>
      </c>
      <c r="R26">
        <f>AVERAGE(S_plus!Y$2:'S_plus'!Y26)</f>
        <v>97.05630789235201</v>
      </c>
      <c r="S26">
        <f>AVERAGE(S_plus!Z$2:'S_plus'!Z26)</f>
        <v>100.10163273109198</v>
      </c>
      <c r="T26">
        <f>AVERAGE(S_plus!AA$2:'S_plus'!AA26)</f>
        <v>105.157660149116</v>
      </c>
      <c r="U26">
        <f>AVERAGE(S_plus!AB$2:'S_plus'!AB26)</f>
        <v>94.197625642451982</v>
      </c>
      <c r="V26">
        <f>AVERAGE(S_plus!AC$2:'S_plus'!AC26)</f>
        <v>93.388949485176013</v>
      </c>
      <c r="W26">
        <f>AVERAGE(S_plus!AD$2:'S_plus'!AD26)</f>
        <v>95.435176265232002</v>
      </c>
      <c r="X26">
        <f>AVERAGE(S_plus!AE$2:'S_plus'!AE26)</f>
        <v>105.82946338877998</v>
      </c>
      <c r="Y26">
        <f>AVERAGE(S_plus!AF$2:'S_plus'!AF26)</f>
        <v>93.138110167983996</v>
      </c>
      <c r="Z26">
        <f>AVERAGE(S_plus!AG$2:'S_plus'!AG26)</f>
        <v>104.566598284232</v>
      </c>
      <c r="AA26">
        <f>AVERAGE(S_plus!AH$2:'S_plus'!AH26)</f>
        <v>98.273151257056</v>
      </c>
      <c r="AB26">
        <f>AVERAGE(S_plus!AI$2:'S_plus'!AI26)</f>
        <v>96.89238158983197</v>
      </c>
      <c r="AC26">
        <f>AVERAGE(S_plus!AJ$2:'S_plus'!AJ26)</f>
        <v>100.291898010148</v>
      </c>
      <c r="AD26">
        <f>AVERAGE(S_plus!AK$2:'S_plus'!AK26)</f>
        <v>110.26473382672</v>
      </c>
      <c r="AE26">
        <f>AVERAGE(S_plus!AL$2:'S_plus'!AL26)</f>
        <v>103.962516421852</v>
      </c>
      <c r="AF26">
        <f>AVERAGE(S_plus!AM$2:'S_plus'!AM26)</f>
        <v>95.285672435359999</v>
      </c>
      <c r="AG26">
        <f>AVERAGE(S_plus!AN$2:'S_plus'!AN26)</f>
        <v>111.10820445860001</v>
      </c>
      <c r="AH26">
        <f>AVERAGE(S_plus!AO$2:'S_plus'!AO26)</f>
        <v>105.314005063612</v>
      </c>
      <c r="AI26">
        <f>AVERAGE(S_plus!AP$2:'S_plus'!AP26)</f>
        <v>97.16099452792001</v>
      </c>
      <c r="AJ26">
        <f>AVERAGE(S_plus!AQ$2:'S_plus'!AQ26)</f>
        <v>99.260411171367977</v>
      </c>
      <c r="AK26">
        <f>AVERAGE(S_plus!AR$2:'S_plus'!AR26)</f>
        <v>100.05981651522397</v>
      </c>
      <c r="AL26">
        <f>AVERAGE(S_plus!AS$2:'S_plus'!AS26)</f>
        <v>108.860577741452</v>
      </c>
      <c r="AM26">
        <f>AVERAGE(S_plus!AT$2:'S_plus'!AT26)</f>
        <v>93.680573086484017</v>
      </c>
      <c r="AN26">
        <f>AVERAGE(S_plus!AU$2:'S_plus'!AU26)</f>
        <v>98.306656159715999</v>
      </c>
      <c r="AO26">
        <f>AVERAGE(S_plus!AV$2:'S_plus'!AV26)</f>
        <v>97.661087430763985</v>
      </c>
      <c r="AP26">
        <f>AVERAGE(S_plus!AW$2:'S_plus'!AW26)</f>
        <v>108.38266343868</v>
      </c>
      <c r="AQ26">
        <f>AVERAGE(S_plus!AX$2:'S_plus'!AX26)</f>
        <v>97.980568098395992</v>
      </c>
      <c r="AR26">
        <f>AVERAGE(S_plus!AY$2:'S_plus'!AY26)</f>
        <v>104.22464109967601</v>
      </c>
      <c r="AS26">
        <f>AVERAGE(S_plus!AZ$2:'S_plus'!AZ26)</f>
        <v>107.87496686215999</v>
      </c>
      <c r="AT26">
        <f>AVERAGE(S_plus!BA$2:'S_plus'!BA26)</f>
        <v>106.3210542402</v>
      </c>
      <c r="AU26">
        <f>AVERAGE(S_plus!BB$2:'S_plus'!BB26)</f>
        <v>106.32628436604801</v>
      </c>
      <c r="AV26">
        <f>AVERAGE(S_plus!BC$2:'S_plus'!BC26)</f>
        <v>107.83472369924799</v>
      </c>
      <c r="AW26">
        <f>AVERAGE(S_plus!BD$2:'S_plus'!BD26)</f>
        <v>98.913181416591996</v>
      </c>
      <c r="AX26">
        <f>AVERAGE(S_plus!BE$2:'S_plus'!BE26)</f>
        <v>88.332594407999991</v>
      </c>
      <c r="AY26">
        <f>AVERAGE(S_plus!BF$2:'S_plus'!BF26)</f>
        <v>96.530227868391989</v>
      </c>
      <c r="AZ26">
        <f>AVERAGE(S_plus!BG$2:'S_plus'!BG26)</f>
        <v>93.28278266894398</v>
      </c>
      <c r="BA26">
        <f>AVERAGE(S_plus!BH$2:'S_plus'!BH26)</f>
        <v>100.20887671545601</v>
      </c>
      <c r="BB26">
        <f>AVERAGE(S_plus!BI$2:'S_plus'!BI26)</f>
        <v>106.05631208056001</v>
      </c>
      <c r="BC26">
        <f>AVERAGE(S_plus!BJ$2:'S_plus'!BJ26)</f>
        <v>107.08332535787999</v>
      </c>
      <c r="BD26">
        <f>AVERAGE(S_plus!BK$2:'S_plus'!BK26)</f>
        <v>97.155900472783998</v>
      </c>
      <c r="BE26">
        <f>AVERAGE(S_plus!BL$2:'S_plus'!BL26)</f>
        <v>94.819694600087985</v>
      </c>
      <c r="BF26">
        <f>AVERAGE(S_plus!BM$2:'S_plus'!BM26)</f>
        <v>94.442734999140029</v>
      </c>
      <c r="BG26">
        <f>AVERAGE(S_plus!BN$2:'S_plus'!BN26)</f>
        <v>101.673628205472</v>
      </c>
      <c r="BH26">
        <f>AVERAGE(S_plus!BO$2:'S_plus'!BO26)</f>
        <v>89.765613370632025</v>
      </c>
      <c r="BI26">
        <f>AVERAGE(S_plus!BP$2:'S_plus'!BP26)</f>
        <v>97.580648691056012</v>
      </c>
      <c r="BJ26">
        <f>AVERAGE(S_plus!BQ$2:'S_plus'!BQ26)</f>
        <v>93.784659169536013</v>
      </c>
      <c r="BK26">
        <f>AVERAGE(S_plus!BR$2:'S_plus'!BR26)</f>
        <v>99.768262693056002</v>
      </c>
      <c r="BL26">
        <f>AVERAGE(S_plus!BS$2:'S_plus'!BS26)</f>
        <v>104.18989264523597</v>
      </c>
      <c r="BM26">
        <f>AVERAGE(S_plus!BT$2:'S_plus'!BT26)</f>
        <v>107.95575204751999</v>
      </c>
      <c r="BN26">
        <f>AVERAGE(S_plus!BU$2:'S_plus'!BU26)</f>
        <v>103.361922327304</v>
      </c>
      <c r="BO26">
        <f>AVERAGE(S_plus!BV$2:'S_plus'!BV26)</f>
        <v>97.047972917392002</v>
      </c>
      <c r="BP26">
        <f>AVERAGE(S_plus!BW$2:'S_plus'!BW26)</f>
        <v>93.711959271300003</v>
      </c>
      <c r="BQ26">
        <f>AVERAGE(S_plus!BX$2:'S_plus'!BX26)</f>
        <v>94.718092118520005</v>
      </c>
      <c r="BR26">
        <f>AVERAGE(S_plus!BY$2:'S_plus'!BY26)</f>
        <v>100.53579205320003</v>
      </c>
      <c r="BS26">
        <f>AVERAGE(S_plus!BZ$2:'S_plus'!BZ26)</f>
        <v>93.069751222624006</v>
      </c>
      <c r="BT26">
        <f>AVERAGE(S_plus!CA$2:'S_plus'!CA26)</f>
        <v>98.714410911108004</v>
      </c>
      <c r="BU26">
        <f>AVERAGE(S_plus!CB$2:'S_plus'!CB26)</f>
        <v>102.71200937425199</v>
      </c>
      <c r="BV26">
        <f>AVERAGE(S_plus!CC$2:'S_plus'!CC26)</f>
        <v>97.394760399976008</v>
      </c>
      <c r="BW26">
        <f>AVERAGE(S_plus!CD$2:'S_plus'!CD26)</f>
        <v>98.423605610344026</v>
      </c>
      <c r="BX26">
        <f>AVERAGE(S_plus!CE$2:'S_plus'!CE26)</f>
        <v>102.191881865756</v>
      </c>
      <c r="BY26">
        <f>AVERAGE(S_plus!CF$2:'S_plus'!CF26)</f>
        <v>96.057664367420003</v>
      </c>
      <c r="BZ26">
        <f>AVERAGE(S_plus!CG$2:'S_plus'!CG26)</f>
        <v>91.939249604539981</v>
      </c>
      <c r="CA26">
        <f>AVERAGE(S_plus!CH$2:'S_plus'!CH26)</f>
        <v>110.69163796432002</v>
      </c>
      <c r="CB26">
        <f>AVERAGE(S_plus!CI$2:'S_plus'!CI26)</f>
        <v>92.594557839635996</v>
      </c>
      <c r="CC26">
        <f>AVERAGE(S_plus!CJ$2:'S_plus'!CJ26)</f>
        <v>103.17026619586797</v>
      </c>
      <c r="CD26">
        <f>AVERAGE(S_plus!CK$2:'S_plus'!CK26)</f>
        <v>95.173999191047983</v>
      </c>
      <c r="CE26">
        <f>AVERAGE(S_plus!CL$2:'S_plus'!CL26)</f>
        <v>92.682208170788002</v>
      </c>
      <c r="CF26">
        <f>AVERAGE(S_plus!CM$2:'S_plus'!CM26)</f>
        <v>100.298773634272</v>
      </c>
      <c r="CG26">
        <f>AVERAGE(S_plus!CN$2:'S_plus'!CN26)</f>
        <v>95.115847412460013</v>
      </c>
      <c r="CH26">
        <f>AVERAGE(S_plus!CO$2:'S_plus'!CO26)</f>
        <v>105.59983111532</v>
      </c>
      <c r="CI26">
        <f>AVERAGE(S_plus!CP$2:'S_plus'!CP26)</f>
        <v>103.82442781633999</v>
      </c>
      <c r="CJ26">
        <f>AVERAGE(S_plus!CQ$2:'S_plus'!CQ26)</f>
        <v>106.62186507449202</v>
      </c>
      <c r="CK26">
        <f>AVERAGE(S_plus!CR$2:'S_plus'!CR26)</f>
        <v>101.65974426352801</v>
      </c>
      <c r="CL26">
        <f>AVERAGE(S_plus!CS$2:'S_plus'!CS26)</f>
        <v>106.47306961699998</v>
      </c>
      <c r="CM26">
        <f>AVERAGE(S_plus!CT$2:'S_plus'!CT26)</f>
        <v>105.772640224184</v>
      </c>
      <c r="CN26">
        <f>AVERAGE(S_plus!CU$2:'S_plus'!CU26)</f>
        <v>100.716270640608</v>
      </c>
      <c r="CO26">
        <f>AVERAGE(S_plus!CV$2:'S_plus'!CV26)</f>
        <v>103.725677729504</v>
      </c>
      <c r="CP26">
        <f>AVERAGE(S_plus!CW$2:'S_plus'!CW26)</f>
        <v>105.58069112004399</v>
      </c>
      <c r="CQ26">
        <f>AVERAGE(S_plus!CX$2:'S_plus'!CX26)</f>
        <v>106.120024770344</v>
      </c>
      <c r="CR26">
        <f>AVERAGE(S_plus!CY$2:'S_plus'!CY26)</f>
        <v>100.91995391443599</v>
      </c>
      <c r="CS26">
        <f>AVERAGE(S_plus!CZ$2:'S_plus'!CZ26)</f>
        <v>102.33977103776799</v>
      </c>
      <c r="CT26">
        <f>AVERAGE(S_plus!DA$2:'S_plus'!DA26)</f>
        <v>101.87680261280001</v>
      </c>
      <c r="CU26">
        <f>AVERAGE(S_plus!DB$2:'S_plus'!DB26)</f>
        <v>100.72022952669199</v>
      </c>
      <c r="CV26">
        <f>AVERAGE(S_plus!DC$2:'S_plus'!DC26)</f>
        <v>100.78011050872399</v>
      </c>
      <c r="CW26">
        <f>AVERAGE(S_plus!DD$2:'S_plus'!DD26)</f>
        <v>97.353073312484</v>
      </c>
      <c r="CX26">
        <f>AVERAGE(S_plus!DE$2:'S_plus'!DE26)</f>
        <v>103.52557413628797</v>
      </c>
      <c r="CY26">
        <f>AVERAGE(S_plus!DF$2:'S_plus'!DF26)</f>
        <v>98.365449652112019</v>
      </c>
      <c r="CZ26">
        <f>AVERAGE(S_plus!DG$2:'S_plus'!DG26)</f>
        <v>96.440480039199997</v>
      </c>
      <c r="DA26">
        <f>AVERAGE(S_plus!DH$2:'S_plus'!DH26)</f>
        <v>98.984661978088013</v>
      </c>
    </row>
    <row r="27" spans="5:105" x14ac:dyDescent="0.25">
      <c r="E27">
        <f>E26+Asian!dt</f>
        <v>0.25000000000000006</v>
      </c>
      <c r="F27">
        <f>AVERAGE(S_plus!M$2:'S_plus'!M27)</f>
        <v>90.298416448400019</v>
      </c>
      <c r="G27">
        <f>AVERAGE(S_plus!N$2:'S_plus'!N27)</f>
        <v>94.200713695261527</v>
      </c>
      <c r="H27">
        <f>AVERAGE(S_plus!O$2:'S_plus'!O27)</f>
        <v>110.96686145207693</v>
      </c>
      <c r="I27">
        <f>AVERAGE(S_plus!P$2:'S_plus'!P27)</f>
        <v>99.813145113873063</v>
      </c>
      <c r="J27">
        <f>AVERAGE(S_plus!Q$2:'S_plus'!Q27)</f>
        <v>98.801179821930802</v>
      </c>
      <c r="K27">
        <f>AVERAGE(S_plus!R$2:'S_plus'!R27)</f>
        <v>99.969319790065384</v>
      </c>
      <c r="L27">
        <f>AVERAGE(S_plus!S$2:'S_plus'!S27)</f>
        <v>112.1467517388846</v>
      </c>
      <c r="M27">
        <f>AVERAGE(S_plus!T$2:'S_plus'!T27)</f>
        <v>92.72916620043847</v>
      </c>
      <c r="N27">
        <f>AVERAGE(S_plus!U$2:'S_plus'!U27)</f>
        <v>110.13375500615385</v>
      </c>
      <c r="O27">
        <f>AVERAGE(S_plus!V$2:'S_plus'!V27)</f>
        <v>97.794722673369222</v>
      </c>
      <c r="P27">
        <f>AVERAGE(S_plus!W$2:'S_plus'!W27)</f>
        <v>100.89861524627692</v>
      </c>
      <c r="Q27">
        <f>AVERAGE(S_plus!X$2:'S_plus'!X27)</f>
        <v>103.07005133192307</v>
      </c>
      <c r="R27">
        <f>AVERAGE(S_plus!Y$2:'S_plus'!Y27)</f>
        <v>96.841782583153858</v>
      </c>
      <c r="S27">
        <f>AVERAGE(S_plus!Z$2:'S_plus'!Z27)</f>
        <v>100.48336482597304</v>
      </c>
      <c r="T27">
        <f>AVERAGE(S_plus!AA$2:'S_plus'!AA27)</f>
        <v>104.95794464296924</v>
      </c>
      <c r="U27">
        <f>AVERAGE(S_plus!AB$2:'S_plus'!AB27)</f>
        <v>94.001601686269225</v>
      </c>
      <c r="V27">
        <f>AVERAGE(S_plus!AC$2:'S_plus'!AC27)</f>
        <v>93.382050289361558</v>
      </c>
      <c r="W27">
        <f>AVERAGE(S_plus!AD$2:'S_plus'!AD27)</f>
        <v>95.58133478121924</v>
      </c>
      <c r="X27">
        <f>AVERAGE(S_plus!AE$2:'S_plus'!AE27)</f>
        <v>106.27461575451922</v>
      </c>
      <c r="Y27">
        <f>AVERAGE(S_plus!AF$2:'S_plus'!AF27)</f>
        <v>93.264437206042302</v>
      </c>
      <c r="Z27">
        <f>AVERAGE(S_plus!AG$2:'S_plus'!AG27)</f>
        <v>104.66844607668462</v>
      </c>
      <c r="AA27">
        <f>AVERAGE(S_plus!AH$2:'S_plus'!AH27)</f>
        <v>98.188180328530763</v>
      </c>
      <c r="AB27">
        <f>AVERAGE(S_plus!AI$2:'S_plus'!AI27)</f>
        <v>96.638514680699956</v>
      </c>
      <c r="AC27">
        <f>AVERAGE(S_plus!AJ$2:'S_plus'!AJ27)</f>
        <v>100.08493322192308</v>
      </c>
      <c r="AD27">
        <f>AVERAGE(S_plus!AK$2:'S_plus'!AK27)</f>
        <v>110.50013813446154</v>
      </c>
      <c r="AE27">
        <f>AVERAGE(S_plus!AL$2:'S_plus'!AL27)</f>
        <v>104.16319665874229</v>
      </c>
      <c r="AF27">
        <f>AVERAGE(S_plus!AM$2:'S_plus'!AM27)</f>
        <v>95.106203390284605</v>
      </c>
      <c r="AG27">
        <f>AVERAGE(S_plus!AN$2:'S_plus'!AN27)</f>
        <v>111.47682169530771</v>
      </c>
      <c r="AH27">
        <f>AVERAGE(S_plus!AO$2:'S_plus'!AO27)</f>
        <v>105.00250408381923</v>
      </c>
      <c r="AI27">
        <f>AVERAGE(S_plus!AP$2:'S_plus'!AP27)</f>
        <v>97.074401478903852</v>
      </c>
      <c r="AJ27">
        <f>AVERAGE(S_plus!AQ$2:'S_plus'!AQ27)</f>
        <v>99.355234950199986</v>
      </c>
      <c r="AK27">
        <f>AVERAGE(S_plus!AR$2:'S_plus'!AR27)</f>
        <v>100.19851374679229</v>
      </c>
      <c r="AL27">
        <f>AVERAGE(S_plus!AS$2:'S_plus'!AS27)</f>
        <v>109.23922617739616</v>
      </c>
      <c r="AM27">
        <f>AVERAGE(S_plus!AT$2:'S_plus'!AT27)</f>
        <v>93.423303445557707</v>
      </c>
      <c r="AN27">
        <f>AVERAGE(S_plus!AU$2:'S_plus'!AU27)</f>
        <v>98.184648413130773</v>
      </c>
      <c r="AO27">
        <f>AVERAGE(S_plus!AV$2:'S_plus'!AV27)</f>
        <v>97.543884267265355</v>
      </c>
      <c r="AP27">
        <f>AVERAGE(S_plus!AW$2:'S_plus'!AW27)</f>
        <v>108.60813273169229</v>
      </c>
      <c r="AQ27">
        <f>AVERAGE(S_plus!AX$2:'S_plus'!AX27)</f>
        <v>97.899252610111546</v>
      </c>
      <c r="AR27">
        <f>AVERAGE(S_plus!AY$2:'S_plus'!AY27)</f>
        <v>103.72184409712693</v>
      </c>
      <c r="AS27">
        <f>AVERAGE(S_plus!AZ$2:'S_plus'!AZ27)</f>
        <v>108.2460540106923</v>
      </c>
      <c r="AT27">
        <f>AVERAGE(S_plus!BA$2:'S_plus'!BA27)</f>
        <v>106.35797017399999</v>
      </c>
      <c r="AU27">
        <f>AVERAGE(S_plus!BB$2:'S_plus'!BB27)</f>
        <v>106.27425976893079</v>
      </c>
      <c r="AV27">
        <f>AVERAGE(S_plus!BC$2:'S_plus'!BC27)</f>
        <v>107.87842424262307</v>
      </c>
      <c r="AW27">
        <f>AVERAGE(S_plus!BD$2:'S_plus'!BD27)</f>
        <v>99.070105532299991</v>
      </c>
      <c r="AX27">
        <f>AVERAGE(S_plus!BE$2:'S_plus'!BE27)</f>
        <v>88.134662391657685</v>
      </c>
      <c r="AY27">
        <f>AVERAGE(S_plus!BF$2:'S_plus'!BF27)</f>
        <v>96.375133361569226</v>
      </c>
      <c r="AZ27">
        <f>AVERAGE(S_plus!BG$2:'S_plus'!BG27)</f>
        <v>93.369708384849986</v>
      </c>
      <c r="BA27">
        <f>AVERAGE(S_plus!BH$2:'S_plus'!BH27)</f>
        <v>100.3020319594</v>
      </c>
      <c r="BB27">
        <f>AVERAGE(S_plus!BI$2:'S_plus'!BI27)</f>
        <v>106.28189526326923</v>
      </c>
      <c r="BC27">
        <f>AVERAGE(S_plus!BJ$2:'S_plus'!BJ27)</f>
        <v>107.20648384696152</v>
      </c>
      <c r="BD27">
        <f>AVERAGE(S_plus!BK$2:'S_plus'!BK27)</f>
        <v>96.969859796099996</v>
      </c>
      <c r="BE27">
        <f>AVERAGE(S_plus!BL$2:'S_plus'!BL27)</f>
        <v>94.748052319119225</v>
      </c>
      <c r="BF27">
        <f>AVERAGE(S_plus!BM$2:'S_plus'!BM27)</f>
        <v>94.56902132906157</v>
      </c>
      <c r="BG27">
        <f>AVERAGE(S_plus!BN$2:'S_plus'!BN27)</f>
        <v>101.69419377933846</v>
      </c>
      <c r="BH27">
        <f>AVERAGE(S_plus!BO$2:'S_plus'!BO27)</f>
        <v>89.534911454811564</v>
      </c>
      <c r="BI27">
        <f>AVERAGE(S_plus!BP$2:'S_plus'!BP27)</f>
        <v>97.343818987769254</v>
      </c>
      <c r="BJ27">
        <f>AVERAGE(S_plus!BQ$2:'S_plus'!BQ27)</f>
        <v>93.392462178246149</v>
      </c>
      <c r="BK27">
        <f>AVERAGE(S_plus!BR$2:'S_plus'!BR27)</f>
        <v>100.14531602147692</v>
      </c>
      <c r="BL27">
        <f>AVERAGE(S_plus!BS$2:'S_plus'!BS27)</f>
        <v>104.1950716280346</v>
      </c>
      <c r="BM27">
        <f>AVERAGE(S_plus!BT$2:'S_plus'!BT27)</f>
        <v>108.22810524757693</v>
      </c>
      <c r="BN27">
        <f>AVERAGE(S_plus!BU$2:'S_plus'!BU27)</f>
        <v>103.43722805083077</v>
      </c>
      <c r="BO27">
        <f>AVERAGE(S_plus!BV$2:'S_plus'!BV27)</f>
        <v>97.133627883169225</v>
      </c>
      <c r="BP27">
        <f>AVERAGE(S_plus!BW$2:'S_plus'!BW27)</f>
        <v>93.588401154961531</v>
      </c>
      <c r="BQ27">
        <f>AVERAGE(S_plus!BX$2:'S_plus'!BX27)</f>
        <v>94.209952560280755</v>
      </c>
      <c r="BR27">
        <f>AVERAGE(S_plus!BY$2:'S_plus'!BY27)</f>
        <v>100.64243827696156</v>
      </c>
      <c r="BS27">
        <f>AVERAGE(S_plus!BZ$2:'S_plus'!BZ27)</f>
        <v>93.02188457295</v>
      </c>
      <c r="BT27">
        <f>AVERAGE(S_plus!CA$2:'S_plus'!CA27)</f>
        <v>98.535901287792313</v>
      </c>
      <c r="BU27">
        <f>AVERAGE(S_plus!CB$2:'S_plus'!CB27)</f>
        <v>102.8247614669346</v>
      </c>
      <c r="BV27">
        <f>AVERAGE(S_plus!CC$2:'S_plus'!CC27)</f>
        <v>97.365072033338464</v>
      </c>
      <c r="BW27">
        <f>AVERAGE(S_plus!CD$2:'S_plus'!CD27)</f>
        <v>98.521912718561552</v>
      </c>
      <c r="BX27">
        <f>AVERAGE(S_plus!CE$2:'S_plus'!CE27)</f>
        <v>102.51546244938078</v>
      </c>
      <c r="BY27">
        <f>AVERAGE(S_plus!CF$2:'S_plus'!CF27)</f>
        <v>95.870906041923092</v>
      </c>
      <c r="BZ27">
        <f>AVERAGE(S_plus!CG$2:'S_plus'!CG27)</f>
        <v>91.942451967365372</v>
      </c>
      <c r="CA27">
        <f>AVERAGE(S_plus!CH$2:'S_plus'!CH27)</f>
        <v>111.01976012269232</v>
      </c>
      <c r="CB27">
        <f>AVERAGE(S_plus!CI$2:'S_plus'!CI27)</f>
        <v>92.79453823047308</v>
      </c>
      <c r="CC27">
        <f>AVERAGE(S_plus!CJ$2:'S_plus'!CJ27)</f>
        <v>102.99971970650766</v>
      </c>
      <c r="CD27">
        <f>AVERAGE(S_plus!CK$2:'S_plus'!CK27)</f>
        <v>94.944198836896149</v>
      </c>
      <c r="CE27">
        <f>AVERAGE(S_plus!CL$2:'S_plus'!CL27)</f>
        <v>92.446100006565388</v>
      </c>
      <c r="CF27">
        <f>AVERAGE(S_plus!CM$2:'S_plus'!CM27)</f>
        <v>100.62550275149231</v>
      </c>
      <c r="CG27">
        <f>AVERAGE(S_plus!CN$2:'S_plus'!CN27)</f>
        <v>94.948117914461534</v>
      </c>
      <c r="CH27">
        <f>AVERAGE(S_plus!CO$2:'S_plus'!CO27)</f>
        <v>105.98611913211538</v>
      </c>
      <c r="CI27">
        <f>AVERAGE(S_plus!CP$2:'S_plus'!CP27)</f>
        <v>103.59280244332307</v>
      </c>
      <c r="CJ27">
        <f>AVERAGE(S_plus!CQ$2:'S_plus'!CQ27)</f>
        <v>106.54680301320386</v>
      </c>
      <c r="CK27">
        <f>AVERAGE(S_plus!CR$2:'S_plus'!CR27)</f>
        <v>101.77840645916154</v>
      </c>
      <c r="CL27">
        <f>AVERAGE(S_plus!CS$2:'S_plus'!CS27)</f>
        <v>106.6005215910769</v>
      </c>
      <c r="CM27">
        <f>AVERAGE(S_plus!CT$2:'S_plus'!CT27)</f>
        <v>105.99539960506152</v>
      </c>
      <c r="CN27">
        <f>AVERAGE(S_plus!CU$2:'S_plus'!CU27)</f>
        <v>100.638811039</v>
      </c>
      <c r="CO27">
        <f>AVERAGE(S_plus!CV$2:'S_plus'!CV27)</f>
        <v>103.20307167756155</v>
      </c>
      <c r="CP27">
        <f>AVERAGE(S_plus!CW$2:'S_plus'!CW27)</f>
        <v>105.99554520754229</v>
      </c>
      <c r="CQ27">
        <f>AVERAGE(S_plus!CX$2:'S_plus'!CX27)</f>
        <v>106.41257741436924</v>
      </c>
      <c r="CR27">
        <f>AVERAGE(S_plus!CY$2:'S_plus'!CY27)</f>
        <v>100.90497859607306</v>
      </c>
      <c r="CS27">
        <f>AVERAGE(S_plus!CZ$2:'S_plus'!CZ27)</f>
        <v>102.52340839081536</v>
      </c>
      <c r="CT27">
        <f>AVERAGE(S_plus!DA$2:'S_plus'!DA27)</f>
        <v>102.37412163500001</v>
      </c>
      <c r="CU27">
        <f>AVERAGE(S_plus!DB$2:'S_plus'!DB27)</f>
        <v>100.06518155545385</v>
      </c>
      <c r="CV27">
        <f>AVERAGE(S_plus!DC$2:'S_plus'!DC27)</f>
        <v>100.72279796804999</v>
      </c>
      <c r="CW27">
        <f>AVERAGE(S_plus!DD$2:'S_plus'!DD27)</f>
        <v>97.070015237842298</v>
      </c>
      <c r="CX27">
        <f>AVERAGE(S_plus!DE$2:'S_plus'!DE27)</f>
        <v>103.6359813724692</v>
      </c>
      <c r="CY27">
        <f>AVERAGE(S_plus!DF$2:'S_plus'!DF27)</f>
        <v>97.86153363356155</v>
      </c>
      <c r="CZ27">
        <f>AVERAGE(S_plus!DG$2:'S_plus'!DG27)</f>
        <v>96.268223653384609</v>
      </c>
      <c r="DA27">
        <f>AVERAGE(S_plus!DH$2:'S_plus'!DH27)</f>
        <v>99.068848483430784</v>
      </c>
    </row>
    <row r="28" spans="5:105" x14ac:dyDescent="0.25">
      <c r="E28">
        <f>E27+Asian!dt</f>
        <v>0.26000000000000006</v>
      </c>
      <c r="F28">
        <f>AVERAGE(S_plus!M$2:'S_plus'!M28)</f>
        <v>90.178973818577802</v>
      </c>
      <c r="G28">
        <f>AVERAGE(S_plus!N$2:'S_plus'!N28)</f>
        <v>94.539411290288882</v>
      </c>
      <c r="H28">
        <f>AVERAGE(S_plus!O$2:'S_plus'!O28)</f>
        <v>110.70701340296297</v>
      </c>
      <c r="I28">
        <f>AVERAGE(S_plus!P$2:'S_plus'!P28)</f>
        <v>99.778618217637018</v>
      </c>
      <c r="J28">
        <f>AVERAGE(S_plus!Q$2:'S_plus'!Q28)</f>
        <v>98.303803297044482</v>
      </c>
      <c r="K28">
        <f>AVERAGE(S_plus!R$2:'S_plus'!R28)</f>
        <v>99.87286383551853</v>
      </c>
      <c r="L28">
        <f>AVERAGE(S_plus!S$2:'S_plus'!S28)</f>
        <v>112.60135151092591</v>
      </c>
      <c r="M28">
        <f>AVERAGE(S_plus!T$2:'S_plus'!T28)</f>
        <v>92.33548725490742</v>
      </c>
      <c r="N28">
        <f>AVERAGE(S_plus!U$2:'S_plus'!U28)</f>
        <v>110.33250431799999</v>
      </c>
      <c r="O28">
        <f>AVERAGE(S_plus!V$2:'S_plus'!V28)</f>
        <v>98.044412232059244</v>
      </c>
      <c r="P28">
        <f>AVERAGE(S_plus!W$2:'S_plus'!W28)</f>
        <v>101.01855909445185</v>
      </c>
      <c r="Q28">
        <f>AVERAGE(S_plus!X$2:'S_plus'!X28)</f>
        <v>103.57490368625925</v>
      </c>
      <c r="R28">
        <f>AVERAGE(S_plus!Y$2:'S_plus'!Y28)</f>
        <v>96.605064729544452</v>
      </c>
      <c r="S28">
        <f>AVERAGE(S_plus!Z$2:'S_plus'!Z28)</f>
        <v>100.82132601715922</v>
      </c>
      <c r="T28">
        <f>AVERAGE(S_plus!AA$2:'S_plus'!AA28)</f>
        <v>104.77652344104445</v>
      </c>
      <c r="U28">
        <f>AVERAGE(S_plus!AB$2:'S_plus'!AB28)</f>
        <v>93.880825903925924</v>
      </c>
      <c r="V28">
        <f>AVERAGE(S_plus!AC$2:'S_plus'!AC28)</f>
        <v>93.300016109985208</v>
      </c>
      <c r="W28">
        <f>AVERAGE(S_plus!AD$2:'S_plus'!AD28)</f>
        <v>95.61411597330742</v>
      </c>
      <c r="X28">
        <f>AVERAGE(S_plus!AE$2:'S_plus'!AE28)</f>
        <v>106.77918922735184</v>
      </c>
      <c r="Y28">
        <f>AVERAGE(S_plus!AF$2:'S_plus'!AF28)</f>
        <v>93.447763147922231</v>
      </c>
      <c r="Z28">
        <f>AVERAGE(S_plus!AG$2:'S_plus'!AG28)</f>
        <v>104.73858093806666</v>
      </c>
      <c r="AA28">
        <f>AVERAGE(S_plus!AH$2:'S_plus'!AH28)</f>
        <v>98.104284733244441</v>
      </c>
      <c r="AB28">
        <f>AVERAGE(S_plus!AI$2:'S_plus'!AI28)</f>
        <v>96.380794894059235</v>
      </c>
      <c r="AC28">
        <f>AVERAGE(S_plus!AJ$2:'S_plus'!AJ28)</f>
        <v>99.893463337240732</v>
      </c>
      <c r="AD28">
        <f>AVERAGE(S_plus!AK$2:'S_plus'!AK28)</f>
        <v>110.77494308159258</v>
      </c>
      <c r="AE28">
        <f>AVERAGE(S_plus!AL$2:'S_plus'!AL28)</f>
        <v>104.3882452763074</v>
      </c>
      <c r="AF28">
        <f>AVERAGE(S_plus!AM$2:'S_plus'!AM28)</f>
        <v>94.987989691377763</v>
      </c>
      <c r="AG28">
        <f>AVERAGE(S_plus!AN$2:'S_plus'!AN28)</f>
        <v>111.90952616755557</v>
      </c>
      <c r="AH28">
        <f>AVERAGE(S_plus!AO$2:'S_plus'!AO28)</f>
        <v>104.66735808343334</v>
      </c>
      <c r="AI28">
        <f>AVERAGE(S_plus!AP$2:'S_plus'!AP28)</f>
        <v>97.057809534255568</v>
      </c>
      <c r="AJ28">
        <f>AVERAGE(S_plus!AQ$2:'S_plus'!AQ28)</f>
        <v>99.422181928562949</v>
      </c>
      <c r="AK28">
        <f>AVERAGE(S_plus!AR$2:'S_plus'!AR28)</f>
        <v>100.26097326909628</v>
      </c>
      <c r="AL28">
        <f>AVERAGE(S_plus!AS$2:'S_plus'!AS28)</f>
        <v>109.66780675949259</v>
      </c>
      <c r="AM28">
        <f>AVERAGE(S_plus!AT$2:'S_plus'!AT28)</f>
        <v>93.239999974214825</v>
      </c>
      <c r="AN28">
        <f>AVERAGE(S_plus!AU$2:'S_plus'!AU28)</f>
        <v>98.02044766221853</v>
      </c>
      <c r="AO28">
        <f>AVERAGE(S_plus!AV$2:'S_plus'!AV28)</f>
        <v>97.430790997366657</v>
      </c>
      <c r="AP28">
        <f>AVERAGE(S_plus!AW$2:'S_plus'!AW28)</f>
        <v>108.85291179885184</v>
      </c>
      <c r="AQ28">
        <f>AVERAGE(S_plus!AX$2:'S_plus'!AX28)</f>
        <v>97.881043703855553</v>
      </c>
      <c r="AR28">
        <f>AVERAGE(S_plus!AY$2:'S_plus'!AY28)</f>
        <v>103.30433559275558</v>
      </c>
      <c r="AS28">
        <f>AVERAGE(S_plus!AZ$2:'S_plus'!AZ28)</f>
        <v>108.63246649848149</v>
      </c>
      <c r="AT28">
        <f>AVERAGE(S_plus!BA$2:'S_plus'!BA28)</f>
        <v>106.38227702448147</v>
      </c>
      <c r="AU28">
        <f>AVERAGE(S_plus!BB$2:'S_plus'!BB28)</f>
        <v>106.26356738271113</v>
      </c>
      <c r="AV28">
        <f>AVERAGE(S_plus!BC$2:'S_plus'!BC28)</f>
        <v>107.89294978963702</v>
      </c>
      <c r="AW28">
        <f>AVERAGE(S_plus!BD$2:'S_plus'!BD28)</f>
        <v>99.225568323066653</v>
      </c>
      <c r="AX28">
        <f>AVERAGE(S_plus!BE$2:'S_plus'!BE28)</f>
        <v>87.991557728985185</v>
      </c>
      <c r="AY28">
        <f>AVERAGE(S_plus!BF$2:'S_plus'!BF28)</f>
        <v>96.099433520659261</v>
      </c>
      <c r="AZ28">
        <f>AVERAGE(S_plus!BG$2:'S_plus'!BG28)</f>
        <v>93.377914318651833</v>
      </c>
      <c r="BA28">
        <f>AVERAGE(S_plus!BH$2:'S_plus'!BH28)</f>
        <v>100.44678099386667</v>
      </c>
      <c r="BB28">
        <f>AVERAGE(S_plus!BI$2:'S_plus'!BI28)</f>
        <v>106.50493243340742</v>
      </c>
      <c r="BC28">
        <f>AVERAGE(S_plus!BJ$2:'S_plus'!BJ28)</f>
        <v>107.22299676892591</v>
      </c>
      <c r="BD28">
        <f>AVERAGE(S_plus!BK$2:'S_plus'!BK28)</f>
        <v>96.796895696048139</v>
      </c>
      <c r="BE28">
        <f>AVERAGE(S_plus!BL$2:'S_plus'!BL28)</f>
        <v>94.597728881407406</v>
      </c>
      <c r="BF28">
        <f>AVERAGE(S_plus!BM$2:'S_plus'!BM28)</f>
        <v>94.729636277340774</v>
      </c>
      <c r="BG28">
        <f>AVERAGE(S_plus!BN$2:'S_plus'!BN28)</f>
        <v>101.56511432746295</v>
      </c>
      <c r="BH28">
        <f>AVERAGE(S_plus!BO$2:'S_plus'!BO28)</f>
        <v>89.339722393977794</v>
      </c>
      <c r="BI28">
        <f>AVERAGE(S_plus!BP$2:'S_plus'!BP28)</f>
        <v>97.128467043762981</v>
      </c>
      <c r="BJ28">
        <f>AVERAGE(S_plus!BQ$2:'S_plus'!BQ28)</f>
        <v>92.957452352340738</v>
      </c>
      <c r="BK28">
        <f>AVERAGE(S_plus!BR$2:'S_plus'!BR28)</f>
        <v>100.55032923371851</v>
      </c>
      <c r="BL28">
        <f>AVERAGE(S_plus!BS$2:'S_plus'!BS28)</f>
        <v>104.17094184040369</v>
      </c>
      <c r="BM28">
        <f>AVERAGE(S_plus!BT$2:'S_plus'!BT28)</f>
        <v>108.38601541381483</v>
      </c>
      <c r="BN28">
        <f>AVERAGE(S_plus!BU$2:'S_plus'!BU28)</f>
        <v>103.45415418713334</v>
      </c>
      <c r="BO28">
        <f>AVERAGE(S_plus!BV$2:'S_plus'!BV28)</f>
        <v>97.184609056585188</v>
      </c>
      <c r="BP28">
        <f>AVERAGE(S_plus!BW$2:'S_plus'!BW28)</f>
        <v>93.397351561633329</v>
      </c>
      <c r="BQ28">
        <f>AVERAGE(S_plus!BX$2:'S_plus'!BX28)</f>
        <v>93.728115233655544</v>
      </c>
      <c r="BR28">
        <f>AVERAGE(S_plus!BY$2:'S_plus'!BY28)</f>
        <v>100.74175258844446</v>
      </c>
      <c r="BS28">
        <f>AVERAGE(S_plus!BZ$2:'S_plus'!BZ28)</f>
        <v>92.914980520596302</v>
      </c>
      <c r="BT28">
        <f>AVERAGE(S_plus!CA$2:'S_plus'!CA28)</f>
        <v>98.356274134937053</v>
      </c>
      <c r="BU28">
        <f>AVERAGE(S_plus!CB$2:'S_plus'!CB28)</f>
        <v>102.8974299363074</v>
      </c>
      <c r="BV28">
        <f>AVERAGE(S_plus!CC$2:'S_plus'!CC28)</f>
        <v>97.363060584455553</v>
      </c>
      <c r="BW28">
        <f>AVERAGE(S_plus!CD$2:'S_plus'!CD28)</f>
        <v>98.607615971096308</v>
      </c>
      <c r="BX28">
        <f>AVERAGE(S_plus!CE$2:'S_plus'!CE28)</f>
        <v>102.60450031581112</v>
      </c>
      <c r="BY28">
        <f>AVERAGE(S_plus!CF$2:'S_plus'!CF28)</f>
        <v>95.68650709682224</v>
      </c>
      <c r="BZ28">
        <f>AVERAGE(S_plus!CG$2:'S_plus'!CG28)</f>
        <v>91.9073603790074</v>
      </c>
      <c r="CA28">
        <f>AVERAGE(S_plus!CH$2:'S_plus'!CH28)</f>
        <v>111.33801185496297</v>
      </c>
      <c r="CB28">
        <f>AVERAGE(S_plus!CI$2:'S_plus'!CI28)</f>
        <v>92.989114624503699</v>
      </c>
      <c r="CC28">
        <f>AVERAGE(S_plus!CJ$2:'S_plus'!CJ28)</f>
        <v>102.72542468999255</v>
      </c>
      <c r="CD28">
        <f>AVERAGE(S_plus!CK$2:'S_plus'!CK28)</f>
        <v>94.598057752437029</v>
      </c>
      <c r="CE28">
        <f>AVERAGE(S_plus!CL$2:'S_plus'!CL28)</f>
        <v>92.177978417859265</v>
      </c>
      <c r="CF28">
        <f>AVERAGE(S_plus!CM$2:'S_plus'!CM28)</f>
        <v>101.0857094871037</v>
      </c>
      <c r="CG28">
        <f>AVERAGE(S_plus!CN$2:'S_plus'!CN28)</f>
        <v>94.645038306529628</v>
      </c>
      <c r="CH28">
        <f>AVERAGE(S_plus!CO$2:'S_plus'!CO28)</f>
        <v>106.53375525159259</v>
      </c>
      <c r="CI28">
        <f>AVERAGE(S_plus!CP$2:'S_plus'!CP28)</f>
        <v>103.24989671277035</v>
      </c>
      <c r="CJ28">
        <f>AVERAGE(S_plus!CQ$2:'S_plus'!CQ28)</f>
        <v>106.4405207960852</v>
      </c>
      <c r="CK28">
        <f>AVERAGE(S_plus!CR$2:'S_plus'!CR28)</f>
        <v>101.76056418485926</v>
      </c>
      <c r="CL28">
        <f>AVERAGE(S_plus!CS$2:'S_plus'!CS28)</f>
        <v>106.60632325699999</v>
      </c>
      <c r="CM28">
        <f>AVERAGE(S_plus!CT$2:'S_plus'!CT28)</f>
        <v>106.10610778050369</v>
      </c>
      <c r="CN28">
        <f>AVERAGE(S_plus!CU$2:'S_plus'!CU28)</f>
        <v>100.56409757857779</v>
      </c>
      <c r="CO28">
        <f>AVERAGE(S_plus!CV$2:'S_plus'!CV28)</f>
        <v>102.55060807885927</v>
      </c>
      <c r="CP28">
        <f>AVERAGE(S_plus!CW$2:'S_plus'!CW28)</f>
        <v>106.24136952655925</v>
      </c>
      <c r="CQ28">
        <f>AVERAGE(S_plus!CX$2:'S_plus'!CX28)</f>
        <v>106.68332187924445</v>
      </c>
      <c r="CR28">
        <f>AVERAGE(S_plus!CY$2:'S_plus'!CY28)</f>
        <v>100.94200596969998</v>
      </c>
      <c r="CS28">
        <f>AVERAGE(S_plus!CZ$2:'S_plus'!CZ28)</f>
        <v>102.77514650137776</v>
      </c>
      <c r="CT28">
        <f>AVERAGE(S_plus!DA$2:'S_plus'!DA28)</f>
        <v>102.76263023144446</v>
      </c>
      <c r="CU28">
        <f>AVERAGE(S_plus!DB$2:'S_plus'!DB28)</f>
        <v>99.52927147489261</v>
      </c>
      <c r="CV28">
        <f>AVERAGE(S_plus!DC$2:'S_plus'!DC28)</f>
        <v>100.68262746863331</v>
      </c>
      <c r="CW28">
        <f>AVERAGE(S_plus!DD$2:'S_plus'!DD28)</f>
        <v>96.704001187055553</v>
      </c>
      <c r="CX28">
        <f>AVERAGE(S_plus!DE$2:'S_plus'!DE28)</f>
        <v>103.64390817826663</v>
      </c>
      <c r="CY28">
        <f>AVERAGE(S_plus!DF$2:'S_plus'!DF28)</f>
        <v>97.513831043225949</v>
      </c>
      <c r="CZ28">
        <f>AVERAGE(S_plus!DG$2:'S_plus'!DG28)</f>
        <v>96.077090914640735</v>
      </c>
      <c r="DA28">
        <f>AVERAGE(S_plus!DH$2:'S_plus'!DH28)</f>
        <v>99.137224788155564</v>
      </c>
    </row>
    <row r="29" spans="5:105" x14ac:dyDescent="0.25">
      <c r="E29">
        <f>E28+Asian!dt</f>
        <v>0.27000000000000007</v>
      </c>
      <c r="F29">
        <f>AVERAGE(S_plus!M$2:'S_plus'!M29)</f>
        <v>90.014602152032154</v>
      </c>
      <c r="G29">
        <f>AVERAGE(S_plus!N$2:'S_plus'!N29)</f>
        <v>94.836247543849979</v>
      </c>
      <c r="H29">
        <f>AVERAGE(S_plus!O$2:'S_plus'!O29)</f>
        <v>110.43324549053571</v>
      </c>
      <c r="I29">
        <f>AVERAGE(S_plus!P$2:'S_plus'!P29)</f>
        <v>99.802714919685698</v>
      </c>
      <c r="J29">
        <f>AVERAGE(S_plus!Q$2:'S_plus'!Q29)</f>
        <v>97.875807030367895</v>
      </c>
      <c r="K29">
        <f>AVERAGE(S_plus!R$2:'S_plus'!R29)</f>
        <v>99.791785000196441</v>
      </c>
      <c r="L29">
        <f>AVERAGE(S_plus!S$2:'S_plus'!S29)</f>
        <v>113.02556883457142</v>
      </c>
      <c r="M29">
        <f>AVERAGE(S_plus!T$2:'S_plus'!T29)</f>
        <v>91.99530184184286</v>
      </c>
      <c r="N29">
        <f>AVERAGE(S_plus!U$2:'S_plus'!U29)</f>
        <v>110.60147480464285</v>
      </c>
      <c r="O29">
        <f>AVERAGE(S_plus!V$2:'S_plus'!V29)</f>
        <v>98.308208798021411</v>
      </c>
      <c r="P29">
        <f>AVERAGE(S_plus!W$2:'S_plus'!W29)</f>
        <v>101.09276380879285</v>
      </c>
      <c r="Q29">
        <f>AVERAGE(S_plus!X$2:'S_plus'!X29)</f>
        <v>104.1577660540357</v>
      </c>
      <c r="R29">
        <f>AVERAGE(S_plus!Y$2:'S_plus'!Y29)</f>
        <v>96.417425450949992</v>
      </c>
      <c r="S29">
        <f>AVERAGE(S_plus!Z$2:'S_plus'!Z29)</f>
        <v>101.11602166336783</v>
      </c>
      <c r="T29">
        <f>AVERAGE(S_plus!AA$2:'S_plus'!AA29)</f>
        <v>104.67077619515</v>
      </c>
      <c r="U29">
        <f>AVERAGE(S_plus!AB$2:'S_plus'!AB29)</f>
        <v>93.872821058949995</v>
      </c>
      <c r="V29">
        <f>AVERAGE(S_plus!AC$2:'S_plus'!AC29)</f>
        <v>93.290418245371455</v>
      </c>
      <c r="W29">
        <f>AVERAGE(S_plus!AD$2:'S_plus'!AD29)</f>
        <v>95.565350188842871</v>
      </c>
      <c r="X29">
        <f>AVERAGE(S_plus!AE$2:'S_plus'!AE29)</f>
        <v>107.35243999730356</v>
      </c>
      <c r="Y29">
        <f>AVERAGE(S_plus!AF$2:'S_plus'!AF29)</f>
        <v>93.665377746882157</v>
      </c>
      <c r="Z29">
        <f>AVERAGE(S_plus!AG$2:'S_plus'!AG29)</f>
        <v>104.7750660276</v>
      </c>
      <c r="AA29">
        <f>AVERAGE(S_plus!AH$2:'S_plus'!AH29)</f>
        <v>98.147864406392856</v>
      </c>
      <c r="AB29">
        <f>AVERAGE(S_plus!AI$2:'S_plus'!AI29)</f>
        <v>95.972124818978543</v>
      </c>
      <c r="AC29">
        <f>AVERAGE(S_plus!AJ$2:'S_plus'!AJ29)</f>
        <v>99.693803253874989</v>
      </c>
      <c r="AD29">
        <f>AVERAGE(S_plus!AK$2:'S_plus'!AK29)</f>
        <v>111.0796704072857</v>
      </c>
      <c r="AE29">
        <f>AVERAGE(S_plus!AL$2:'S_plus'!AL29)</f>
        <v>104.44823454351071</v>
      </c>
      <c r="AF29">
        <f>AVERAGE(S_plus!AM$2:'S_plus'!AM29)</f>
        <v>94.968375932417842</v>
      </c>
      <c r="AG29">
        <f>AVERAGE(S_plus!AN$2:'S_plus'!AN29)</f>
        <v>112.46303262107143</v>
      </c>
      <c r="AH29">
        <f>AVERAGE(S_plus!AO$2:'S_plus'!AO29)</f>
        <v>104.42652304949286</v>
      </c>
      <c r="AI29">
        <f>AVERAGE(S_plus!AP$2:'S_plus'!AP29)</f>
        <v>97.02160714002143</v>
      </c>
      <c r="AJ29">
        <f>AVERAGE(S_plus!AQ$2:'S_plus'!AQ29)</f>
        <v>99.36273503394284</v>
      </c>
      <c r="AK29">
        <f>AVERAGE(S_plus!AR$2:'S_plus'!AR29)</f>
        <v>100.45874796716427</v>
      </c>
      <c r="AL29">
        <f>AVERAGE(S_plus!AS$2:'S_plus'!AS29)</f>
        <v>110.11033677315358</v>
      </c>
      <c r="AM29">
        <f>AVERAGE(S_plus!AT$2:'S_plus'!AT29)</f>
        <v>93.157817566657158</v>
      </c>
      <c r="AN29">
        <f>AVERAGE(S_plus!AU$2:'S_plus'!AU29)</f>
        <v>97.896705001807149</v>
      </c>
      <c r="AO29">
        <f>AVERAGE(S_plus!AV$2:'S_plus'!AV29)</f>
        <v>97.481629804042839</v>
      </c>
      <c r="AP29">
        <f>AVERAGE(S_plus!AW$2:'S_plus'!AW29)</f>
        <v>109.01724693617857</v>
      </c>
      <c r="AQ29">
        <f>AVERAGE(S_plus!AX$2:'S_plus'!AX29)</f>
        <v>97.872668338942859</v>
      </c>
      <c r="AR29">
        <f>AVERAGE(S_plus!AY$2:'S_plus'!AY29)</f>
        <v>102.84583041797859</v>
      </c>
      <c r="AS29">
        <f>AVERAGE(S_plus!AZ$2:'S_plus'!AZ29)</f>
        <v>109.03629317185714</v>
      </c>
      <c r="AT29">
        <f>AVERAGE(S_plus!BA$2:'S_plus'!BA29)</f>
        <v>106.50618386524999</v>
      </c>
      <c r="AU29">
        <f>AVERAGE(S_plus!BB$2:'S_plus'!BB29)</f>
        <v>106.2164588041143</v>
      </c>
      <c r="AV29">
        <f>AVERAGE(S_plus!BC$2:'S_plus'!BC29)</f>
        <v>107.89828042322141</v>
      </c>
      <c r="AW29">
        <f>AVERAGE(S_plus!BD$2:'S_plus'!BD29)</f>
        <v>99.424347427599983</v>
      </c>
      <c r="AX29">
        <f>AVERAGE(S_plus!BE$2:'S_plus'!BE29)</f>
        <v>87.936564947835706</v>
      </c>
      <c r="AY29">
        <f>AVERAGE(S_plus!BF$2:'S_plus'!BF29)</f>
        <v>95.916859054782137</v>
      </c>
      <c r="AZ29">
        <f>AVERAGE(S_plus!BG$2:'S_plus'!BG29)</f>
        <v>93.390343645921419</v>
      </c>
      <c r="BA29">
        <f>AVERAGE(S_plus!BH$2:'S_plus'!BH29)</f>
        <v>100.55380831537143</v>
      </c>
      <c r="BB29">
        <f>AVERAGE(S_plus!BI$2:'S_plus'!BI29)</f>
        <v>106.68210685628573</v>
      </c>
      <c r="BC29">
        <f>AVERAGE(S_plus!BJ$2:'S_plus'!BJ29)</f>
        <v>107.21816745942856</v>
      </c>
      <c r="BD29">
        <f>AVERAGE(S_plus!BK$2:'S_plus'!BK29)</f>
        <v>96.698648410364271</v>
      </c>
      <c r="BE29">
        <f>AVERAGE(S_plus!BL$2:'S_plus'!BL29)</f>
        <v>94.434641331557145</v>
      </c>
      <c r="BF29">
        <f>AVERAGE(S_plus!BM$2:'S_plus'!BM29)</f>
        <v>94.870618453507177</v>
      </c>
      <c r="BG29">
        <f>AVERAGE(S_plus!BN$2:'S_plus'!BN29)</f>
        <v>101.54264056812499</v>
      </c>
      <c r="BH29">
        <f>AVERAGE(S_plus!BO$2:'S_plus'!BO29)</f>
        <v>89.091648014542869</v>
      </c>
      <c r="BI29">
        <f>AVERAGE(S_plus!BP$2:'S_plus'!BP29)</f>
        <v>96.961933976553595</v>
      </c>
      <c r="BJ29">
        <f>AVERAGE(S_plus!BQ$2:'S_plus'!BQ29)</f>
        <v>92.55945869091785</v>
      </c>
      <c r="BK29">
        <f>AVERAGE(S_plus!BR$2:'S_plus'!BR29)</f>
        <v>100.80799261169285</v>
      </c>
      <c r="BL29">
        <f>AVERAGE(S_plus!BS$2:'S_plus'!BS29)</f>
        <v>104.21398069110354</v>
      </c>
      <c r="BM29">
        <f>AVERAGE(S_plus!BT$2:'S_plus'!BT29)</f>
        <v>108.58277047153572</v>
      </c>
      <c r="BN29">
        <f>AVERAGE(S_plus!BU$2:'S_plus'!BU29)</f>
        <v>103.44629554527144</v>
      </c>
      <c r="BO29">
        <f>AVERAGE(S_plus!BV$2:'S_plus'!BV29)</f>
        <v>97.1725433367357</v>
      </c>
      <c r="BP29">
        <f>AVERAGE(S_plus!BW$2:'S_plus'!BW29)</f>
        <v>93.191604288264287</v>
      </c>
      <c r="BQ29">
        <f>AVERAGE(S_plus!BX$2:'S_plus'!BX29)</f>
        <v>93.290823723460704</v>
      </c>
      <c r="BR29">
        <f>AVERAGE(S_plus!BY$2:'S_plus'!BY29)</f>
        <v>100.80656729653573</v>
      </c>
      <c r="BS29">
        <f>AVERAGE(S_plus!BZ$2:'S_plus'!BZ29)</f>
        <v>92.868203183096426</v>
      </c>
      <c r="BT29">
        <f>AVERAGE(S_plus!CA$2:'S_plus'!CA29)</f>
        <v>98.29009299560002</v>
      </c>
      <c r="BU29">
        <f>AVERAGE(S_plus!CB$2:'S_plus'!CB29)</f>
        <v>102.90515543233212</v>
      </c>
      <c r="BV29">
        <f>AVERAGE(S_plus!CC$2:'S_plus'!CC29)</f>
        <v>97.317248184307147</v>
      </c>
      <c r="BW29">
        <f>AVERAGE(S_plus!CD$2:'S_plus'!CD29)</f>
        <v>98.713186809557143</v>
      </c>
      <c r="BX29">
        <f>AVERAGE(S_plus!CE$2:'S_plus'!CE29)</f>
        <v>102.801585625675</v>
      </c>
      <c r="BY29">
        <f>AVERAGE(S_plus!CF$2:'S_plus'!CF29)</f>
        <v>95.484117279721445</v>
      </c>
      <c r="BZ29">
        <f>AVERAGE(S_plus!CG$2:'S_plus'!CG29)</f>
        <v>91.871880041278558</v>
      </c>
      <c r="CA29">
        <f>AVERAGE(S_plus!CH$2:'S_plus'!CH29)</f>
        <v>111.57848238596431</v>
      </c>
      <c r="CB29">
        <f>AVERAGE(S_plus!CI$2:'S_plus'!CI29)</f>
        <v>93.125725366632153</v>
      </c>
      <c r="CC29">
        <f>AVERAGE(S_plus!CJ$2:'S_plus'!CJ29)</f>
        <v>102.44594207957854</v>
      </c>
      <c r="CD29">
        <f>AVERAGE(S_plus!CK$2:'S_plus'!CK29)</f>
        <v>94.289581450685702</v>
      </c>
      <c r="CE29">
        <f>AVERAGE(S_plus!CL$2:'S_plus'!CL29)</f>
        <v>91.972225628389296</v>
      </c>
      <c r="CF29">
        <f>AVERAGE(S_plus!CM$2:'S_plus'!CM29)</f>
        <v>101.44033040656429</v>
      </c>
      <c r="CG29">
        <f>AVERAGE(S_plus!CN$2:'S_plus'!CN29)</f>
        <v>94.315625234071419</v>
      </c>
      <c r="CH29">
        <f>AVERAGE(S_plus!CO$2:'S_plus'!CO29)</f>
        <v>106.93784819917857</v>
      </c>
      <c r="CI29">
        <f>AVERAGE(S_plus!CP$2:'S_plus'!CP29)</f>
        <v>102.87334651958213</v>
      </c>
      <c r="CJ29">
        <f>AVERAGE(S_plus!CQ$2:'S_plus'!CQ29)</f>
        <v>106.33058568451074</v>
      </c>
      <c r="CK29">
        <f>AVERAGE(S_plus!CR$2:'S_plus'!CR29)</f>
        <v>101.71056817329286</v>
      </c>
      <c r="CL29">
        <f>AVERAGE(S_plus!CS$2:'S_plus'!CS29)</f>
        <v>106.55105845210713</v>
      </c>
      <c r="CM29">
        <f>AVERAGE(S_plus!CT$2:'S_plus'!CT29)</f>
        <v>106.25047584795</v>
      </c>
      <c r="CN29">
        <f>AVERAGE(S_plus!CU$2:'S_plus'!CU29)</f>
        <v>100.53697888249643</v>
      </c>
      <c r="CO29">
        <f>AVERAGE(S_plus!CV$2:'S_plus'!CV29)</f>
        <v>101.96723545627142</v>
      </c>
      <c r="CP29">
        <f>AVERAGE(S_plus!CW$2:'S_plus'!CW29)</f>
        <v>106.46601501093213</v>
      </c>
      <c r="CQ29">
        <f>AVERAGE(S_plus!CX$2:'S_plus'!CX29)</f>
        <v>106.92838568198572</v>
      </c>
      <c r="CR29">
        <f>AVERAGE(S_plus!CY$2:'S_plus'!CY29)</f>
        <v>100.87804147052498</v>
      </c>
      <c r="CS29">
        <f>AVERAGE(S_plus!CZ$2:'S_plus'!CZ29)</f>
        <v>102.9554891694</v>
      </c>
      <c r="CT29">
        <f>AVERAGE(S_plus!DA$2:'S_plus'!DA29)</f>
        <v>103.18221085575001</v>
      </c>
      <c r="CU29">
        <f>AVERAGE(S_plus!DB$2:'S_plus'!DB29)</f>
        <v>98.986491905392867</v>
      </c>
      <c r="CV29">
        <f>AVERAGE(S_plus!DC$2:'S_plus'!DC29)</f>
        <v>100.58104010460355</v>
      </c>
      <c r="CW29">
        <f>AVERAGE(S_plus!DD$2:'S_plus'!DD29)</f>
        <v>96.355003876689281</v>
      </c>
      <c r="CX29">
        <f>AVERAGE(S_plus!DE$2:'S_plus'!DE29)</f>
        <v>103.68033500672139</v>
      </c>
      <c r="CY29">
        <f>AVERAGE(S_plus!DF$2:'S_plus'!DF29)</f>
        <v>97.152337582178589</v>
      </c>
      <c r="CZ29">
        <f>AVERAGE(S_plus!DG$2:'S_plus'!DG29)</f>
        <v>95.868291784799993</v>
      </c>
      <c r="DA29">
        <f>AVERAGE(S_plus!DH$2:'S_plus'!DH29)</f>
        <v>99.313333743685718</v>
      </c>
    </row>
    <row r="30" spans="5:105" x14ac:dyDescent="0.25">
      <c r="E30">
        <f>E29+Asian!dt</f>
        <v>0.28000000000000008</v>
      </c>
      <c r="F30">
        <f>AVERAGE(S_plus!M$2:'S_plus'!M30)</f>
        <v>89.830472263103459</v>
      </c>
      <c r="G30">
        <f>AVERAGE(S_plus!N$2:'S_plus'!N30)</f>
        <v>95.046889199165491</v>
      </c>
      <c r="H30">
        <f>AVERAGE(S_plus!O$2:'S_plus'!O30)</f>
        <v>110.0393653776931</v>
      </c>
      <c r="I30">
        <f>AVERAGE(S_plus!P$2:'S_plus'!P30)</f>
        <v>99.881419624075846</v>
      </c>
      <c r="J30">
        <f>AVERAGE(S_plus!Q$2:'S_plus'!Q30)</f>
        <v>97.46112174433452</v>
      </c>
      <c r="K30">
        <f>AVERAGE(S_plus!R$2:'S_plus'!R30)</f>
        <v>99.860357804362081</v>
      </c>
      <c r="L30">
        <f>AVERAGE(S_plus!S$2:'S_plus'!S30)</f>
        <v>113.38055860075859</v>
      </c>
      <c r="M30">
        <f>AVERAGE(S_plus!T$2:'S_plus'!T30)</f>
        <v>91.652062489086205</v>
      </c>
      <c r="N30">
        <f>AVERAGE(S_plus!U$2:'S_plus'!U30)</f>
        <v>110.79405201089654</v>
      </c>
      <c r="O30">
        <f>AVERAGE(S_plus!V$2:'S_plus'!V30)</f>
        <v>98.495426515779286</v>
      </c>
      <c r="P30">
        <f>AVERAGE(S_plus!W$2:'S_plus'!W30)</f>
        <v>101.15481332345517</v>
      </c>
      <c r="Q30">
        <f>AVERAGE(S_plus!X$2:'S_plus'!X30)</f>
        <v>104.51214558182757</v>
      </c>
      <c r="R30">
        <f>AVERAGE(S_plus!Y$2:'S_plus'!Y30)</f>
        <v>96.255836521062065</v>
      </c>
      <c r="S30">
        <f>AVERAGE(S_plus!Z$2:'S_plus'!Z30)</f>
        <v>101.40459899242411</v>
      </c>
      <c r="T30">
        <f>AVERAGE(S_plus!AA$2:'S_plus'!AA30)</f>
        <v>104.70073100731724</v>
      </c>
      <c r="U30">
        <f>AVERAGE(S_plus!AB$2:'S_plus'!AB30)</f>
        <v>93.886966297058621</v>
      </c>
      <c r="V30">
        <f>AVERAGE(S_plus!AC$2:'S_plus'!AC30)</f>
        <v>93.222673576372443</v>
      </c>
      <c r="W30">
        <f>AVERAGE(S_plus!AD$2:'S_plus'!AD30)</f>
        <v>95.552711368834494</v>
      </c>
      <c r="X30">
        <f>AVERAGE(S_plus!AE$2:'S_plus'!AE30)</f>
        <v>107.78056740049999</v>
      </c>
      <c r="Y30">
        <f>AVERAGE(S_plus!AF$2:'S_plus'!AF30)</f>
        <v>93.803052466986216</v>
      </c>
      <c r="Z30">
        <f>AVERAGE(S_plus!AG$2:'S_plus'!AG30)</f>
        <v>104.88667427802758</v>
      </c>
      <c r="AA30">
        <f>AVERAGE(S_plus!AH$2:'S_plus'!AH30)</f>
        <v>98.199811935831036</v>
      </c>
      <c r="AB30">
        <f>AVERAGE(S_plus!AI$2:'S_plus'!AI30)</f>
        <v>95.523320516162045</v>
      </c>
      <c r="AC30">
        <f>AVERAGE(S_plus!AJ$2:'S_plus'!AJ30)</f>
        <v>99.513068331651709</v>
      </c>
      <c r="AD30">
        <f>AVERAGE(S_plus!AK$2:'S_plus'!AK30)</f>
        <v>111.42168050103447</v>
      </c>
      <c r="AE30">
        <f>AVERAGE(S_plus!AL$2:'S_plus'!AL30)</f>
        <v>104.53350323997586</v>
      </c>
      <c r="AF30">
        <f>AVERAGE(S_plus!AM$2:'S_plus'!AM30)</f>
        <v>95.016320229634459</v>
      </c>
      <c r="AG30">
        <f>AVERAGE(S_plus!AN$2:'S_plus'!AN30)</f>
        <v>113.05861738293105</v>
      </c>
      <c r="AH30">
        <f>AVERAGE(S_plus!AO$2:'S_plus'!AO30)</f>
        <v>104.20897153298276</v>
      </c>
      <c r="AI30">
        <f>AVERAGE(S_plus!AP$2:'S_plus'!AP30)</f>
        <v>96.954536842848285</v>
      </c>
      <c r="AJ30">
        <f>AVERAGE(S_plus!AQ$2:'S_plus'!AQ30)</f>
        <v>99.317979868768944</v>
      </c>
      <c r="AK30">
        <f>AVERAGE(S_plus!AR$2:'S_plus'!AR30)</f>
        <v>100.69820086081378</v>
      </c>
      <c r="AL30">
        <f>AVERAGE(S_plus!AS$2:'S_plus'!AS30)</f>
        <v>110.47441221304483</v>
      </c>
      <c r="AM30">
        <f>AVERAGE(S_plus!AT$2:'S_plus'!AT30)</f>
        <v>93.140282708917255</v>
      </c>
      <c r="AN30">
        <f>AVERAGE(S_plus!AU$2:'S_plus'!AU30)</f>
        <v>97.708901217975864</v>
      </c>
      <c r="AO30">
        <f>AVERAGE(S_plus!AV$2:'S_plus'!AV30)</f>
        <v>97.626781575248245</v>
      </c>
      <c r="AP30">
        <f>AVERAGE(S_plus!AW$2:'S_plus'!AW30)</f>
        <v>109.15935594224138</v>
      </c>
      <c r="AQ30">
        <f>AVERAGE(S_plus!AX$2:'S_plus'!AX30)</f>
        <v>97.896202021558622</v>
      </c>
      <c r="AR30">
        <f>AVERAGE(S_plus!AY$2:'S_plus'!AY30)</f>
        <v>102.37489220447588</v>
      </c>
      <c r="AS30">
        <f>AVERAGE(S_plus!AZ$2:'S_plus'!AZ30)</f>
        <v>109.39496724431034</v>
      </c>
      <c r="AT30">
        <f>AVERAGE(S_plus!BA$2:'S_plus'!BA30)</f>
        <v>106.76208244424137</v>
      </c>
      <c r="AU30">
        <f>AVERAGE(S_plus!BB$2:'S_plus'!BB30)</f>
        <v>106.15285175031725</v>
      </c>
      <c r="AV30">
        <f>AVERAGE(S_plus!BC$2:'S_plus'!BC30)</f>
        <v>107.89523583855861</v>
      </c>
      <c r="AW30">
        <f>AVERAGE(S_plus!BD$2:'S_plus'!BD30)</f>
        <v>99.610467365613786</v>
      </c>
      <c r="AX30">
        <f>AVERAGE(S_plus!BE$2:'S_plus'!BE30)</f>
        <v>87.958953328234486</v>
      </c>
      <c r="AY30">
        <f>AVERAGE(S_plus!BF$2:'S_plus'!BF30)</f>
        <v>95.689692346227588</v>
      </c>
      <c r="AZ30">
        <f>AVERAGE(S_plus!BG$2:'S_plus'!BG30)</f>
        <v>93.361318308606883</v>
      </c>
      <c r="BA30">
        <f>AVERAGE(S_plus!BH$2:'S_plus'!BH30)</f>
        <v>100.72374602453104</v>
      </c>
      <c r="BB30">
        <f>AVERAGE(S_plus!BI$2:'S_plus'!BI30)</f>
        <v>106.95450572196553</v>
      </c>
      <c r="BC30">
        <f>AVERAGE(S_plus!BJ$2:'S_plus'!BJ30)</f>
        <v>107.16226155886206</v>
      </c>
      <c r="BD30">
        <f>AVERAGE(S_plus!BK$2:'S_plus'!BK30)</f>
        <v>96.571754466110335</v>
      </c>
      <c r="BE30">
        <f>AVERAGE(S_plus!BL$2:'S_plus'!BL30)</f>
        <v>94.219298580682761</v>
      </c>
      <c r="BF30">
        <f>AVERAGE(S_plus!BM$2:'S_plus'!BM30)</f>
        <v>94.946781731506931</v>
      </c>
      <c r="BG30">
        <f>AVERAGE(S_plus!BN$2:'S_plus'!BN30)</f>
        <v>101.53321724329311</v>
      </c>
      <c r="BH30">
        <f>AVERAGE(S_plus!BO$2:'S_plus'!BO30)</f>
        <v>88.846411592755175</v>
      </c>
      <c r="BI30">
        <f>AVERAGE(S_plus!BP$2:'S_plus'!BP30)</f>
        <v>96.789592786179327</v>
      </c>
      <c r="BJ30">
        <f>AVERAGE(S_plus!BQ$2:'S_plus'!BQ30)</f>
        <v>92.214352080817235</v>
      </c>
      <c r="BK30">
        <f>AVERAGE(S_plus!BR$2:'S_plus'!BR30)</f>
        <v>100.96039037908275</v>
      </c>
      <c r="BL30">
        <f>AVERAGE(S_plus!BS$2:'S_plus'!BS30)</f>
        <v>104.23828321565169</v>
      </c>
      <c r="BM30">
        <f>AVERAGE(S_plus!BT$2:'S_plus'!BT30)</f>
        <v>108.81718856717242</v>
      </c>
      <c r="BN30">
        <f>AVERAGE(S_plus!BU$2:'S_plus'!BU30)</f>
        <v>103.44283314653794</v>
      </c>
      <c r="BO30">
        <f>AVERAGE(S_plus!BV$2:'S_plus'!BV30)</f>
        <v>97.067039404906893</v>
      </c>
      <c r="BP30">
        <f>AVERAGE(S_plus!BW$2:'S_plus'!BW30)</f>
        <v>93.006711053034479</v>
      </c>
      <c r="BQ30">
        <f>AVERAGE(S_plus!BX$2:'S_plus'!BX30)</f>
        <v>92.902196590051716</v>
      </c>
      <c r="BR30">
        <f>AVERAGE(S_plus!BY$2:'S_plus'!BY30)</f>
        <v>101.11111823524139</v>
      </c>
      <c r="BS30">
        <f>AVERAGE(S_plus!BZ$2:'S_plus'!BZ30)</f>
        <v>92.897109815468966</v>
      </c>
      <c r="BT30">
        <f>AVERAGE(S_plus!CA$2:'S_plus'!CA30)</f>
        <v>98.161179887758649</v>
      </c>
      <c r="BU30">
        <f>AVERAGE(S_plus!CB$2:'S_plus'!CB30)</f>
        <v>102.92941250032068</v>
      </c>
      <c r="BV30">
        <f>AVERAGE(S_plus!CC$2:'S_plus'!CC30)</f>
        <v>97.208399459055173</v>
      </c>
      <c r="BW30">
        <f>AVERAGE(S_plus!CD$2:'S_plus'!CD30)</f>
        <v>98.848271805917236</v>
      </c>
      <c r="BX30">
        <f>AVERAGE(S_plus!CE$2:'S_plus'!CE30)</f>
        <v>102.94847397923795</v>
      </c>
      <c r="BY30">
        <f>AVERAGE(S_plus!CF$2:'S_plus'!CF30)</f>
        <v>95.254614145755198</v>
      </c>
      <c r="BZ30">
        <f>AVERAGE(S_plus!CG$2:'S_plus'!CG30)</f>
        <v>91.915507919720667</v>
      </c>
      <c r="CA30">
        <f>AVERAGE(S_plus!CH$2:'S_plus'!CH30)</f>
        <v>111.92583737413796</v>
      </c>
      <c r="CB30">
        <f>AVERAGE(S_plus!CI$2:'S_plus'!CI30)</f>
        <v>93.299303780662072</v>
      </c>
      <c r="CC30">
        <f>AVERAGE(S_plus!CJ$2:'S_plus'!CJ30)</f>
        <v>102.22582487664825</v>
      </c>
      <c r="CD30">
        <f>AVERAGE(S_plus!CK$2:'S_plus'!CK30)</f>
        <v>93.990163361968968</v>
      </c>
      <c r="CE30">
        <f>AVERAGE(S_plus!CL$2:'S_plus'!CL30)</f>
        <v>91.843694569010353</v>
      </c>
      <c r="CF30">
        <f>AVERAGE(S_plus!CM$2:'S_plus'!CM30)</f>
        <v>101.65022214395863</v>
      </c>
      <c r="CG30">
        <f>AVERAGE(S_plus!CN$2:'S_plus'!CN30)</f>
        <v>94.079031759627583</v>
      </c>
      <c r="CH30">
        <f>AVERAGE(S_plus!CO$2:'S_plus'!CO30)</f>
        <v>107.29732010089656</v>
      </c>
      <c r="CI30">
        <f>AVERAGE(S_plus!CP$2:'S_plus'!CP30)</f>
        <v>102.55748978023448</v>
      </c>
      <c r="CJ30">
        <f>AVERAGE(S_plus!CQ$2:'S_plus'!CQ30)</f>
        <v>106.17733740514829</v>
      </c>
      <c r="CK30">
        <f>AVERAGE(S_plus!CR$2:'S_plus'!CR30)</f>
        <v>101.73519798373103</v>
      </c>
      <c r="CL30">
        <f>AVERAGE(S_plus!CS$2:'S_plus'!CS30)</f>
        <v>106.56370011665516</v>
      </c>
      <c r="CM30">
        <f>AVERAGE(S_plus!CT$2:'S_plus'!CT30)</f>
        <v>106.41086589971034</v>
      </c>
      <c r="CN30">
        <f>AVERAGE(S_plus!CU$2:'S_plus'!CU30)</f>
        <v>100.55050122578965</v>
      </c>
      <c r="CO30">
        <f>AVERAGE(S_plus!CV$2:'S_plus'!CV30)</f>
        <v>101.38217229089655</v>
      </c>
      <c r="CP30">
        <f>AVERAGE(S_plus!CW$2:'S_plus'!CW30)</f>
        <v>106.61249996876205</v>
      </c>
      <c r="CQ30">
        <f>AVERAGE(S_plus!CX$2:'S_plus'!CX30)</f>
        <v>107.20331354743449</v>
      </c>
      <c r="CR30">
        <f>AVERAGE(S_plus!CY$2:'S_plus'!CY30)</f>
        <v>100.8718136718517</v>
      </c>
      <c r="CS30">
        <f>AVERAGE(S_plus!CZ$2:'S_plus'!CZ30)</f>
        <v>103.01183163466206</v>
      </c>
      <c r="CT30">
        <f>AVERAGE(S_plus!DA$2:'S_plus'!DA30)</f>
        <v>103.63059823520692</v>
      </c>
      <c r="CU30">
        <f>AVERAGE(S_plus!DB$2:'S_plus'!DB30)</f>
        <v>98.366988486462077</v>
      </c>
      <c r="CV30">
        <f>AVERAGE(S_plus!DC$2:'S_plus'!DC30)</f>
        <v>100.51362432614826</v>
      </c>
      <c r="CW30">
        <f>AVERAGE(S_plus!DD$2:'S_plus'!DD30)</f>
        <v>96.030247786893113</v>
      </c>
      <c r="CX30">
        <f>AVERAGE(S_plus!DE$2:'S_plus'!DE30)</f>
        <v>103.64179423804134</v>
      </c>
      <c r="CY30">
        <f>AVERAGE(S_plus!DF$2:'S_plus'!DF30)</f>
        <v>96.876790064837948</v>
      </c>
      <c r="CZ30">
        <f>AVERAGE(S_plus!DG$2:'S_plus'!DG30)</f>
        <v>95.651855742458608</v>
      </c>
      <c r="DA30">
        <f>AVERAGE(S_plus!DH$2:'S_plus'!DH30)</f>
        <v>99.539358743662078</v>
      </c>
    </row>
    <row r="31" spans="5:105" x14ac:dyDescent="0.25">
      <c r="E31">
        <f>E30+Asian!dt</f>
        <v>0.29000000000000009</v>
      </c>
      <c r="F31">
        <f>AVERAGE(S_plus!M$2:'S_plus'!M31)</f>
        <v>89.71544385076335</v>
      </c>
      <c r="G31">
        <f>AVERAGE(S_plus!N$2:'S_plus'!N31)</f>
        <v>95.22647182469332</v>
      </c>
      <c r="H31">
        <f>AVERAGE(S_plus!O$2:'S_plus'!O31)</f>
        <v>109.71033290973668</v>
      </c>
      <c r="I31">
        <f>AVERAGE(S_plus!P$2:'S_plus'!P31)</f>
        <v>99.975711549173326</v>
      </c>
      <c r="J31">
        <f>AVERAGE(S_plus!Q$2:'S_plus'!Q31)</f>
        <v>97.027313400013369</v>
      </c>
      <c r="K31">
        <f>AVERAGE(S_plus!R$2:'S_plus'!R31)</f>
        <v>99.870613190450015</v>
      </c>
      <c r="L31">
        <f>AVERAGE(S_plus!S$2:'S_plus'!S31)</f>
        <v>113.70963541269998</v>
      </c>
      <c r="M31">
        <f>AVERAGE(S_plus!T$2:'S_plus'!T31)</f>
        <v>91.35720489868666</v>
      </c>
      <c r="N31">
        <f>AVERAGE(S_plus!U$2:'S_plus'!U31)</f>
        <v>111.0588741413</v>
      </c>
      <c r="O31">
        <f>AVERAGE(S_plus!V$2:'S_plus'!V31)</f>
        <v>98.539236393609983</v>
      </c>
      <c r="P31">
        <f>AVERAGE(S_plus!W$2:'S_plus'!W31)</f>
        <v>101.18479691900666</v>
      </c>
      <c r="Q31">
        <f>AVERAGE(S_plus!X$2:'S_plus'!X31)</f>
        <v>104.76857504826665</v>
      </c>
      <c r="R31">
        <f>AVERAGE(S_plus!Y$2:'S_plus'!Y31)</f>
        <v>96.057337819246655</v>
      </c>
      <c r="S31">
        <f>AVERAGE(S_plus!Z$2:'S_plus'!Z31)</f>
        <v>101.69857829594329</v>
      </c>
      <c r="T31">
        <f>AVERAGE(S_plus!AA$2:'S_plus'!AA31)</f>
        <v>104.74141078287333</v>
      </c>
      <c r="U31">
        <f>AVERAGE(S_plus!AB$2:'S_plus'!AB31)</f>
        <v>93.889547708823343</v>
      </c>
      <c r="V31">
        <f>AVERAGE(S_plus!AC$2:'S_plus'!AC31)</f>
        <v>93.243463074136699</v>
      </c>
      <c r="W31">
        <f>AVERAGE(S_plus!AD$2:'S_plus'!AD31)</f>
        <v>95.464386705656679</v>
      </c>
      <c r="X31">
        <f>AVERAGE(S_plus!AE$2:'S_plus'!AE31)</f>
        <v>108.25905795881665</v>
      </c>
      <c r="Y31">
        <f>AVERAGE(S_plus!AF$2:'S_plus'!AF31)</f>
        <v>93.97043870937668</v>
      </c>
      <c r="Z31">
        <f>AVERAGE(S_plus!AG$2:'S_plus'!AG31)</f>
        <v>104.98942893972666</v>
      </c>
      <c r="AA31">
        <f>AVERAGE(S_plus!AH$2:'S_plus'!AH31)</f>
        <v>98.302400655403332</v>
      </c>
      <c r="AB31">
        <f>AVERAGE(S_plus!AI$2:'S_plus'!AI31)</f>
        <v>95.04510782173665</v>
      </c>
      <c r="AC31">
        <f>AVERAGE(S_plus!AJ$2:'S_plus'!AJ31)</f>
        <v>99.338818725936648</v>
      </c>
      <c r="AD31">
        <f>AVERAGE(S_plus!AK$2:'S_plus'!AK31)</f>
        <v>111.67288965969998</v>
      </c>
      <c r="AE31">
        <f>AVERAGE(S_plus!AL$2:'S_plus'!AL31)</f>
        <v>104.62437902717666</v>
      </c>
      <c r="AF31">
        <f>AVERAGE(S_plus!AM$2:'S_plus'!AM31)</f>
        <v>95.043765853179991</v>
      </c>
      <c r="AG31">
        <f>AVERAGE(S_plus!AN$2:'S_plus'!AN31)</f>
        <v>113.51737592700002</v>
      </c>
      <c r="AH31">
        <f>AVERAGE(S_plus!AO$2:'S_plus'!AO31)</f>
        <v>103.92830458722334</v>
      </c>
      <c r="AI31">
        <f>AVERAGE(S_plus!AP$2:'S_plus'!AP31)</f>
        <v>96.723254692563344</v>
      </c>
      <c r="AJ31">
        <f>AVERAGE(S_plus!AQ$2:'S_plus'!AQ31)</f>
        <v>99.304287045896643</v>
      </c>
      <c r="AK31">
        <f>AVERAGE(S_plus!AR$2:'S_plus'!AR31)</f>
        <v>100.89755687431999</v>
      </c>
      <c r="AL31">
        <f>AVERAGE(S_plus!AS$2:'S_plus'!AS31)</f>
        <v>110.79949575624333</v>
      </c>
      <c r="AM31">
        <f>AVERAGE(S_plus!AT$2:'S_plus'!AT31)</f>
        <v>93.173195843239995</v>
      </c>
      <c r="AN31">
        <f>AVERAGE(S_plus!AU$2:'S_plus'!AU31)</f>
        <v>97.478048605426679</v>
      </c>
      <c r="AO31">
        <f>AVERAGE(S_plus!AV$2:'S_plus'!AV31)</f>
        <v>97.721108249539981</v>
      </c>
      <c r="AP31">
        <f>AVERAGE(S_plus!AW$2:'S_plus'!AW31)</f>
        <v>109.41491255609999</v>
      </c>
      <c r="AQ31">
        <f>AVERAGE(S_plus!AX$2:'S_plus'!AX31)</f>
        <v>97.932327564786675</v>
      </c>
      <c r="AR31">
        <f>AVERAGE(S_plus!AY$2:'S_plus'!AY31)</f>
        <v>101.98226333745335</v>
      </c>
      <c r="AS31">
        <f>AVERAGE(S_plus!AZ$2:'S_plus'!AZ31)</f>
        <v>109.7708849899</v>
      </c>
      <c r="AT31">
        <f>AVERAGE(S_plus!BA$2:'S_plus'!BA31)</f>
        <v>106.8081118364</v>
      </c>
      <c r="AU31">
        <f>AVERAGE(S_plus!BB$2:'S_plus'!BB31)</f>
        <v>106.14765755150668</v>
      </c>
      <c r="AV31">
        <f>AVERAGE(S_plus!BC$2:'S_plus'!BC31)</f>
        <v>107.83470457693998</v>
      </c>
      <c r="AW31">
        <f>AVERAGE(S_plus!BD$2:'S_plus'!BD31)</f>
        <v>99.851530887859994</v>
      </c>
      <c r="AX31">
        <f>AVERAGE(S_plus!BE$2:'S_plus'!BE31)</f>
        <v>87.918562115723333</v>
      </c>
      <c r="AY31">
        <f>AVERAGE(S_plus!BF$2:'S_plus'!BF31)</f>
        <v>95.381424884099999</v>
      </c>
      <c r="AZ31">
        <f>AVERAGE(S_plus!BG$2:'S_plus'!BG31)</f>
        <v>93.325222538493321</v>
      </c>
      <c r="BA31">
        <f>AVERAGE(S_plus!BH$2:'S_plus'!BH31)</f>
        <v>100.75188900574668</v>
      </c>
      <c r="BB31">
        <f>AVERAGE(S_plus!BI$2:'S_plus'!BI31)</f>
        <v>107.20050232573335</v>
      </c>
      <c r="BC31">
        <f>AVERAGE(S_plus!BJ$2:'S_plus'!BJ31)</f>
        <v>107.00289710993333</v>
      </c>
      <c r="BD31">
        <f>AVERAGE(S_plus!BK$2:'S_plus'!BK31)</f>
        <v>96.546577519779987</v>
      </c>
      <c r="BE31">
        <f>AVERAGE(S_plus!BL$2:'S_plus'!BL31)</f>
        <v>93.976950106966655</v>
      </c>
      <c r="BF31">
        <f>AVERAGE(S_plus!BM$2:'S_plus'!BM31)</f>
        <v>94.954006001266691</v>
      </c>
      <c r="BG31">
        <f>AVERAGE(S_plus!BN$2:'S_plus'!BN31)</f>
        <v>101.55682077758334</v>
      </c>
      <c r="BH31">
        <f>AVERAGE(S_plus!BO$2:'S_plus'!BO31)</f>
        <v>88.542481576270021</v>
      </c>
      <c r="BI31">
        <f>AVERAGE(S_plus!BP$2:'S_plus'!BP31)</f>
        <v>96.534426404200019</v>
      </c>
      <c r="BJ31">
        <f>AVERAGE(S_plus!BQ$2:'S_plus'!BQ31)</f>
        <v>91.932215621606673</v>
      </c>
      <c r="BK31">
        <f>AVERAGE(S_plus!BR$2:'S_plus'!BR31)</f>
        <v>101.07903887131333</v>
      </c>
      <c r="BL31">
        <f>AVERAGE(S_plus!BS$2:'S_plus'!BS31)</f>
        <v>104.3361976014633</v>
      </c>
      <c r="BM31">
        <f>AVERAGE(S_plus!BT$2:'S_plus'!BT31)</f>
        <v>108.91767479813333</v>
      </c>
      <c r="BN31">
        <f>AVERAGE(S_plus!BU$2:'S_plus'!BU31)</f>
        <v>103.42617158328667</v>
      </c>
      <c r="BO31">
        <f>AVERAGE(S_plus!BV$2:'S_plus'!BV31)</f>
        <v>96.823386857956663</v>
      </c>
      <c r="BP31">
        <f>AVERAGE(S_plus!BW$2:'S_plus'!BW31)</f>
        <v>92.799753606856669</v>
      </c>
      <c r="BQ31">
        <f>AVERAGE(S_plus!BX$2:'S_plus'!BX31)</f>
        <v>92.468255280963334</v>
      </c>
      <c r="BR31">
        <f>AVERAGE(S_plus!BY$2:'S_plus'!BY31)</f>
        <v>101.39525258016668</v>
      </c>
      <c r="BS31">
        <f>AVERAGE(S_plus!BZ$2:'S_plus'!BZ31)</f>
        <v>93.010930226973329</v>
      </c>
      <c r="BT31">
        <f>AVERAGE(S_plus!CA$2:'S_plus'!CA31)</f>
        <v>98.127700122330026</v>
      </c>
      <c r="BU31">
        <f>AVERAGE(S_plus!CB$2:'S_plus'!CB31)</f>
        <v>102.87010165447666</v>
      </c>
      <c r="BV31">
        <f>AVERAGE(S_plus!CC$2:'S_plus'!CC31)</f>
        <v>97.112677644736678</v>
      </c>
      <c r="BW31">
        <f>AVERAGE(S_plus!CD$2:'S_plus'!CD31)</f>
        <v>98.968170915453328</v>
      </c>
      <c r="BX31">
        <f>AVERAGE(S_plus!CE$2:'S_plus'!CE31)</f>
        <v>103.05101218049667</v>
      </c>
      <c r="BY31">
        <f>AVERAGE(S_plus!CF$2:'S_plus'!CF31)</f>
        <v>95.019100146573365</v>
      </c>
      <c r="BZ31">
        <f>AVERAGE(S_plus!CG$2:'S_plus'!CG31)</f>
        <v>91.975450725033326</v>
      </c>
      <c r="CA31">
        <f>AVERAGE(S_plus!CH$2:'S_plus'!CH31)</f>
        <v>112.28193869436669</v>
      </c>
      <c r="CB31">
        <f>AVERAGE(S_plus!CI$2:'S_plus'!CI31)</f>
        <v>93.52260505738667</v>
      </c>
      <c r="CC31">
        <f>AVERAGE(S_plus!CJ$2:'S_plus'!CJ31)</f>
        <v>101.92089747770663</v>
      </c>
      <c r="CD31">
        <f>AVERAGE(S_plus!CK$2:'S_plus'!CK31)</f>
        <v>93.695421143389993</v>
      </c>
      <c r="CE31">
        <f>AVERAGE(S_plus!CL$2:'S_plus'!CL31)</f>
        <v>91.785666504610006</v>
      </c>
      <c r="CF31">
        <f>AVERAGE(S_plus!CM$2:'S_plus'!CM31)</f>
        <v>101.90960358802667</v>
      </c>
      <c r="CG31">
        <f>AVERAGE(S_plus!CN$2:'S_plus'!CN31)</f>
        <v>93.904985622966663</v>
      </c>
      <c r="CH31">
        <f>AVERAGE(S_plus!CO$2:'S_plus'!CO31)</f>
        <v>107.62424346616667</v>
      </c>
      <c r="CI31">
        <f>AVERAGE(S_plus!CP$2:'S_plus'!CP31)</f>
        <v>102.33383586380333</v>
      </c>
      <c r="CJ31">
        <f>AVERAGE(S_plus!CQ$2:'S_plus'!CQ31)</f>
        <v>105.99174898204336</v>
      </c>
      <c r="CK31">
        <f>AVERAGE(S_plus!CR$2:'S_plus'!CR31)</f>
        <v>101.74626270737333</v>
      </c>
      <c r="CL31">
        <f>AVERAGE(S_plus!CS$2:'S_plus'!CS31)</f>
        <v>106.61306744786665</v>
      </c>
      <c r="CM31">
        <f>AVERAGE(S_plus!CT$2:'S_plus'!CT31)</f>
        <v>106.50643163122</v>
      </c>
      <c r="CN31">
        <f>AVERAGE(S_plus!CU$2:'S_plus'!CU31)</f>
        <v>100.52258798039665</v>
      </c>
      <c r="CO31">
        <f>AVERAGE(S_plus!CV$2:'S_plus'!CV31)</f>
        <v>100.85991970307667</v>
      </c>
      <c r="CP31">
        <f>AVERAGE(S_plus!CW$2:'S_plus'!CW31)</f>
        <v>106.65837493530331</v>
      </c>
      <c r="CQ31">
        <f>AVERAGE(S_plus!CX$2:'S_plus'!CX31)</f>
        <v>107.48586022998667</v>
      </c>
      <c r="CR31">
        <f>AVERAGE(S_plus!CY$2:'S_plus'!CY31)</f>
        <v>100.88915551415666</v>
      </c>
      <c r="CS31">
        <f>AVERAGE(S_plus!CZ$2:'S_plus'!CZ31)</f>
        <v>103.11760560307333</v>
      </c>
      <c r="CT31">
        <f>AVERAGE(S_plus!DA$2:'S_plus'!DA31)</f>
        <v>103.86219510750001</v>
      </c>
      <c r="CU31">
        <f>AVERAGE(S_plus!DB$2:'S_plus'!DB31)</f>
        <v>97.782176677033334</v>
      </c>
      <c r="CV31">
        <f>AVERAGE(S_plus!DC$2:'S_plus'!DC31)</f>
        <v>100.4278864163833</v>
      </c>
      <c r="CW31">
        <f>AVERAGE(S_plus!DD$2:'S_plus'!DD31)</f>
        <v>95.737005230243341</v>
      </c>
      <c r="CX31">
        <f>AVERAGE(S_plus!DE$2:'S_plus'!DE31)</f>
        <v>103.66959377470661</v>
      </c>
      <c r="CY31">
        <f>AVERAGE(S_plus!DF$2:'S_plus'!DF31)</f>
        <v>96.557433444546675</v>
      </c>
      <c r="CZ31">
        <f>AVERAGE(S_plus!DG$2:'S_plus'!DG31)</f>
        <v>95.379956517683311</v>
      </c>
      <c r="DA31">
        <f>AVERAGE(S_plus!DH$2:'S_plus'!DH31)</f>
        <v>99.767207553006671</v>
      </c>
    </row>
    <row r="32" spans="5:105" x14ac:dyDescent="0.25">
      <c r="E32">
        <f>E31+Asian!dt</f>
        <v>0.3000000000000001</v>
      </c>
      <c r="F32">
        <f>AVERAGE(S_plus!M$2:'S_plus'!M32)</f>
        <v>89.697485367345166</v>
      </c>
      <c r="G32">
        <f>AVERAGE(S_plus!N$2:'S_plus'!N32)</f>
        <v>95.427882277025788</v>
      </c>
      <c r="H32">
        <f>AVERAGE(S_plus!O$2:'S_plus'!O32)</f>
        <v>109.50056717635806</v>
      </c>
      <c r="I32">
        <f>AVERAGE(S_plus!P$2:'S_plus'!P32)</f>
        <v>100.07612339978063</v>
      </c>
      <c r="J32">
        <f>AVERAGE(S_plus!Q$2:'S_plus'!Q32)</f>
        <v>96.665906834312935</v>
      </c>
      <c r="K32">
        <f>AVERAGE(S_plus!R$2:'S_plus'!R32)</f>
        <v>99.853440356022588</v>
      </c>
      <c r="L32">
        <f>AVERAGE(S_plus!S$2:'S_plus'!S32)</f>
        <v>113.90544359987095</v>
      </c>
      <c r="M32">
        <f>AVERAGE(S_plus!T$2:'S_plus'!T32)</f>
        <v>91.050764684783857</v>
      </c>
      <c r="N32">
        <f>AVERAGE(S_plus!U$2:'S_plus'!U32)</f>
        <v>111.32094670680644</v>
      </c>
      <c r="O32">
        <f>AVERAGE(S_plus!V$2:'S_plus'!V32)</f>
        <v>98.676056597816114</v>
      </c>
      <c r="P32">
        <f>AVERAGE(S_plus!W$2:'S_plus'!W32)</f>
        <v>101.32311906500644</v>
      </c>
      <c r="Q32">
        <f>AVERAGE(S_plus!X$2:'S_plus'!X32)</f>
        <v>104.87421526187096</v>
      </c>
      <c r="R32">
        <f>AVERAGE(S_plus!Y$2:'S_plus'!Y32)</f>
        <v>95.889265908596769</v>
      </c>
      <c r="S32">
        <f>AVERAGE(S_plus!Z$2:'S_plus'!Z32)</f>
        <v>101.8499587164935</v>
      </c>
      <c r="T32">
        <f>AVERAGE(S_plus!AA$2:'S_plus'!AA32)</f>
        <v>104.81069233342581</v>
      </c>
      <c r="U32">
        <f>AVERAGE(S_plus!AB$2:'S_plus'!AB32)</f>
        <v>93.989018131648393</v>
      </c>
      <c r="V32">
        <f>AVERAGE(S_plus!AC$2:'S_plus'!AC32)</f>
        <v>93.214115377854867</v>
      </c>
      <c r="W32">
        <f>AVERAGE(S_plus!AD$2:'S_plus'!AD32)</f>
        <v>95.429804436900028</v>
      </c>
      <c r="X32">
        <f>AVERAGE(S_plus!AE$2:'S_plus'!AE32)</f>
        <v>108.71319801317742</v>
      </c>
      <c r="Y32">
        <f>AVERAGE(S_plus!AF$2:'S_plus'!AF32)</f>
        <v>94.174570296525829</v>
      </c>
      <c r="Z32">
        <f>AVERAGE(S_plus!AG$2:'S_plus'!AG32)</f>
        <v>105.17013752260645</v>
      </c>
      <c r="AA32">
        <f>AVERAGE(S_plus!AH$2:'S_plus'!AH32)</f>
        <v>98.436958903906458</v>
      </c>
      <c r="AB32">
        <f>AVERAGE(S_plus!AI$2:'S_plus'!AI32)</f>
        <v>94.527853671367723</v>
      </c>
      <c r="AC32">
        <f>AVERAGE(S_plus!AJ$2:'S_plus'!AJ32)</f>
        <v>99.093989505709658</v>
      </c>
      <c r="AD32">
        <f>AVERAGE(S_plus!AK$2:'S_plus'!AK32)</f>
        <v>112.11000853703224</v>
      </c>
      <c r="AE32">
        <f>AVERAGE(S_plus!AL$2:'S_plus'!AL32)</f>
        <v>104.65924303204193</v>
      </c>
      <c r="AF32">
        <f>AVERAGE(S_plus!AM$2:'S_plus'!AM32)</f>
        <v>95.111529397519348</v>
      </c>
      <c r="AG32">
        <f>AVERAGE(S_plus!AN$2:'S_plus'!AN32)</f>
        <v>113.82235006277421</v>
      </c>
      <c r="AH32">
        <f>AVERAGE(S_plus!AO$2:'S_plus'!AO32)</f>
        <v>103.77396761814194</v>
      </c>
      <c r="AI32">
        <f>AVERAGE(S_plus!AP$2:'S_plus'!AP32)</f>
        <v>96.42579920042904</v>
      </c>
      <c r="AJ32">
        <f>AVERAGE(S_plus!AQ$2:'S_plus'!AQ32)</f>
        <v>99.300734161403213</v>
      </c>
      <c r="AK32">
        <f>AVERAGE(S_plus!AR$2:'S_plus'!AR32)</f>
        <v>101.05951435469676</v>
      </c>
      <c r="AL32">
        <f>AVERAGE(S_plus!AS$2:'S_plus'!AS32)</f>
        <v>111.12061570597741</v>
      </c>
      <c r="AM32">
        <f>AVERAGE(S_plus!AT$2:'S_plus'!AT32)</f>
        <v>93.215165743309683</v>
      </c>
      <c r="AN32">
        <f>AVERAGE(S_plus!AU$2:'S_plus'!AU32)</f>
        <v>97.290009144335485</v>
      </c>
      <c r="AO32">
        <f>AVERAGE(S_plus!AV$2:'S_plus'!AV32)</f>
        <v>97.696939479232228</v>
      </c>
      <c r="AP32">
        <f>AVERAGE(S_plus!AW$2:'S_plus'!AW32)</f>
        <v>109.69347373951612</v>
      </c>
      <c r="AQ32">
        <f>AVERAGE(S_plus!AX$2:'S_plus'!AX32)</f>
        <v>97.90810972246129</v>
      </c>
      <c r="AR32">
        <f>AVERAGE(S_plus!AY$2:'S_plus'!AY32)</f>
        <v>101.60865705637099</v>
      </c>
      <c r="AS32">
        <f>AVERAGE(S_plus!AZ$2:'S_plus'!AZ32)</f>
        <v>110.04030535664516</v>
      </c>
      <c r="AT32">
        <f>AVERAGE(S_plus!BA$2:'S_plus'!BA32)</f>
        <v>106.84700756822581</v>
      </c>
      <c r="AU32">
        <f>AVERAGE(S_plus!BB$2:'S_plus'!BB32)</f>
        <v>106.22717745739357</v>
      </c>
      <c r="AV32">
        <f>AVERAGE(S_plus!BC$2:'S_plus'!BC32)</f>
        <v>107.74925316968387</v>
      </c>
      <c r="AW32">
        <f>AVERAGE(S_plus!BD$2:'S_plus'!BD32)</f>
        <v>100.01685330628386</v>
      </c>
      <c r="AX32">
        <f>AVERAGE(S_plus!BE$2:'S_plus'!BE32)</f>
        <v>87.925293878745165</v>
      </c>
      <c r="AY32">
        <f>AVERAGE(S_plus!BF$2:'S_plus'!BF32)</f>
        <v>95.068477861116136</v>
      </c>
      <c r="AZ32">
        <f>AVERAGE(S_plus!BG$2:'S_plus'!BG32)</f>
        <v>93.28312643272902</v>
      </c>
      <c r="BA32">
        <f>AVERAGE(S_plus!BH$2:'S_plus'!BH32)</f>
        <v>100.8028130494</v>
      </c>
      <c r="BB32">
        <f>AVERAGE(S_plus!BI$2:'S_plus'!BI32)</f>
        <v>107.32847622835484</v>
      </c>
      <c r="BC32">
        <f>AVERAGE(S_plus!BJ$2:'S_plus'!BJ32)</f>
        <v>106.93856606451612</v>
      </c>
      <c r="BD32">
        <f>AVERAGE(S_plus!BK$2:'S_plus'!BK32)</f>
        <v>96.528598808409669</v>
      </c>
      <c r="BE32">
        <f>AVERAGE(S_plus!BL$2:'S_plus'!BL32)</f>
        <v>93.795614311574198</v>
      </c>
      <c r="BF32">
        <f>AVERAGE(S_plus!BM$2:'S_plus'!BM32)</f>
        <v>94.959291704574227</v>
      </c>
      <c r="BG32">
        <f>AVERAGE(S_plus!BN$2:'S_plus'!BN32)</f>
        <v>101.49728009240968</v>
      </c>
      <c r="BH32">
        <f>AVERAGE(S_plus!BO$2:'S_plus'!BO32)</f>
        <v>88.253187087590348</v>
      </c>
      <c r="BI32">
        <f>AVERAGE(S_plus!BP$2:'S_plus'!BP32)</f>
        <v>96.228214424509687</v>
      </c>
      <c r="BJ32">
        <f>AVERAGE(S_plus!BQ$2:'S_plus'!BQ32)</f>
        <v>91.62635998150968</v>
      </c>
      <c r="BK32">
        <f>AVERAGE(S_plus!BR$2:'S_plus'!BR32)</f>
        <v>101.23971865952903</v>
      </c>
      <c r="BL32">
        <f>AVERAGE(S_plus!BS$2:'S_plus'!BS32)</f>
        <v>104.39967743183544</v>
      </c>
      <c r="BM32">
        <f>AVERAGE(S_plus!BT$2:'S_plus'!BT32)</f>
        <v>108.99085330706451</v>
      </c>
      <c r="BN32">
        <f>AVERAGE(S_plus!BU$2:'S_plus'!BU32)</f>
        <v>103.40222617524516</v>
      </c>
      <c r="BO32">
        <f>AVERAGE(S_plus!BV$2:'S_plus'!BV32)</f>
        <v>96.534013867983873</v>
      </c>
      <c r="BP32">
        <f>AVERAGE(S_plus!BW$2:'S_plus'!BW32)</f>
        <v>92.551672678483868</v>
      </c>
      <c r="BQ32">
        <f>AVERAGE(S_plus!BX$2:'S_plus'!BX32)</f>
        <v>92.040568692277418</v>
      </c>
      <c r="BR32">
        <f>AVERAGE(S_plus!BY$2:'S_plus'!BY32)</f>
        <v>101.72146974309679</v>
      </c>
      <c r="BS32">
        <f>AVERAGE(S_plus!BZ$2:'S_plus'!BZ32)</f>
        <v>93.138543502764506</v>
      </c>
      <c r="BT32">
        <f>AVERAGE(S_plus!CA$2:'S_plus'!CA32)</f>
        <v>98.241558596609707</v>
      </c>
      <c r="BU32">
        <f>AVERAGE(S_plus!CB$2:'S_plus'!CB32)</f>
        <v>102.81400875120322</v>
      </c>
      <c r="BV32">
        <f>AVERAGE(S_plus!CC$2:'S_plus'!CC32)</f>
        <v>97.002371699825815</v>
      </c>
      <c r="BW32">
        <f>AVERAGE(S_plus!CD$2:'S_plus'!CD32)</f>
        <v>99.060959359664508</v>
      </c>
      <c r="BX32">
        <f>AVERAGE(S_plus!CE$2:'S_plus'!CE32)</f>
        <v>103.23051362438387</v>
      </c>
      <c r="BY32">
        <f>AVERAGE(S_plus!CF$2:'S_plus'!CF32)</f>
        <v>94.725766096306472</v>
      </c>
      <c r="BZ32">
        <f>AVERAGE(S_plus!CG$2:'S_plus'!CG32)</f>
        <v>92.053054640367733</v>
      </c>
      <c r="CA32">
        <f>AVERAGE(S_plus!CH$2:'S_plus'!CH32)</f>
        <v>112.4455415819355</v>
      </c>
      <c r="CB32">
        <f>AVERAGE(S_plus!CI$2:'S_plus'!CI32)</f>
        <v>93.820677330632265</v>
      </c>
      <c r="CC32">
        <f>AVERAGE(S_plus!CJ$2:'S_plus'!CJ32)</f>
        <v>101.60326506290964</v>
      </c>
      <c r="CD32">
        <f>AVERAGE(S_plus!CK$2:'S_plus'!CK32)</f>
        <v>93.44912612900967</v>
      </c>
      <c r="CE32">
        <f>AVERAGE(S_plus!CL$2:'S_plus'!CL32)</f>
        <v>91.77751361254839</v>
      </c>
      <c r="CF32">
        <f>AVERAGE(S_plus!CM$2:'S_plus'!CM32)</f>
        <v>102.13805119641292</v>
      </c>
      <c r="CG32">
        <f>AVERAGE(S_plus!CN$2:'S_plus'!CN32)</f>
        <v>93.799417789312898</v>
      </c>
      <c r="CH32">
        <f>AVERAGE(S_plus!CO$2:'S_plus'!CO32)</f>
        <v>107.91973101829034</v>
      </c>
      <c r="CI32">
        <f>AVERAGE(S_plus!CP$2:'S_plus'!CP32)</f>
        <v>102.13198471236774</v>
      </c>
      <c r="CJ32">
        <f>AVERAGE(S_plus!CQ$2:'S_plus'!CQ32)</f>
        <v>105.78343795788389</v>
      </c>
      <c r="CK32">
        <f>AVERAGE(S_plus!CR$2:'S_plus'!CR32)</f>
        <v>101.74585052313549</v>
      </c>
      <c r="CL32">
        <f>AVERAGE(S_plus!CS$2:'S_plus'!CS32)</f>
        <v>106.56225478870967</v>
      </c>
      <c r="CM32">
        <f>AVERAGE(S_plus!CT$2:'S_plus'!CT32)</f>
        <v>106.5240174420516</v>
      </c>
      <c r="CN32">
        <f>AVERAGE(S_plus!CU$2:'S_plus'!CU32)</f>
        <v>100.50475846091612</v>
      </c>
      <c r="CO32">
        <f>AVERAGE(S_plus!CV$2:'S_plus'!CV32)</f>
        <v>100.42358374572258</v>
      </c>
      <c r="CP32">
        <f>AVERAGE(S_plus!CW$2:'S_plus'!CW32)</f>
        <v>106.7398052029387</v>
      </c>
      <c r="CQ32">
        <f>AVERAGE(S_plus!CX$2:'S_plus'!CX32)</f>
        <v>107.77634939134195</v>
      </c>
      <c r="CR32">
        <f>AVERAGE(S_plus!CY$2:'S_plus'!CY32)</f>
        <v>100.89554396573223</v>
      </c>
      <c r="CS32">
        <f>AVERAGE(S_plus!CZ$2:'S_plus'!CZ32)</f>
        <v>103.24093624268386</v>
      </c>
      <c r="CT32">
        <f>AVERAGE(S_plus!DA$2:'S_plus'!DA32)</f>
        <v>104.11341788003227</v>
      </c>
      <c r="CU32">
        <f>AVERAGE(S_plus!DB$2:'S_plus'!DB32)</f>
        <v>97.233595065187103</v>
      </c>
      <c r="CV32">
        <f>AVERAGE(S_plus!DC$2:'S_plus'!DC32)</f>
        <v>100.38572525546449</v>
      </c>
      <c r="CW32">
        <f>AVERAGE(S_plus!DD$2:'S_plus'!DD32)</f>
        <v>95.46548864575162</v>
      </c>
      <c r="CX32">
        <f>AVERAGE(S_plus!DE$2:'S_plus'!DE32)</f>
        <v>103.7992749526193</v>
      </c>
      <c r="CY32">
        <f>AVERAGE(S_plus!DF$2:'S_plus'!DF32)</f>
        <v>96.361129228051624</v>
      </c>
      <c r="CZ32">
        <f>AVERAGE(S_plus!DG$2:'S_plus'!DG32)</f>
        <v>95.044610717987069</v>
      </c>
      <c r="DA32">
        <f>AVERAGE(S_plus!DH$2:'S_plus'!DH32)</f>
        <v>100.03227693555483</v>
      </c>
    </row>
    <row r="33" spans="5:105" x14ac:dyDescent="0.25">
      <c r="E33">
        <f>E32+Asian!dt</f>
        <v>0.31000000000000011</v>
      </c>
      <c r="F33">
        <f>AVERAGE(S_plus!M$2:'S_plus'!M33)</f>
        <v>89.688207418409377</v>
      </c>
      <c r="G33">
        <f>AVERAGE(S_plus!N$2:'S_plus'!N33)</f>
        <v>95.577974501587491</v>
      </c>
      <c r="H33">
        <f>AVERAGE(S_plus!O$2:'S_plus'!O33)</f>
        <v>109.24888893675313</v>
      </c>
      <c r="I33">
        <f>AVERAGE(S_plus!P$2:'S_plus'!P33)</f>
        <v>100.12851339166248</v>
      </c>
      <c r="J33">
        <f>AVERAGE(S_plus!Q$2:'S_plus'!Q33)</f>
        <v>96.389371221209402</v>
      </c>
      <c r="K33">
        <f>AVERAGE(S_plus!R$2:'S_plus'!R33)</f>
        <v>99.783648979675007</v>
      </c>
      <c r="L33">
        <f>AVERAGE(S_plus!S$2:'S_plus'!S33)</f>
        <v>114.03819156440623</v>
      </c>
      <c r="M33">
        <f>AVERAGE(S_plus!T$2:'S_plus'!T33)</f>
        <v>90.737805325171863</v>
      </c>
      <c r="N33">
        <f>AVERAGE(S_plus!U$2:'S_plus'!U33)</f>
        <v>111.51504975837499</v>
      </c>
      <c r="O33">
        <f>AVERAGE(S_plus!V$2:'S_plus'!V33)</f>
        <v>98.784499775384361</v>
      </c>
      <c r="P33">
        <f>AVERAGE(S_plus!W$2:'S_plus'!W33)</f>
        <v>101.40569807034998</v>
      </c>
      <c r="Q33">
        <f>AVERAGE(S_plus!X$2:'S_plus'!X33)</f>
        <v>105.04418726493749</v>
      </c>
      <c r="R33">
        <f>AVERAGE(S_plus!Y$2:'S_plus'!Y33)</f>
        <v>95.735504494759368</v>
      </c>
      <c r="S33">
        <f>AVERAGE(S_plus!Z$2:'S_plus'!Z33)</f>
        <v>102.20380530950933</v>
      </c>
      <c r="T33">
        <f>AVERAGE(S_plus!AA$2:'S_plus'!AA33)</f>
        <v>104.93799964800625</v>
      </c>
      <c r="U33">
        <f>AVERAGE(S_plus!AB$2:'S_plus'!AB33)</f>
        <v>94.000292744084391</v>
      </c>
      <c r="V33">
        <f>AVERAGE(S_plus!AC$2:'S_plus'!AC33)</f>
        <v>93.178604794500032</v>
      </c>
      <c r="W33">
        <f>AVERAGE(S_plus!AD$2:'S_plus'!AD33)</f>
        <v>95.355450646934401</v>
      </c>
      <c r="X33">
        <f>AVERAGE(S_plus!AE$2:'S_plus'!AE33)</f>
        <v>109.16854548026562</v>
      </c>
      <c r="Y33">
        <f>AVERAGE(S_plus!AF$2:'S_plus'!AF33)</f>
        <v>94.305625139690648</v>
      </c>
      <c r="Z33">
        <f>AVERAGE(S_plus!AG$2:'S_plus'!AG33)</f>
        <v>105.16479650074375</v>
      </c>
      <c r="AA33">
        <f>AVERAGE(S_plus!AH$2:'S_plus'!AH33)</f>
        <v>98.576412340784373</v>
      </c>
      <c r="AB33">
        <f>AVERAGE(S_plus!AI$2:'S_plus'!AI33)</f>
        <v>94.05605481639374</v>
      </c>
      <c r="AC33">
        <f>AVERAGE(S_plus!AJ$2:'S_plus'!AJ33)</f>
        <v>98.896184975646861</v>
      </c>
      <c r="AD33">
        <f>AVERAGE(S_plus!AK$2:'S_plus'!AK33)</f>
        <v>112.57026211140624</v>
      </c>
      <c r="AE33">
        <f>AVERAGE(S_plus!AL$2:'S_plus'!AL33)</f>
        <v>104.65858694707187</v>
      </c>
      <c r="AF33">
        <f>AVERAGE(S_plus!AM$2:'S_plus'!AM33)</f>
        <v>95.102957781503122</v>
      </c>
      <c r="AG33">
        <f>AVERAGE(S_plus!AN$2:'S_plus'!AN33)</f>
        <v>114.19028285387502</v>
      </c>
      <c r="AH33">
        <f>AVERAGE(S_plus!AO$2:'S_plus'!AO33)</f>
        <v>103.58935880008126</v>
      </c>
      <c r="AI33">
        <f>AVERAGE(S_plus!AP$2:'S_plus'!AP33)</f>
        <v>96.204213609668756</v>
      </c>
      <c r="AJ33">
        <f>AVERAGE(S_plus!AQ$2:'S_plus'!AQ33)</f>
        <v>99.339588470421859</v>
      </c>
      <c r="AK33">
        <f>AVERAGE(S_plus!AR$2:'S_plus'!AR33)</f>
        <v>101.23054446589374</v>
      </c>
      <c r="AL33">
        <f>AVERAGE(S_plus!AS$2:'S_plus'!AS33)</f>
        <v>111.32106803632188</v>
      </c>
      <c r="AM33">
        <f>AVERAGE(S_plus!AT$2:'S_plus'!AT33)</f>
        <v>93.309091957412505</v>
      </c>
      <c r="AN33">
        <f>AVERAGE(S_plus!AU$2:'S_plus'!AU33)</f>
        <v>97.118145771462508</v>
      </c>
      <c r="AO33">
        <f>AVERAGE(S_plus!AV$2:'S_plus'!AV33)</f>
        <v>97.763733269649975</v>
      </c>
      <c r="AP33">
        <f>AVERAGE(S_plus!AW$2:'S_plus'!AW33)</f>
        <v>110.12329643240624</v>
      </c>
      <c r="AQ33">
        <f>AVERAGE(S_plus!AX$2:'S_plus'!AX33)</f>
        <v>97.831539266196884</v>
      </c>
      <c r="AR33">
        <f>AVERAGE(S_plus!AY$2:'S_plus'!AY33)</f>
        <v>101.16692700466251</v>
      </c>
      <c r="AS33">
        <f>AVERAGE(S_plus!AZ$2:'S_plus'!AZ33)</f>
        <v>110.353222608</v>
      </c>
      <c r="AT33">
        <f>AVERAGE(S_plus!BA$2:'S_plus'!BA33)</f>
        <v>106.9215805231875</v>
      </c>
      <c r="AU33">
        <f>AVERAGE(S_plus!BB$2:'S_plus'!BB33)</f>
        <v>106.20492071553751</v>
      </c>
      <c r="AV33">
        <f>AVERAGE(S_plus!BC$2:'S_plus'!BC33)</f>
        <v>107.81035383119375</v>
      </c>
      <c r="AW33">
        <f>AVERAGE(S_plus!BD$2:'S_plus'!BD33)</f>
        <v>100.18589700718124</v>
      </c>
      <c r="AX33">
        <f>AVERAGE(S_plus!BE$2:'S_plus'!BE33)</f>
        <v>88.013805302912502</v>
      </c>
      <c r="AY33">
        <f>AVERAGE(S_plus!BF$2:'S_plus'!BF33)</f>
        <v>94.859179889978137</v>
      </c>
      <c r="AZ33">
        <f>AVERAGE(S_plus!BG$2:'S_plus'!BG33)</f>
        <v>93.396986557437486</v>
      </c>
      <c r="BA33">
        <f>AVERAGE(S_plus!BH$2:'S_plus'!BH33)</f>
        <v>100.81843301748125</v>
      </c>
      <c r="BB33">
        <f>AVERAGE(S_plus!BI$2:'S_plus'!BI33)</f>
        <v>107.45149105800002</v>
      </c>
      <c r="BC33">
        <f>AVERAGE(S_plus!BJ$2:'S_plus'!BJ33)</f>
        <v>106.77088746840624</v>
      </c>
      <c r="BD33">
        <f>AVERAGE(S_plus!BK$2:'S_plus'!BK33)</f>
        <v>96.500175743687493</v>
      </c>
      <c r="BE33">
        <f>AVERAGE(S_plus!BL$2:'S_plus'!BL33)</f>
        <v>93.572367643171873</v>
      </c>
      <c r="BF33">
        <f>AVERAGE(S_plus!BM$2:'S_plus'!BM33)</f>
        <v>94.958330061593784</v>
      </c>
      <c r="BG33">
        <f>AVERAGE(S_plus!BN$2:'S_plus'!BN33)</f>
        <v>101.45726195336563</v>
      </c>
      <c r="BH33">
        <f>AVERAGE(S_plus!BO$2:'S_plus'!BO33)</f>
        <v>87.959576674806272</v>
      </c>
      <c r="BI33">
        <f>AVERAGE(S_plus!BP$2:'S_plus'!BP33)</f>
        <v>95.880665753768767</v>
      </c>
      <c r="BJ33">
        <f>AVERAGE(S_plus!BQ$2:'S_plus'!BQ33)</f>
        <v>91.370097940449995</v>
      </c>
      <c r="BK33">
        <f>AVERAGE(S_plus!BR$2:'S_plus'!BR33)</f>
        <v>101.46870983766875</v>
      </c>
      <c r="BL33">
        <f>AVERAGE(S_plus!BS$2:'S_plus'!BS33)</f>
        <v>104.40769181877809</v>
      </c>
      <c r="BM33">
        <f>AVERAGE(S_plus!BT$2:'S_plus'!BT33)</f>
        <v>109.06311044946875</v>
      </c>
      <c r="BN33">
        <f>AVERAGE(S_plus!BU$2:'S_plus'!BU33)</f>
        <v>103.4266023441125</v>
      </c>
      <c r="BO33">
        <f>AVERAGE(S_plus!BV$2:'S_plus'!BV33)</f>
        <v>96.288232992706256</v>
      </c>
      <c r="BP33">
        <f>AVERAGE(S_plus!BW$2:'S_plus'!BW33)</f>
        <v>92.305814372531245</v>
      </c>
      <c r="BQ33">
        <f>AVERAGE(S_plus!BX$2:'S_plus'!BX33)</f>
        <v>91.618138545337501</v>
      </c>
      <c r="BR33">
        <f>AVERAGE(S_plus!BY$2:'S_plus'!BY33)</f>
        <v>102.12325139184377</v>
      </c>
      <c r="BS33">
        <f>AVERAGE(S_plus!BZ$2:'S_plus'!BZ33)</f>
        <v>93.186734637156235</v>
      </c>
      <c r="BT33">
        <f>AVERAGE(S_plus!CA$2:'S_plus'!CA33)</f>
        <v>98.395960217028161</v>
      </c>
      <c r="BU33">
        <f>AVERAGE(S_plus!CB$2:'S_plus'!CB33)</f>
        <v>102.75647280572811</v>
      </c>
      <c r="BV33">
        <f>AVERAGE(S_plus!CC$2:'S_plus'!CC33)</f>
        <v>96.894885947375016</v>
      </c>
      <c r="BW33">
        <f>AVERAGE(S_plus!CD$2:'S_plus'!CD33)</f>
        <v>99.050781049165622</v>
      </c>
      <c r="BX33">
        <f>AVERAGE(S_plus!CE$2:'S_plus'!CE33)</f>
        <v>103.37140693718437</v>
      </c>
      <c r="BY33">
        <f>AVERAGE(S_plus!CF$2:'S_plus'!CF33)</f>
        <v>94.496933021584397</v>
      </c>
      <c r="BZ33">
        <f>AVERAGE(S_plus!CG$2:'S_plus'!CG33)</f>
        <v>92.164375016831229</v>
      </c>
      <c r="CA33">
        <f>AVERAGE(S_plus!CH$2:'S_plus'!CH33)</f>
        <v>112.59769900756251</v>
      </c>
      <c r="CB33">
        <f>AVERAGE(S_plus!CI$2:'S_plus'!CI33)</f>
        <v>94.125880529643752</v>
      </c>
      <c r="CC33">
        <f>AVERAGE(S_plus!CJ$2:'S_plus'!CJ33)</f>
        <v>101.3198447330781</v>
      </c>
      <c r="CD33">
        <f>AVERAGE(S_plus!CK$2:'S_plus'!CK33)</f>
        <v>93.210135813309378</v>
      </c>
      <c r="CE33">
        <f>AVERAGE(S_plus!CL$2:'S_plus'!CL33)</f>
        <v>91.787748135959376</v>
      </c>
      <c r="CF33">
        <f>AVERAGE(S_plus!CM$2:'S_plus'!CM33)</f>
        <v>102.26643355246252</v>
      </c>
      <c r="CG33">
        <f>AVERAGE(S_plus!CN$2:'S_plus'!CN33)</f>
        <v>93.83652130263124</v>
      </c>
      <c r="CH33">
        <f>AVERAGE(S_plus!CO$2:'S_plus'!CO33)</f>
        <v>108.10008694193751</v>
      </c>
      <c r="CI33">
        <f>AVERAGE(S_plus!CP$2:'S_plus'!CP33)</f>
        <v>102.02047062796562</v>
      </c>
      <c r="CJ33">
        <f>AVERAGE(S_plus!CQ$2:'S_plus'!CQ33)</f>
        <v>105.44085810365939</v>
      </c>
      <c r="CK33">
        <f>AVERAGE(S_plus!CR$2:'S_plus'!CR33)</f>
        <v>101.7511196419125</v>
      </c>
      <c r="CL33">
        <f>AVERAGE(S_plus!CS$2:'S_plus'!CS33)</f>
        <v>106.47762341787499</v>
      </c>
      <c r="CM33">
        <f>AVERAGE(S_plus!CT$2:'S_plus'!CT33)</f>
        <v>106.59761988151874</v>
      </c>
      <c r="CN33">
        <f>AVERAGE(S_plus!CU$2:'S_plus'!CU33)</f>
        <v>100.54396901745</v>
      </c>
      <c r="CO33">
        <f>AVERAGE(S_plus!CV$2:'S_plus'!CV33)</f>
        <v>99.897528263021869</v>
      </c>
      <c r="CP33">
        <f>AVERAGE(S_plus!CW$2:'S_plus'!CW33)</f>
        <v>106.8959866455031</v>
      </c>
      <c r="CQ33">
        <f>AVERAGE(S_plus!CX$2:'S_plus'!CX33)</f>
        <v>108.02512287905002</v>
      </c>
      <c r="CR33">
        <f>AVERAGE(S_plus!CY$2:'S_plus'!CY33)</f>
        <v>100.80681914307497</v>
      </c>
      <c r="CS33">
        <f>AVERAGE(S_plus!CZ$2:'S_plus'!CZ33)</f>
        <v>103.44053224819373</v>
      </c>
      <c r="CT33">
        <f>AVERAGE(S_plus!DA$2:'S_plus'!DA33)</f>
        <v>104.41009894050002</v>
      </c>
      <c r="CU33">
        <f>AVERAGE(S_plus!DB$2:'S_plus'!DB33)</f>
        <v>96.698461194412502</v>
      </c>
      <c r="CV33">
        <f>AVERAGE(S_plus!DC$2:'S_plus'!DC33)</f>
        <v>100.31499232413123</v>
      </c>
      <c r="CW33">
        <f>AVERAGE(S_plus!DD$2:'S_plus'!DD33)</f>
        <v>95.284973907218756</v>
      </c>
      <c r="CX33">
        <f>AVERAGE(S_plus!DE$2:'S_plus'!DE33)</f>
        <v>103.95510454209995</v>
      </c>
      <c r="CY33">
        <f>AVERAGE(S_plus!DF$2:'S_plus'!DF33)</f>
        <v>96.154378903859381</v>
      </c>
      <c r="CZ33">
        <f>AVERAGE(S_plus!DG$2:'S_plus'!DG33)</f>
        <v>94.707814244256227</v>
      </c>
      <c r="DA33">
        <f>AVERAGE(S_plus!DH$2:'S_plus'!DH33)</f>
        <v>100.17450795728749</v>
      </c>
    </row>
    <row r="34" spans="5:105" x14ac:dyDescent="0.25">
      <c r="E34">
        <f>E33+Asian!dt</f>
        <v>0.32000000000000012</v>
      </c>
      <c r="F34">
        <f>AVERAGE(S_plus!M$2:'S_plus'!M34)</f>
        <v>89.648138995896971</v>
      </c>
      <c r="G34">
        <f>AVERAGE(S_plus!N$2:'S_plus'!N34)</f>
        <v>95.672033044033313</v>
      </c>
      <c r="H34">
        <f>AVERAGE(S_plus!O$2:'S_plus'!O34)</f>
        <v>108.99997259688182</v>
      </c>
      <c r="I34">
        <f>AVERAGE(S_plus!P$2:'S_plus'!P34)</f>
        <v>100.21315505827876</v>
      </c>
      <c r="J34">
        <f>AVERAGE(S_plus!Q$2:'S_plus'!Q34)</f>
        <v>96.155331657206077</v>
      </c>
      <c r="K34">
        <f>AVERAGE(S_plus!R$2:'S_plus'!R34)</f>
        <v>99.634032508996981</v>
      </c>
      <c r="L34">
        <f>AVERAGE(S_plus!S$2:'S_plus'!S34)</f>
        <v>114.25182147857574</v>
      </c>
      <c r="M34">
        <f>AVERAGE(S_plus!T$2:'S_plus'!T34)</f>
        <v>90.460305705657561</v>
      </c>
      <c r="N34">
        <f>AVERAGE(S_plus!U$2:'S_plus'!U34)</f>
        <v>111.70677939257574</v>
      </c>
      <c r="O34">
        <f>AVERAGE(S_plus!V$2:'S_plus'!V34)</f>
        <v>98.819112893484828</v>
      </c>
      <c r="P34">
        <f>AVERAGE(S_plus!W$2:'S_plus'!W34)</f>
        <v>101.38387162282423</v>
      </c>
      <c r="Q34">
        <f>AVERAGE(S_plus!X$2:'S_plus'!X34)</f>
        <v>105.23455396875757</v>
      </c>
      <c r="R34">
        <f>AVERAGE(S_plus!Y$2:'S_plus'!Y34)</f>
        <v>95.600958310999999</v>
      </c>
      <c r="S34">
        <f>AVERAGE(S_plus!Z$2:'S_plus'!Z34)</f>
        <v>102.48347860758481</v>
      </c>
      <c r="T34">
        <f>AVERAGE(S_plus!AA$2:'S_plus'!AA34)</f>
        <v>104.89092734694546</v>
      </c>
      <c r="U34">
        <f>AVERAGE(S_plus!AB$2:'S_plus'!AB34)</f>
        <v>93.975467098700022</v>
      </c>
      <c r="V34">
        <f>AVERAGE(S_plus!AC$2:'S_plus'!AC34)</f>
        <v>93.064441526112148</v>
      </c>
      <c r="W34">
        <f>AVERAGE(S_plus!AD$2:'S_plus'!AD34)</f>
        <v>95.286061785960626</v>
      </c>
      <c r="X34">
        <f>AVERAGE(S_plus!AE$2:'S_plus'!AE34)</f>
        <v>109.58259566095454</v>
      </c>
      <c r="Y34">
        <f>AVERAGE(S_plus!AF$2:'S_plus'!AF34)</f>
        <v>94.55030356136669</v>
      </c>
      <c r="Z34">
        <f>AVERAGE(S_plus!AG$2:'S_plus'!AG34)</f>
        <v>105.08607128399393</v>
      </c>
      <c r="AA34">
        <f>AVERAGE(S_plus!AH$2:'S_plus'!AH34)</f>
        <v>98.781741022063628</v>
      </c>
      <c r="AB34">
        <f>AVERAGE(S_plus!AI$2:'S_plus'!AI34)</f>
        <v>93.601830946221213</v>
      </c>
      <c r="AC34">
        <f>AVERAGE(S_plus!AJ$2:'S_plus'!AJ34)</f>
        <v>98.631888467109079</v>
      </c>
      <c r="AD34">
        <f>AVERAGE(S_plus!AK$2:'S_plus'!AK34)</f>
        <v>112.97788079324241</v>
      </c>
      <c r="AE34">
        <f>AVERAGE(S_plus!AL$2:'S_plus'!AL34)</f>
        <v>104.6559662311606</v>
      </c>
      <c r="AF34">
        <f>AVERAGE(S_plus!AM$2:'S_plus'!AM34)</f>
        <v>95.136224676584845</v>
      </c>
      <c r="AG34">
        <f>AVERAGE(S_plus!AN$2:'S_plus'!AN34)</f>
        <v>114.52308450096972</v>
      </c>
      <c r="AH34">
        <f>AVERAGE(S_plus!AO$2:'S_plus'!AO34)</f>
        <v>103.46299723804849</v>
      </c>
      <c r="AI34">
        <f>AVERAGE(S_plus!AP$2:'S_plus'!AP34)</f>
        <v>95.952983962060614</v>
      </c>
      <c r="AJ34">
        <f>AVERAGE(S_plus!AQ$2:'S_plus'!AQ34)</f>
        <v>99.279967518736356</v>
      </c>
      <c r="AK34">
        <f>AVERAGE(S_plus!AR$2:'S_plus'!AR34)</f>
        <v>101.44158506250302</v>
      </c>
      <c r="AL34">
        <f>AVERAGE(S_plus!AS$2:'S_plus'!AS34)</f>
        <v>111.38932299567576</v>
      </c>
      <c r="AM34">
        <f>AVERAGE(S_plus!AT$2:'S_plus'!AT34)</f>
        <v>93.415783027972736</v>
      </c>
      <c r="AN34">
        <f>AVERAGE(S_plus!AU$2:'S_plus'!AU34)</f>
        <v>96.926365316406063</v>
      </c>
      <c r="AO34">
        <f>AVERAGE(S_plus!AV$2:'S_plus'!AV34)</f>
        <v>97.75568319776059</v>
      </c>
      <c r="AP34">
        <f>AVERAGE(S_plus!AW$2:'S_plus'!AW34)</f>
        <v>110.51141785648483</v>
      </c>
      <c r="AQ34">
        <f>AVERAGE(S_plus!AX$2:'S_plus'!AX34)</f>
        <v>97.730462242690919</v>
      </c>
      <c r="AR34">
        <f>AVERAGE(S_plus!AY$2:'S_plus'!AY34)</f>
        <v>100.82823897871819</v>
      </c>
      <c r="AS34">
        <f>AVERAGE(S_plus!AZ$2:'S_plus'!AZ34)</f>
        <v>110.5489364881212</v>
      </c>
      <c r="AT34">
        <f>AVERAGE(S_plus!BA$2:'S_plus'!BA34)</f>
        <v>107.18874503763637</v>
      </c>
      <c r="AU34">
        <f>AVERAGE(S_plus!BB$2:'S_plus'!BB34)</f>
        <v>106.11674654106668</v>
      </c>
      <c r="AV34">
        <f>AVERAGE(S_plus!BC$2:'S_plus'!BC34)</f>
        <v>107.83404905727879</v>
      </c>
      <c r="AW34">
        <f>AVERAGE(S_plus!BD$2:'S_plus'!BD34)</f>
        <v>100.31237381629695</v>
      </c>
      <c r="AX34">
        <f>AVERAGE(S_plus!BE$2:'S_plus'!BE34)</f>
        <v>88.201143709342432</v>
      </c>
      <c r="AY34">
        <f>AVERAGE(S_plus!BF$2:'S_plus'!BF34)</f>
        <v>94.641028053133354</v>
      </c>
      <c r="AZ34">
        <f>AVERAGE(S_plus!BG$2:'S_plus'!BG34)</f>
        <v>93.410091827921192</v>
      </c>
      <c r="BA34">
        <f>AVERAGE(S_plus!BH$2:'S_plus'!BH34)</f>
        <v>100.70634274915456</v>
      </c>
      <c r="BB34">
        <f>AVERAGE(S_plus!BI$2:'S_plus'!BI34)</f>
        <v>107.47942148006062</v>
      </c>
      <c r="BC34">
        <f>AVERAGE(S_plus!BJ$2:'S_plus'!BJ34)</f>
        <v>106.60224474503029</v>
      </c>
      <c r="BD34">
        <f>AVERAGE(S_plus!BK$2:'S_plus'!BK34)</f>
        <v>96.436415880821201</v>
      </c>
      <c r="BE34">
        <f>AVERAGE(S_plus!BL$2:'S_plus'!BL34)</f>
        <v>93.348045877054545</v>
      </c>
      <c r="BF34">
        <f>AVERAGE(S_plus!BM$2:'S_plus'!BM34)</f>
        <v>95.006657240112162</v>
      </c>
      <c r="BG34">
        <f>AVERAGE(S_plus!BN$2:'S_plus'!BN34)</f>
        <v>101.46275053747577</v>
      </c>
      <c r="BH34">
        <f>AVERAGE(S_plus!BO$2:'S_plus'!BO34)</f>
        <v>87.682737448600022</v>
      </c>
      <c r="BI34">
        <f>AVERAGE(S_plus!BP$2:'S_plus'!BP34)</f>
        <v>95.594777086790927</v>
      </c>
      <c r="BJ34">
        <f>AVERAGE(S_plus!BQ$2:'S_plus'!BQ34)</f>
        <v>91.161649591672713</v>
      </c>
      <c r="BK34">
        <f>AVERAGE(S_plus!BR$2:'S_plus'!BR34)</f>
        <v>101.7200470717091</v>
      </c>
      <c r="BL34">
        <f>AVERAGE(S_plus!BS$2:'S_plus'!BS34)</f>
        <v>104.4519025176333</v>
      </c>
      <c r="BM34">
        <f>AVERAGE(S_plus!BT$2:'S_plus'!BT34)</f>
        <v>109.09944942481819</v>
      </c>
      <c r="BN34">
        <f>AVERAGE(S_plus!BU$2:'S_plus'!BU34)</f>
        <v>103.30963124840605</v>
      </c>
      <c r="BO34">
        <f>AVERAGE(S_plus!BV$2:'S_plus'!BV34)</f>
        <v>96.099107965745461</v>
      </c>
      <c r="BP34">
        <f>AVERAGE(S_plus!BW$2:'S_plus'!BW34)</f>
        <v>92.109215914451511</v>
      </c>
      <c r="BQ34">
        <f>AVERAGE(S_plus!BX$2:'S_plus'!BX34)</f>
        <v>91.164762183481827</v>
      </c>
      <c r="BR34">
        <f>AVERAGE(S_plus!BY$2:'S_plus'!BY34)</f>
        <v>102.49452545512123</v>
      </c>
      <c r="BS34">
        <f>AVERAGE(S_plus!BZ$2:'S_plus'!BZ34)</f>
        <v>93.2827471903515</v>
      </c>
      <c r="BT34">
        <f>AVERAGE(S_plus!CA$2:'S_plus'!CA34)</f>
        <v>98.528742357118219</v>
      </c>
      <c r="BU34">
        <f>AVERAGE(S_plus!CB$2:'S_plus'!CB34)</f>
        <v>102.76960528782726</v>
      </c>
      <c r="BV34">
        <f>AVERAGE(S_plus!CC$2:'S_plus'!CC34)</f>
        <v>96.879339824854569</v>
      </c>
      <c r="BW34">
        <f>AVERAGE(S_plus!CD$2:'S_plus'!CD34)</f>
        <v>98.9994533760606</v>
      </c>
      <c r="BX34">
        <f>AVERAGE(S_plus!CE$2:'S_plus'!CE34)</f>
        <v>103.56784570263333</v>
      </c>
      <c r="BY34">
        <f>AVERAGE(S_plus!CF$2:'S_plus'!CF34)</f>
        <v>94.280623965442445</v>
      </c>
      <c r="BZ34">
        <f>AVERAGE(S_plus!CG$2:'S_plus'!CG34)</f>
        <v>92.255234647093914</v>
      </c>
      <c r="CA34">
        <f>AVERAGE(S_plus!CH$2:'S_plus'!CH34)</f>
        <v>112.75534962554546</v>
      </c>
      <c r="CB34">
        <f>AVERAGE(S_plus!CI$2:'S_plus'!CI34)</f>
        <v>94.397811320109085</v>
      </c>
      <c r="CC34">
        <f>AVERAGE(S_plus!CJ$2:'S_plus'!CJ34)</f>
        <v>101.10437376178179</v>
      </c>
      <c r="CD34">
        <f>AVERAGE(S_plus!CK$2:'S_plus'!CK34)</f>
        <v>93.053668000066665</v>
      </c>
      <c r="CE34">
        <f>AVERAGE(S_plus!CL$2:'S_plus'!CL34)</f>
        <v>91.782765881109086</v>
      </c>
      <c r="CF34">
        <f>AVERAGE(S_plus!CM$2:'S_plus'!CM34)</f>
        <v>102.32943928826668</v>
      </c>
      <c r="CG34">
        <f>AVERAGE(S_plus!CN$2:'S_plus'!CN34)</f>
        <v>93.88811381217576</v>
      </c>
      <c r="CH34">
        <f>AVERAGE(S_plus!CO$2:'S_plus'!CO34)</f>
        <v>108.34262790009092</v>
      </c>
      <c r="CI34">
        <f>AVERAGE(S_plus!CP$2:'S_plus'!CP34)</f>
        <v>101.86641481991818</v>
      </c>
      <c r="CJ34">
        <f>AVERAGE(S_plus!CQ$2:'S_plus'!CQ34)</f>
        <v>105.24164650190305</v>
      </c>
      <c r="CK34">
        <f>AVERAGE(S_plus!CR$2:'S_plus'!CR34)</f>
        <v>101.71207415976363</v>
      </c>
      <c r="CL34">
        <f>AVERAGE(S_plus!CS$2:'S_plus'!CS34)</f>
        <v>106.37929670869697</v>
      </c>
      <c r="CM34">
        <f>AVERAGE(S_plus!CT$2:'S_plus'!CT34)</f>
        <v>106.59164514862424</v>
      </c>
      <c r="CN34">
        <f>AVERAGE(S_plus!CU$2:'S_plus'!CU34)</f>
        <v>100.56023979916363</v>
      </c>
      <c r="CO34">
        <f>AVERAGE(S_plus!CV$2:'S_plus'!CV34)</f>
        <v>99.401642712284854</v>
      </c>
      <c r="CP34">
        <f>AVERAGE(S_plus!CW$2:'S_plus'!CW34)</f>
        <v>107.02408542266969</v>
      </c>
      <c r="CQ34">
        <f>AVERAGE(S_plus!CX$2:'S_plus'!CX34)</f>
        <v>108.30102978971516</v>
      </c>
      <c r="CR34">
        <f>AVERAGE(S_plus!CY$2:'S_plus'!CY34)</f>
        <v>100.70648658460907</v>
      </c>
      <c r="CS34">
        <f>AVERAGE(S_plus!CZ$2:'S_plus'!CZ34)</f>
        <v>103.60867183433938</v>
      </c>
      <c r="CT34">
        <f>AVERAGE(S_plus!DA$2:'S_plus'!DA34)</f>
        <v>104.82367965718184</v>
      </c>
      <c r="CU34">
        <f>AVERAGE(S_plus!DB$2:'S_plus'!DB34)</f>
        <v>96.262993601409093</v>
      </c>
      <c r="CV34">
        <f>AVERAGE(S_plus!DC$2:'S_plus'!DC34)</f>
        <v>100.2813906224515</v>
      </c>
      <c r="CW34">
        <f>AVERAGE(S_plus!DD$2:'S_plus'!DD34)</f>
        <v>95.066098400484847</v>
      </c>
      <c r="CX34">
        <f>AVERAGE(S_plus!DE$2:'S_plus'!DE34)</f>
        <v>104.043697201006</v>
      </c>
      <c r="CY34">
        <f>AVERAGE(S_plus!DF$2:'S_plus'!DF34)</f>
        <v>95.919648934245473</v>
      </c>
      <c r="CZ34">
        <f>AVERAGE(S_plus!DG$2:'S_plus'!DG34)</f>
        <v>94.420066636796946</v>
      </c>
      <c r="DA34">
        <f>AVERAGE(S_plus!DH$2:'S_plus'!DH34)</f>
        <v>100.26937486479393</v>
      </c>
    </row>
    <row r="35" spans="5:105" x14ac:dyDescent="0.25">
      <c r="E35">
        <f>E34+Asian!dt</f>
        <v>0.33000000000000013</v>
      </c>
      <c r="F35">
        <f>AVERAGE(S_plus!M$2:'S_plus'!M35)</f>
        <v>89.695099286332365</v>
      </c>
      <c r="G35">
        <f>AVERAGE(S_plus!N$2:'S_plus'!N35)</f>
        <v>95.799278579132334</v>
      </c>
      <c r="H35">
        <f>AVERAGE(S_plus!O$2:'S_plus'!O35)</f>
        <v>108.80373481979707</v>
      </c>
      <c r="I35">
        <f>AVERAGE(S_plus!P$2:'S_plus'!P35)</f>
        <v>100.28449569571174</v>
      </c>
      <c r="J35">
        <f>AVERAGE(S_plus!Q$2:'S_plus'!Q35)</f>
        <v>95.826552277347091</v>
      </c>
      <c r="K35">
        <f>AVERAGE(S_plus!R$2:'S_plus'!R35)</f>
        <v>99.439809774582372</v>
      </c>
      <c r="L35">
        <f>AVERAGE(S_plus!S$2:'S_plus'!S35)</f>
        <v>114.38698576885292</v>
      </c>
      <c r="M35">
        <f>AVERAGE(S_plus!T$2:'S_plus'!T35)</f>
        <v>90.226433482820568</v>
      </c>
      <c r="N35">
        <f>AVERAGE(S_plus!U$2:'S_plus'!U35)</f>
        <v>111.73775213770587</v>
      </c>
      <c r="O35">
        <f>AVERAGE(S_plus!V$2:'S_plus'!V35)</f>
        <v>98.995745011205869</v>
      </c>
      <c r="P35">
        <f>AVERAGE(S_plus!W$2:'S_plus'!W35)</f>
        <v>101.38190278588822</v>
      </c>
      <c r="Q35">
        <f>AVERAGE(S_plus!X$2:'S_plus'!X35)</f>
        <v>105.4450189092647</v>
      </c>
      <c r="R35">
        <f>AVERAGE(S_plus!Y$2:'S_plus'!Y35)</f>
        <v>95.455852838558826</v>
      </c>
      <c r="S35">
        <f>AVERAGE(S_plus!Z$2:'S_plus'!Z35)</f>
        <v>102.81181388297938</v>
      </c>
      <c r="T35">
        <f>AVERAGE(S_plus!AA$2:'S_plus'!AA35)</f>
        <v>104.84741320982941</v>
      </c>
      <c r="U35">
        <f>AVERAGE(S_plus!AB$2:'S_plus'!AB35)</f>
        <v>93.971907198102954</v>
      </c>
      <c r="V35">
        <f>AVERAGE(S_plus!AC$2:'S_plus'!AC35)</f>
        <v>92.941155081479451</v>
      </c>
      <c r="W35">
        <f>AVERAGE(S_plus!AD$2:'S_plus'!AD35)</f>
        <v>95.197065277688253</v>
      </c>
      <c r="X35">
        <f>AVERAGE(S_plus!AE$2:'S_plus'!AE35)</f>
        <v>110.03675398254411</v>
      </c>
      <c r="Y35">
        <f>AVERAGE(S_plus!AF$2:'S_plus'!AF35)</f>
        <v>94.843527212855903</v>
      </c>
      <c r="Z35">
        <f>AVERAGE(S_plus!AG$2:'S_plus'!AG35)</f>
        <v>105.06481731514117</v>
      </c>
      <c r="AA35">
        <f>AVERAGE(S_plus!AH$2:'S_plus'!AH35)</f>
        <v>98.933190021297051</v>
      </c>
      <c r="AB35">
        <f>AVERAGE(S_plus!AI$2:'S_plus'!AI35)</f>
        <v>93.177691880997045</v>
      </c>
      <c r="AC35">
        <f>AVERAGE(S_plus!AJ$2:'S_plus'!AJ35)</f>
        <v>98.391702699932353</v>
      </c>
      <c r="AD35">
        <f>AVERAGE(S_plus!AK$2:'S_plus'!AK35)</f>
        <v>113.4026693555</v>
      </c>
      <c r="AE35">
        <f>AVERAGE(S_plus!AL$2:'S_plus'!AL35)</f>
        <v>104.73503714789118</v>
      </c>
      <c r="AF35">
        <f>AVERAGE(S_plus!AM$2:'S_plus'!AM35)</f>
        <v>95.191024898573531</v>
      </c>
      <c r="AG35">
        <f>AVERAGE(S_plus!AN$2:'S_plus'!AN35)</f>
        <v>114.79065085823531</v>
      </c>
      <c r="AH35">
        <f>AVERAGE(S_plus!AO$2:'S_plus'!AO35)</f>
        <v>103.38130044034118</v>
      </c>
      <c r="AI35">
        <f>AVERAGE(S_plus!AP$2:'S_plus'!AP35)</f>
        <v>95.699817172138239</v>
      </c>
      <c r="AJ35">
        <f>AVERAGE(S_plus!AQ$2:'S_plus'!AQ35)</f>
        <v>99.24828324748529</v>
      </c>
      <c r="AK35">
        <f>AVERAGE(S_plus!AR$2:'S_plus'!AR35)</f>
        <v>101.52759308045881</v>
      </c>
      <c r="AL35">
        <f>AVERAGE(S_plus!AS$2:'S_plus'!AS35)</f>
        <v>111.33322412633234</v>
      </c>
      <c r="AM35">
        <f>AVERAGE(S_plus!AT$2:'S_plus'!AT35)</f>
        <v>93.524103413882358</v>
      </c>
      <c r="AN35">
        <f>AVERAGE(S_plus!AU$2:'S_plus'!AU35)</f>
        <v>96.766944357973543</v>
      </c>
      <c r="AO35">
        <f>AVERAGE(S_plus!AV$2:'S_plus'!AV35)</f>
        <v>97.853186068973514</v>
      </c>
      <c r="AP35">
        <f>AVERAGE(S_plus!AW$2:'S_plus'!AW35)</f>
        <v>110.87456641041175</v>
      </c>
      <c r="AQ35">
        <f>AVERAGE(S_plus!AX$2:'S_plus'!AX35)</f>
        <v>97.557494245479432</v>
      </c>
      <c r="AR35">
        <f>AVERAGE(S_plus!AY$2:'S_plus'!AY35)</f>
        <v>100.51165982554413</v>
      </c>
      <c r="AS35">
        <f>AVERAGE(S_plus!AZ$2:'S_plus'!AZ35)</f>
        <v>110.69403383141176</v>
      </c>
      <c r="AT35">
        <f>AVERAGE(S_plus!BA$2:'S_plus'!BA35)</f>
        <v>107.46756135429412</v>
      </c>
      <c r="AU35">
        <f>AVERAGE(S_plus!BB$2:'S_plus'!BB35)</f>
        <v>106.12102088618236</v>
      </c>
      <c r="AV35">
        <f>AVERAGE(S_plus!BC$2:'S_plus'!BC35)</f>
        <v>107.87999894924118</v>
      </c>
      <c r="AW35">
        <f>AVERAGE(S_plus!BD$2:'S_plus'!BD35)</f>
        <v>100.45540405340589</v>
      </c>
      <c r="AX35">
        <f>AVERAGE(S_plus!BE$2:'S_plus'!BE35)</f>
        <v>88.385525455702947</v>
      </c>
      <c r="AY35">
        <f>AVERAGE(S_plus!BF$2:'S_plus'!BF35)</f>
        <v>94.423474830579423</v>
      </c>
      <c r="AZ35">
        <f>AVERAGE(S_plus!BG$2:'S_plus'!BG35)</f>
        <v>93.440019183597045</v>
      </c>
      <c r="BA35">
        <f>AVERAGE(S_plus!BH$2:'S_plus'!BH35)</f>
        <v>100.59346281492648</v>
      </c>
      <c r="BB35">
        <f>AVERAGE(S_plus!BI$2:'S_plus'!BI35)</f>
        <v>107.48624302652942</v>
      </c>
      <c r="BC35">
        <f>AVERAGE(S_plus!BJ$2:'S_plus'!BJ35)</f>
        <v>106.43915344155882</v>
      </c>
      <c r="BD35">
        <f>AVERAGE(S_plus!BK$2:'S_plus'!BK35)</f>
        <v>96.392784254061752</v>
      </c>
      <c r="BE35">
        <f>AVERAGE(S_plus!BL$2:'S_plus'!BL35)</f>
        <v>93.179974088855886</v>
      </c>
      <c r="BF35">
        <f>AVERAGE(S_plus!BM$2:'S_plus'!BM35)</f>
        <v>95.085354491941217</v>
      </c>
      <c r="BG35">
        <f>AVERAGE(S_plus!BN$2:'S_plus'!BN35)</f>
        <v>101.41450651635589</v>
      </c>
      <c r="BH35">
        <f>AVERAGE(S_plus!BO$2:'S_plus'!BO35)</f>
        <v>87.453396702044145</v>
      </c>
      <c r="BI35">
        <f>AVERAGE(S_plus!BP$2:'S_plus'!BP35)</f>
        <v>95.248373626202962</v>
      </c>
      <c r="BJ35">
        <f>AVERAGE(S_plus!BQ$2:'S_plus'!BQ35)</f>
        <v>91.044165195699989</v>
      </c>
      <c r="BK35">
        <f>AVERAGE(S_plus!BR$2:'S_plus'!BR35)</f>
        <v>102.00989036636471</v>
      </c>
      <c r="BL35">
        <f>AVERAGE(S_plus!BS$2:'S_plus'!BS35)</f>
        <v>104.56489306323232</v>
      </c>
      <c r="BM35">
        <f>AVERAGE(S_plus!BT$2:'S_plus'!BT35)</f>
        <v>109.17476601276471</v>
      </c>
      <c r="BN35">
        <f>AVERAGE(S_plus!BU$2:'S_plus'!BU35)</f>
        <v>103.33218197357058</v>
      </c>
      <c r="BO35">
        <f>AVERAGE(S_plus!BV$2:'S_plus'!BV35)</f>
        <v>95.995164102773543</v>
      </c>
      <c r="BP35">
        <f>AVERAGE(S_plus!BW$2:'S_plus'!BW35)</f>
        <v>91.913576011047041</v>
      </c>
      <c r="BQ35">
        <f>AVERAGE(S_plus!BX$2:'S_plus'!BX35)</f>
        <v>90.768011506397073</v>
      </c>
      <c r="BR35">
        <f>AVERAGE(S_plus!BY$2:'S_plus'!BY35)</f>
        <v>102.85875753817649</v>
      </c>
      <c r="BS35">
        <f>AVERAGE(S_plus!BZ$2:'S_plus'!BZ35)</f>
        <v>93.366323337497036</v>
      </c>
      <c r="BT35">
        <f>AVERAGE(S_plus!CA$2:'S_plus'!CA35)</f>
        <v>98.687081194614734</v>
      </c>
      <c r="BU35">
        <f>AVERAGE(S_plus!CB$2:'S_plus'!CB35)</f>
        <v>102.7143715202441</v>
      </c>
      <c r="BV35">
        <f>AVERAGE(S_plus!CC$2:'S_plus'!CC35)</f>
        <v>96.79652598923532</v>
      </c>
      <c r="BW35">
        <f>AVERAGE(S_plus!CD$2:'S_plus'!CD35)</f>
        <v>98.999917116573528</v>
      </c>
      <c r="BX35">
        <f>AVERAGE(S_plus!CE$2:'S_plus'!CE35)</f>
        <v>103.6980011586147</v>
      </c>
      <c r="BY35">
        <f>AVERAGE(S_plus!CF$2:'S_plus'!CF35)</f>
        <v>94.088591898711783</v>
      </c>
      <c r="BZ35">
        <f>AVERAGE(S_plus!CG$2:'S_plus'!CG35)</f>
        <v>92.302036670438213</v>
      </c>
      <c r="CA35">
        <f>AVERAGE(S_plus!CH$2:'S_plus'!CH35)</f>
        <v>112.99367318141176</v>
      </c>
      <c r="CB35">
        <f>AVERAGE(S_plus!CI$2:'S_plus'!CI35)</f>
        <v>94.701222374517656</v>
      </c>
      <c r="CC35">
        <f>AVERAGE(S_plus!CJ$2:'S_plus'!CJ35)</f>
        <v>100.91679160630292</v>
      </c>
      <c r="CD35">
        <f>AVERAGE(S_plus!CK$2:'S_plus'!CK35)</f>
        <v>92.893756130864716</v>
      </c>
      <c r="CE35">
        <f>AVERAGE(S_plus!CL$2:'S_plus'!CL35)</f>
        <v>91.737823562429412</v>
      </c>
      <c r="CF35">
        <f>AVERAGE(S_plus!CM$2:'S_plus'!CM35)</f>
        <v>102.38072393734707</v>
      </c>
      <c r="CG35">
        <f>AVERAGE(S_plus!CN$2:'S_plus'!CN35)</f>
        <v>93.93608959410588</v>
      </c>
      <c r="CH35">
        <f>AVERAGE(S_plus!CO$2:'S_plus'!CO35)</f>
        <v>108.59537306273531</v>
      </c>
      <c r="CI35">
        <f>AVERAGE(S_plus!CP$2:'S_plus'!CP35)</f>
        <v>101.6756638768647</v>
      </c>
      <c r="CJ35">
        <f>AVERAGE(S_plus!CQ$2:'S_plus'!CQ35)</f>
        <v>105.16238982425885</v>
      </c>
      <c r="CK35">
        <f>AVERAGE(S_plus!CR$2:'S_plus'!CR35)</f>
        <v>101.70063433294706</v>
      </c>
      <c r="CL35">
        <f>AVERAGE(S_plus!CS$2:'S_plus'!CS35)</f>
        <v>106.30760624144118</v>
      </c>
      <c r="CM35">
        <f>AVERAGE(S_plus!CT$2:'S_plus'!CT35)</f>
        <v>106.50719687301765</v>
      </c>
      <c r="CN35">
        <f>AVERAGE(S_plus!CU$2:'S_plus'!CU35)</f>
        <v>100.60148099539411</v>
      </c>
      <c r="CO35">
        <f>AVERAGE(S_plus!CV$2:'S_plus'!CV35)</f>
        <v>98.946052121297058</v>
      </c>
      <c r="CP35">
        <f>AVERAGE(S_plus!CW$2:'S_plus'!CW35)</f>
        <v>107.12503528420881</v>
      </c>
      <c r="CQ35">
        <f>AVERAGE(S_plus!CX$2:'S_plus'!CX35)</f>
        <v>108.51630613260589</v>
      </c>
      <c r="CR35">
        <f>AVERAGE(S_plus!CY$2:'S_plus'!CY35)</f>
        <v>100.63041211338528</v>
      </c>
      <c r="CS35">
        <f>AVERAGE(S_plus!CZ$2:'S_plus'!CZ35)</f>
        <v>103.70036857997646</v>
      </c>
      <c r="CT35">
        <f>AVERAGE(S_plus!DA$2:'S_plus'!DA35)</f>
        <v>105.21193562558825</v>
      </c>
      <c r="CU35">
        <f>AVERAGE(S_plus!DB$2:'S_plus'!DB35)</f>
        <v>95.845786166147064</v>
      </c>
      <c r="CV35">
        <f>AVERAGE(S_plus!DC$2:'S_plus'!DC35)</f>
        <v>100.28031056843822</v>
      </c>
      <c r="CW35">
        <f>AVERAGE(S_plus!DD$2:'S_plus'!DD35)</f>
        <v>94.880134122070586</v>
      </c>
      <c r="CX35">
        <f>AVERAGE(S_plus!DE$2:'S_plus'!DE35)</f>
        <v>104.15804657044701</v>
      </c>
      <c r="CY35">
        <f>AVERAGE(S_plus!DF$2:'S_plus'!DF35)</f>
        <v>95.659676283023543</v>
      </c>
      <c r="CZ35">
        <f>AVERAGE(S_plus!DG$2:'S_plus'!DG35)</f>
        <v>94.217698641967615</v>
      </c>
      <c r="DA35">
        <f>AVERAGE(S_plus!DH$2:'S_plus'!DH35)</f>
        <v>100.29529120565293</v>
      </c>
    </row>
    <row r="36" spans="5:105" x14ac:dyDescent="0.25">
      <c r="E36">
        <f>E35+Asian!dt</f>
        <v>0.34000000000000014</v>
      </c>
      <c r="F36">
        <f>AVERAGE(S_plus!M$2:'S_plus'!M36)</f>
        <v>89.674376088068584</v>
      </c>
      <c r="G36">
        <f>AVERAGE(S_plus!N$2:'S_plus'!N36)</f>
        <v>95.887697102899978</v>
      </c>
      <c r="H36">
        <f>AVERAGE(S_plus!O$2:'S_plus'!O36)</f>
        <v>108.54307446482287</v>
      </c>
      <c r="I36">
        <f>AVERAGE(S_plus!P$2:'S_plus'!P36)</f>
        <v>100.27902312517712</v>
      </c>
      <c r="J36">
        <f>AVERAGE(S_plus!Q$2:'S_plus'!Q36)</f>
        <v>95.450109786237178</v>
      </c>
      <c r="K36">
        <f>AVERAGE(S_plus!R$2:'S_plus'!R36)</f>
        <v>99.353747900391454</v>
      </c>
      <c r="L36">
        <f>AVERAGE(S_plus!S$2:'S_plus'!S36)</f>
        <v>114.55035012808571</v>
      </c>
      <c r="M36">
        <f>AVERAGE(S_plus!T$2:'S_plus'!T36)</f>
        <v>89.925523030897125</v>
      </c>
      <c r="N36">
        <f>AVERAGE(S_plus!U$2:'S_plus'!U36)</f>
        <v>111.75370937437141</v>
      </c>
      <c r="O36">
        <f>AVERAGE(S_plus!V$2:'S_plus'!V36)</f>
        <v>99.069837464914272</v>
      </c>
      <c r="P36">
        <f>AVERAGE(S_plus!W$2:'S_plus'!W36)</f>
        <v>101.27597591509426</v>
      </c>
      <c r="Q36">
        <f>AVERAGE(S_plus!X$2:'S_plus'!X36)</f>
        <v>105.68025779065715</v>
      </c>
      <c r="R36">
        <f>AVERAGE(S_plus!Y$2:'S_plus'!Y36)</f>
        <v>95.317593312591427</v>
      </c>
      <c r="S36">
        <f>AVERAGE(S_plus!Z$2:'S_plus'!Z36)</f>
        <v>103.09770806052282</v>
      </c>
      <c r="T36">
        <f>AVERAGE(S_plus!AA$2:'S_plus'!AA36)</f>
        <v>104.81306857940572</v>
      </c>
      <c r="U36">
        <f>AVERAGE(S_plus!AB$2:'S_plus'!AB36)</f>
        <v>93.951843177871453</v>
      </c>
      <c r="V36">
        <f>AVERAGE(S_plus!AC$2:'S_plus'!AC36)</f>
        <v>92.825322234608606</v>
      </c>
      <c r="W36">
        <f>AVERAGE(S_plus!AD$2:'S_plus'!AD36)</f>
        <v>95.196409959725727</v>
      </c>
      <c r="X36">
        <f>AVERAGE(S_plus!AE$2:'S_plus'!AE36)</f>
        <v>110.61176991841428</v>
      </c>
      <c r="Y36">
        <f>AVERAGE(S_plus!AF$2:'S_plus'!AF36)</f>
        <v>95.127288485602875</v>
      </c>
      <c r="Z36">
        <f>AVERAGE(S_plus!AG$2:'S_plus'!AG36)</f>
        <v>105.06636767013714</v>
      </c>
      <c r="AA36">
        <f>AVERAGE(S_plus!AH$2:'S_plus'!AH36)</f>
        <v>99.112906689260001</v>
      </c>
      <c r="AB36">
        <f>AVERAGE(S_plus!AI$2:'S_plus'!AI36)</f>
        <v>92.80961716233999</v>
      </c>
      <c r="AC36">
        <f>AVERAGE(S_plus!AJ$2:'S_plus'!AJ36)</f>
        <v>98.175861173065712</v>
      </c>
      <c r="AD36">
        <f>AVERAGE(S_plus!AK$2:'S_plus'!AK36)</f>
        <v>113.82072177645713</v>
      </c>
      <c r="AE36">
        <f>AVERAGE(S_plus!AL$2:'S_plus'!AL36)</f>
        <v>104.81627487535143</v>
      </c>
      <c r="AF36">
        <f>AVERAGE(S_plus!AM$2:'S_plus'!AM36)</f>
        <v>95.246086436742857</v>
      </c>
      <c r="AG36">
        <f>AVERAGE(S_plus!AN$2:'S_plus'!AN36)</f>
        <v>115.12952339660001</v>
      </c>
      <c r="AH36">
        <f>AVERAGE(S_plus!AO$2:'S_plus'!AO36)</f>
        <v>103.25660946406572</v>
      </c>
      <c r="AI36">
        <f>AVERAGE(S_plus!AP$2:'S_plus'!AP36)</f>
        <v>95.520984694765716</v>
      </c>
      <c r="AJ36">
        <f>AVERAGE(S_plus!AQ$2:'S_plus'!AQ36)</f>
        <v>99.214375242882852</v>
      </c>
      <c r="AK36">
        <f>AVERAGE(S_plus!AR$2:'S_plus'!AR36)</f>
        <v>101.56878910796</v>
      </c>
      <c r="AL36">
        <f>AVERAGE(S_plus!AS$2:'S_plus'!AS36)</f>
        <v>111.32662146463713</v>
      </c>
      <c r="AM36">
        <f>AVERAGE(S_plus!AT$2:'S_plus'!AT36)</f>
        <v>93.657545119782853</v>
      </c>
      <c r="AN36">
        <f>AVERAGE(S_plus!AU$2:'S_plus'!AU36)</f>
        <v>96.626094739405715</v>
      </c>
      <c r="AO36">
        <f>AVERAGE(S_plus!AV$2:'S_plus'!AV36)</f>
        <v>97.992476489402847</v>
      </c>
      <c r="AP36">
        <f>AVERAGE(S_plus!AW$2:'S_plus'!AW36)</f>
        <v>111.19131601079998</v>
      </c>
      <c r="AQ36">
        <f>AVERAGE(S_plus!AX$2:'S_plus'!AX36)</f>
        <v>97.363660051608576</v>
      </c>
      <c r="AR36">
        <f>AVERAGE(S_plus!AY$2:'S_plus'!AY36)</f>
        <v>100.29358097068287</v>
      </c>
      <c r="AS36">
        <f>AVERAGE(S_plus!AZ$2:'S_plus'!AZ36)</f>
        <v>110.83615682037141</v>
      </c>
      <c r="AT36">
        <f>AVERAGE(S_plus!BA$2:'S_plus'!BA36)</f>
        <v>107.72449675525715</v>
      </c>
      <c r="AU36">
        <f>AVERAGE(S_plus!BB$2:'S_plus'!BB36)</f>
        <v>106.14858387363431</v>
      </c>
      <c r="AV36">
        <f>AVERAGE(S_plus!BC$2:'S_plus'!BC36)</f>
        <v>107.94435476920572</v>
      </c>
      <c r="AW36">
        <f>AVERAGE(S_plus!BD$2:'S_plus'!BD36)</f>
        <v>100.5494651565657</v>
      </c>
      <c r="AX36">
        <f>AVERAGE(S_plus!BE$2:'S_plus'!BE36)</f>
        <v>88.564366544808578</v>
      </c>
      <c r="AY36">
        <f>AVERAGE(S_plus!BF$2:'S_plus'!BF36)</f>
        <v>94.21033374071429</v>
      </c>
      <c r="AZ36">
        <f>AVERAGE(S_plus!BG$2:'S_plus'!BG36)</f>
        <v>93.383956906394275</v>
      </c>
      <c r="BA36">
        <f>AVERAGE(S_plus!BH$2:'S_plus'!BH36)</f>
        <v>100.45559020224572</v>
      </c>
      <c r="BB36">
        <f>AVERAGE(S_plus!BI$2:'S_plus'!BI36)</f>
        <v>107.57018368411428</v>
      </c>
      <c r="BC36">
        <f>AVERAGE(S_plus!BJ$2:'S_plus'!BJ36)</f>
        <v>106.27270833177143</v>
      </c>
      <c r="BD36">
        <f>AVERAGE(S_plus!BK$2:'S_plus'!BK36)</f>
        <v>96.323836225425708</v>
      </c>
      <c r="BE36">
        <f>AVERAGE(S_plus!BL$2:'S_plus'!BL36)</f>
        <v>93.030713446177145</v>
      </c>
      <c r="BF36">
        <f>AVERAGE(S_plus!BM$2:'S_plus'!BM36)</f>
        <v>95.066032397348607</v>
      </c>
      <c r="BG36">
        <f>AVERAGE(S_plus!BN$2:'S_plus'!BN36)</f>
        <v>101.37194842634571</v>
      </c>
      <c r="BH36">
        <f>AVERAGE(S_plus!BO$2:'S_plus'!BO36)</f>
        <v>87.242816350388594</v>
      </c>
      <c r="BI36">
        <f>AVERAGE(S_plus!BP$2:'S_plus'!BP36)</f>
        <v>95.021508500717161</v>
      </c>
      <c r="BJ36">
        <f>AVERAGE(S_plus!BQ$2:'S_plus'!BQ36)</f>
        <v>90.940878929199997</v>
      </c>
      <c r="BK36">
        <f>AVERAGE(S_plus!BR$2:'S_plus'!BR36)</f>
        <v>102.33024407704001</v>
      </c>
      <c r="BL36">
        <f>AVERAGE(S_plus!BS$2:'S_plus'!BS36)</f>
        <v>104.59038878556854</v>
      </c>
      <c r="BM36">
        <f>AVERAGE(S_plus!BT$2:'S_plus'!BT36)</f>
        <v>109.33291847237142</v>
      </c>
      <c r="BN36">
        <f>AVERAGE(S_plus!BU$2:'S_plus'!BU36)</f>
        <v>103.34805100903999</v>
      </c>
      <c r="BO36">
        <f>AVERAGE(S_plus!BV$2:'S_plus'!BV36)</f>
        <v>95.969163124514296</v>
      </c>
      <c r="BP36">
        <f>AVERAGE(S_plus!BW$2:'S_plus'!BW36)</f>
        <v>91.690689116297136</v>
      </c>
      <c r="BQ36">
        <f>AVERAGE(S_plus!BX$2:'S_plus'!BX36)</f>
        <v>90.366715557885726</v>
      </c>
      <c r="BR36">
        <f>AVERAGE(S_plus!BY$2:'S_plus'!BY36)</f>
        <v>103.21560816088572</v>
      </c>
      <c r="BS36">
        <f>AVERAGE(S_plus!BZ$2:'S_plus'!BZ36)</f>
        <v>93.60160017048284</v>
      </c>
      <c r="BT36">
        <f>AVERAGE(S_plus!CA$2:'S_plus'!CA36)</f>
        <v>98.801952393682882</v>
      </c>
      <c r="BU36">
        <f>AVERAGE(S_plus!CB$2:'S_plus'!CB36)</f>
        <v>102.81618630923712</v>
      </c>
      <c r="BV36">
        <f>AVERAGE(S_plus!CC$2:'S_plus'!CC36)</f>
        <v>96.635295328717163</v>
      </c>
      <c r="BW36">
        <f>AVERAGE(S_plus!CD$2:'S_plus'!CD36)</f>
        <v>99.008124311185711</v>
      </c>
      <c r="BX36">
        <f>AVERAGE(S_plus!CE$2:'S_plus'!CE36)</f>
        <v>103.81386133642572</v>
      </c>
      <c r="BY36">
        <f>AVERAGE(S_plus!CF$2:'S_plus'!CF36)</f>
        <v>93.857180269248587</v>
      </c>
      <c r="BZ36">
        <f>AVERAGE(S_plus!CG$2:'S_plus'!CG36)</f>
        <v>92.317099307859962</v>
      </c>
      <c r="CA36">
        <f>AVERAGE(S_plus!CH$2:'S_plus'!CH36)</f>
        <v>113.24225227662858</v>
      </c>
      <c r="CB36">
        <f>AVERAGE(S_plus!CI$2:'S_plus'!CI36)</f>
        <v>94.95726450821715</v>
      </c>
      <c r="CC36">
        <f>AVERAGE(S_plus!CJ$2:'S_plus'!CJ36)</f>
        <v>100.7463174371057</v>
      </c>
      <c r="CD36">
        <f>AVERAGE(S_plus!CK$2:'S_plus'!CK36)</f>
        <v>92.74551594918286</v>
      </c>
      <c r="CE36">
        <f>AVERAGE(S_plus!CL$2:'S_plus'!CL36)</f>
        <v>91.651965897771419</v>
      </c>
      <c r="CF36">
        <f>AVERAGE(S_plus!CM$2:'S_plus'!CM36)</f>
        <v>102.41314664216573</v>
      </c>
      <c r="CG36">
        <f>AVERAGE(S_plus!CN$2:'S_plus'!CN36)</f>
        <v>93.97458306776285</v>
      </c>
      <c r="CH36">
        <f>AVERAGE(S_plus!CO$2:'S_plus'!CO36)</f>
        <v>108.86773366022858</v>
      </c>
      <c r="CI36">
        <f>AVERAGE(S_plus!CP$2:'S_plus'!CP36)</f>
        <v>101.46685962502858</v>
      </c>
      <c r="CJ36">
        <f>AVERAGE(S_plus!CQ$2:'S_plus'!CQ36)</f>
        <v>105.0585202595086</v>
      </c>
      <c r="CK36">
        <f>AVERAGE(S_plus!CR$2:'S_plus'!CR36)</f>
        <v>101.75107106174856</v>
      </c>
      <c r="CL36">
        <f>AVERAGE(S_plus!CS$2:'S_plus'!CS36)</f>
        <v>106.28001255677142</v>
      </c>
      <c r="CM36">
        <f>AVERAGE(S_plus!CT$2:'S_plus'!CT36)</f>
        <v>106.42261092764571</v>
      </c>
      <c r="CN36">
        <f>AVERAGE(S_plus!CU$2:'S_plus'!CU36)</f>
        <v>100.64854834261142</v>
      </c>
      <c r="CO36">
        <f>AVERAGE(S_plus!CV$2:'S_plus'!CV36)</f>
        <v>98.486833224025702</v>
      </c>
      <c r="CP36">
        <f>AVERAGE(S_plus!CW$2:'S_plus'!CW36)</f>
        <v>107.35934304228854</v>
      </c>
      <c r="CQ36">
        <f>AVERAGE(S_plus!CX$2:'S_plus'!CX36)</f>
        <v>108.65741439070287</v>
      </c>
      <c r="CR36">
        <f>AVERAGE(S_plus!CY$2:'S_plus'!CY36)</f>
        <v>100.52464854555141</v>
      </c>
      <c r="CS36">
        <f>AVERAGE(S_plus!CZ$2:'S_plus'!CZ36)</f>
        <v>103.69775080534855</v>
      </c>
      <c r="CT36">
        <f>AVERAGE(S_plus!DA$2:'S_plus'!DA36)</f>
        <v>105.63439592622859</v>
      </c>
      <c r="CU36">
        <f>AVERAGE(S_plus!DB$2:'S_plus'!DB36)</f>
        <v>95.424858563631432</v>
      </c>
      <c r="CV36">
        <f>AVERAGE(S_plus!DC$2:'S_plus'!DC36)</f>
        <v>100.33045111822571</v>
      </c>
      <c r="CW36">
        <f>AVERAGE(S_plus!DD$2:'S_plus'!DD36)</f>
        <v>94.75599343404285</v>
      </c>
      <c r="CX36">
        <f>AVERAGE(S_plus!DE$2:'S_plus'!DE36)</f>
        <v>104.34773338689138</v>
      </c>
      <c r="CY36">
        <f>AVERAGE(S_plus!DF$2:'S_plus'!DF36)</f>
        <v>95.432558485722879</v>
      </c>
      <c r="CZ36">
        <f>AVERAGE(S_plus!DG$2:'S_plus'!DG36)</f>
        <v>94.127359536471403</v>
      </c>
      <c r="DA36">
        <f>AVERAGE(S_plus!DH$2:'S_plus'!DH36)</f>
        <v>100.34545665412</v>
      </c>
    </row>
    <row r="37" spans="5:105" x14ac:dyDescent="0.25">
      <c r="E37">
        <f>E36+Asian!dt</f>
        <v>0.35000000000000014</v>
      </c>
      <c r="F37">
        <f>AVERAGE(S_plus!M$2:'S_plus'!M37)</f>
        <v>89.629720092083346</v>
      </c>
      <c r="G37">
        <f>AVERAGE(S_plus!N$2:'S_plus'!N37)</f>
        <v>95.943343758291647</v>
      </c>
      <c r="H37">
        <f>AVERAGE(S_plus!O$2:'S_plus'!O37)</f>
        <v>108.2977982831639</v>
      </c>
      <c r="I37">
        <f>AVERAGE(S_plus!P$2:'S_plus'!P37)</f>
        <v>100.3047766290611</v>
      </c>
      <c r="J37">
        <f>AVERAGE(S_plus!Q$2:'S_plus'!Q37)</f>
        <v>95.055832773311138</v>
      </c>
      <c r="K37">
        <f>AVERAGE(S_plus!R$2:'S_plus'!R37)</f>
        <v>99.262383615066682</v>
      </c>
      <c r="L37">
        <f>AVERAGE(S_plus!S$2:'S_plus'!S37)</f>
        <v>114.68988486716665</v>
      </c>
      <c r="M37">
        <f>AVERAGE(S_plus!T$2:'S_plus'!T37)</f>
        <v>89.658565104952757</v>
      </c>
      <c r="N37">
        <f>AVERAGE(S_plus!U$2:'S_plus'!U37)</f>
        <v>111.72655696549998</v>
      </c>
      <c r="O37">
        <f>AVERAGE(S_plus!V$2:'S_plus'!V37)</f>
        <v>99.17111733661109</v>
      </c>
      <c r="P37">
        <f>AVERAGE(S_plus!W$2:'S_plus'!W37)</f>
        <v>101.19783231861665</v>
      </c>
      <c r="Q37">
        <f>AVERAGE(S_plus!X$2:'S_plus'!X37)</f>
        <v>106.06454829266667</v>
      </c>
      <c r="R37">
        <f>AVERAGE(S_plus!Y$2:'S_plus'!Y37)</f>
        <v>95.238147646747223</v>
      </c>
      <c r="S37">
        <f>AVERAGE(S_plus!Z$2:'S_plus'!Z37)</f>
        <v>103.44078152736941</v>
      </c>
      <c r="T37">
        <f>AVERAGE(S_plus!AA$2:'S_plus'!AA37)</f>
        <v>104.81718273425557</v>
      </c>
      <c r="U37">
        <f>AVERAGE(S_plus!AB$2:'S_plus'!AB37)</f>
        <v>93.955052996533354</v>
      </c>
      <c r="V37">
        <f>AVERAGE(S_plus!AC$2:'S_plus'!AC37)</f>
        <v>92.747027675711138</v>
      </c>
      <c r="W37">
        <f>AVERAGE(S_plus!AD$2:'S_plus'!AD37)</f>
        <v>95.206543860119453</v>
      </c>
      <c r="X37">
        <f>AVERAGE(S_plus!AE$2:'S_plus'!AE37)</f>
        <v>111.20683612829166</v>
      </c>
      <c r="Y37">
        <f>AVERAGE(S_plus!AF$2:'S_plus'!AF37)</f>
        <v>95.350570932419458</v>
      </c>
      <c r="Z37">
        <f>AVERAGE(S_plus!AG$2:'S_plus'!AG37)</f>
        <v>105.05892692579999</v>
      </c>
      <c r="AA37">
        <f>AVERAGE(S_plus!AH$2:'S_plus'!AH37)</f>
        <v>99.296601573252772</v>
      </c>
      <c r="AB37">
        <f>AVERAGE(S_plus!AI$2:'S_plus'!AI37)</f>
        <v>92.488456745324982</v>
      </c>
      <c r="AC37">
        <f>AVERAGE(S_plus!AJ$2:'S_plus'!AJ37)</f>
        <v>97.982224172830541</v>
      </c>
      <c r="AD37">
        <f>AVERAGE(S_plus!AK$2:'S_plus'!AK37)</f>
        <v>114.08858573402777</v>
      </c>
      <c r="AE37">
        <f>AVERAGE(S_plus!AL$2:'S_plus'!AL37)</f>
        <v>104.83673646625833</v>
      </c>
      <c r="AF37">
        <f>AVERAGE(S_plus!AM$2:'S_plus'!AM37)</f>
        <v>95.374590230783326</v>
      </c>
      <c r="AG37">
        <f>AVERAGE(S_plus!AN$2:'S_plus'!AN37)</f>
        <v>115.50035992997225</v>
      </c>
      <c r="AH37">
        <f>AVERAGE(S_plus!AO$2:'S_plus'!AO37)</f>
        <v>103.03415634072778</v>
      </c>
      <c r="AI37">
        <f>AVERAGE(S_plus!AP$2:'S_plus'!AP37)</f>
        <v>95.280505783522216</v>
      </c>
      <c r="AJ37">
        <f>AVERAGE(S_plus!AQ$2:'S_plus'!AQ37)</f>
        <v>99.20079761972778</v>
      </c>
      <c r="AK37">
        <f>AVERAGE(S_plus!AR$2:'S_plus'!AR37)</f>
        <v>101.65528763240555</v>
      </c>
      <c r="AL37">
        <f>AVERAGE(S_plus!AS$2:'S_plus'!AS37)</f>
        <v>111.38292868328611</v>
      </c>
      <c r="AM37">
        <f>AVERAGE(S_plus!AT$2:'S_plus'!AT37)</f>
        <v>93.802698696202768</v>
      </c>
      <c r="AN37">
        <f>AVERAGE(S_plus!AU$2:'S_plus'!AU37)</f>
        <v>96.334982614063904</v>
      </c>
      <c r="AO37">
        <f>AVERAGE(S_plus!AV$2:'S_plus'!AV37)</f>
        <v>98.069613488197206</v>
      </c>
      <c r="AP37">
        <f>AVERAGE(S_plus!AW$2:'S_plus'!AW37)</f>
        <v>111.49190919877776</v>
      </c>
      <c r="AQ37">
        <f>AVERAGE(S_plus!AX$2:'S_plus'!AX37)</f>
        <v>97.263649851830564</v>
      </c>
      <c r="AR37">
        <f>AVERAGE(S_plus!AY$2:'S_plus'!AY37)</f>
        <v>100.16479602545556</v>
      </c>
      <c r="AS37">
        <f>AVERAGE(S_plus!AZ$2:'S_plus'!AZ37)</f>
        <v>111.03123333305555</v>
      </c>
      <c r="AT37">
        <f>AVERAGE(S_plus!BA$2:'S_plus'!BA37)</f>
        <v>107.92937937355556</v>
      </c>
      <c r="AU37">
        <f>AVERAGE(S_plus!BB$2:'S_plus'!BB37)</f>
        <v>106.1876108504778</v>
      </c>
      <c r="AV37">
        <f>AVERAGE(S_plus!BC$2:'S_plus'!BC37)</f>
        <v>108.05411262733888</v>
      </c>
      <c r="AW37">
        <f>AVERAGE(S_plus!BD$2:'S_plus'!BD37)</f>
        <v>100.69511014477222</v>
      </c>
      <c r="AX37">
        <f>AVERAGE(S_plus!BE$2:'S_plus'!BE37)</f>
        <v>88.760555498877778</v>
      </c>
      <c r="AY37">
        <f>AVERAGE(S_plus!BF$2:'S_plus'!BF37)</f>
        <v>93.996286978750007</v>
      </c>
      <c r="AZ37">
        <f>AVERAGE(S_plus!BG$2:'S_plus'!BG37)</f>
        <v>93.357026245688871</v>
      </c>
      <c r="BA37">
        <f>AVERAGE(S_plus!BH$2:'S_plus'!BH37)</f>
        <v>100.32504593191668</v>
      </c>
      <c r="BB37">
        <f>AVERAGE(S_plus!BI$2:'S_plus'!BI37)</f>
        <v>107.59036351488889</v>
      </c>
      <c r="BC37">
        <f>AVERAGE(S_plus!BJ$2:'S_plus'!BJ37)</f>
        <v>106.1616357553611</v>
      </c>
      <c r="BD37">
        <f>AVERAGE(S_plus!BK$2:'S_plus'!BK37)</f>
        <v>96.320674849069448</v>
      </c>
      <c r="BE37">
        <f>AVERAGE(S_plus!BL$2:'S_plus'!BL37)</f>
        <v>93.017098869472221</v>
      </c>
      <c r="BF37">
        <f>AVERAGE(S_plus!BM$2:'S_plus'!BM37)</f>
        <v>95.062787716311135</v>
      </c>
      <c r="BG37">
        <f>AVERAGE(S_plus!BN$2:'S_plus'!BN37)</f>
        <v>101.36533334214167</v>
      </c>
      <c r="BH37">
        <f>AVERAGE(S_plus!BO$2:'S_plus'!BO37)</f>
        <v>87.12681797634724</v>
      </c>
      <c r="BI37">
        <f>AVERAGE(S_plus!BP$2:'S_plus'!BP37)</f>
        <v>94.746298343400014</v>
      </c>
      <c r="BJ37">
        <f>AVERAGE(S_plus!BQ$2:'S_plus'!BQ37)</f>
        <v>90.855405378200004</v>
      </c>
      <c r="BK37">
        <f>AVERAGE(S_plus!BR$2:'S_plus'!BR37)</f>
        <v>102.63779655512224</v>
      </c>
      <c r="BL37">
        <f>AVERAGE(S_plus!BS$2:'S_plus'!BS37)</f>
        <v>104.52889674099718</v>
      </c>
      <c r="BM37">
        <f>AVERAGE(S_plus!BT$2:'S_plus'!BT37)</f>
        <v>109.4260501136111</v>
      </c>
      <c r="BN37">
        <f>AVERAGE(S_plus!BU$2:'S_plus'!BU37)</f>
        <v>103.35240517203889</v>
      </c>
      <c r="BO37">
        <f>AVERAGE(S_plus!BV$2:'S_plus'!BV37)</f>
        <v>95.872663104002797</v>
      </c>
      <c r="BP37">
        <f>AVERAGE(S_plus!BW$2:'S_plus'!BW37)</f>
        <v>91.514203485608334</v>
      </c>
      <c r="BQ37">
        <f>AVERAGE(S_plus!BX$2:'S_plus'!BX37)</f>
        <v>89.992073073677773</v>
      </c>
      <c r="BR37">
        <f>AVERAGE(S_plus!BY$2:'S_plus'!BY37)</f>
        <v>103.56810249958335</v>
      </c>
      <c r="BS37">
        <f>AVERAGE(S_plus!BZ$2:'S_plus'!BZ37)</f>
        <v>93.736786459274981</v>
      </c>
      <c r="BT37">
        <f>AVERAGE(S_plus!CA$2:'S_plus'!CA37)</f>
        <v>98.938290764108359</v>
      </c>
      <c r="BU37">
        <f>AVERAGE(S_plus!CB$2:'S_plus'!CB37)</f>
        <v>102.94886221773055</v>
      </c>
      <c r="BV37">
        <f>AVERAGE(S_plus!CC$2:'S_plus'!CC37)</f>
        <v>96.49709494574725</v>
      </c>
      <c r="BW37">
        <f>AVERAGE(S_plus!CD$2:'S_plus'!CD37)</f>
        <v>99.013142339513877</v>
      </c>
      <c r="BX37">
        <f>AVERAGE(S_plus!CE$2:'S_plus'!CE37)</f>
        <v>103.86936127533055</v>
      </c>
      <c r="BY37">
        <f>AVERAGE(S_plus!CF$2:'S_plus'!CF37)</f>
        <v>93.588987973755565</v>
      </c>
      <c r="BZ37">
        <f>AVERAGE(S_plus!CG$2:'S_plus'!CG37)</f>
        <v>92.343551135619407</v>
      </c>
      <c r="CA37">
        <f>AVERAGE(S_plus!CH$2:'S_plus'!CH37)</f>
        <v>113.49100446625</v>
      </c>
      <c r="CB37">
        <f>AVERAGE(S_plus!CI$2:'S_plus'!CI37)</f>
        <v>95.288821399016669</v>
      </c>
      <c r="CC37">
        <f>AVERAGE(S_plus!CJ$2:'S_plus'!CJ37)</f>
        <v>100.59257533329166</v>
      </c>
      <c r="CD37">
        <f>AVERAGE(S_plus!CK$2:'S_plus'!CK37)</f>
        <v>92.703369495836114</v>
      </c>
      <c r="CE37">
        <f>AVERAGE(S_plus!CL$2:'S_plus'!CL37)</f>
        <v>91.565328230977769</v>
      </c>
      <c r="CF37">
        <f>AVERAGE(S_plus!CM$2:'S_plus'!CM37)</f>
        <v>102.3550285429389</v>
      </c>
      <c r="CG37">
        <f>AVERAGE(S_plus!CN$2:'S_plus'!CN37)</f>
        <v>93.965469912299994</v>
      </c>
      <c r="CH37">
        <f>AVERAGE(S_plus!CO$2:'S_plus'!CO37)</f>
        <v>109.1636093596389</v>
      </c>
      <c r="CI37">
        <f>AVERAGE(S_plus!CP$2:'S_plus'!CP37)</f>
        <v>101.13644556766945</v>
      </c>
      <c r="CJ37">
        <f>AVERAGE(S_plus!CQ$2:'S_plus'!CQ37)</f>
        <v>104.99756851657781</v>
      </c>
      <c r="CK37">
        <f>AVERAGE(S_plus!CR$2:'S_plus'!CR37)</f>
        <v>101.77732388511666</v>
      </c>
      <c r="CL37">
        <f>AVERAGE(S_plus!CS$2:'S_plus'!CS37)</f>
        <v>106.23802608247223</v>
      </c>
      <c r="CM37">
        <f>AVERAGE(S_plus!CT$2:'S_plus'!CT37)</f>
        <v>106.34000412707222</v>
      </c>
      <c r="CN37">
        <f>AVERAGE(S_plus!CU$2:'S_plus'!CU37)</f>
        <v>100.70826390287222</v>
      </c>
      <c r="CO37">
        <f>AVERAGE(S_plus!CV$2:'S_plus'!CV37)</f>
        <v>97.999303552291664</v>
      </c>
      <c r="CP37">
        <f>AVERAGE(S_plus!CW$2:'S_plus'!CW37)</f>
        <v>107.53035689975275</v>
      </c>
      <c r="CQ37">
        <f>AVERAGE(S_plus!CX$2:'S_plus'!CX37)</f>
        <v>108.81017682282223</v>
      </c>
      <c r="CR37">
        <f>AVERAGE(S_plus!CY$2:'S_plus'!CY37)</f>
        <v>100.42759301296388</v>
      </c>
      <c r="CS37">
        <f>AVERAGE(S_plus!CZ$2:'S_plus'!CZ37)</f>
        <v>103.64370656578332</v>
      </c>
      <c r="CT37">
        <f>AVERAGE(S_plus!DA$2:'S_plus'!DA37)</f>
        <v>106.03999356591667</v>
      </c>
      <c r="CU37">
        <f>AVERAGE(S_plus!DB$2:'S_plus'!DB37)</f>
        <v>95.012128537552783</v>
      </c>
      <c r="CV37">
        <f>AVERAGE(S_plus!DC$2:'S_plus'!DC37)</f>
        <v>100.41221429410832</v>
      </c>
      <c r="CW37">
        <f>AVERAGE(S_plus!DD$2:'S_plus'!DD37)</f>
        <v>94.693240890594438</v>
      </c>
      <c r="CX37">
        <f>AVERAGE(S_plus!DE$2:'S_plus'!DE37)</f>
        <v>104.44545425767217</v>
      </c>
      <c r="CY37">
        <f>AVERAGE(S_plus!DF$2:'S_plus'!DF37)</f>
        <v>95.241131573438906</v>
      </c>
      <c r="CZ37">
        <f>AVERAGE(S_plus!DG$2:'S_plus'!DG37)</f>
        <v>94.075836539024976</v>
      </c>
      <c r="DA37">
        <f>AVERAGE(S_plus!DH$2:'S_plus'!DH37)</f>
        <v>100.48647250892222</v>
      </c>
    </row>
    <row r="38" spans="5:105" x14ac:dyDescent="0.25">
      <c r="E38">
        <f>E37+Asian!dt</f>
        <v>0.36000000000000015</v>
      </c>
      <c r="F38">
        <f>AVERAGE(S_plus!M$2:'S_plus'!M38)</f>
        <v>89.600187283094598</v>
      </c>
      <c r="G38">
        <f>AVERAGE(S_plus!N$2:'S_plus'!N38)</f>
        <v>95.913994154775665</v>
      </c>
      <c r="H38">
        <f>AVERAGE(S_plus!O$2:'S_plus'!O38)</f>
        <v>108.14485392172703</v>
      </c>
      <c r="I38">
        <f>AVERAGE(S_plus!P$2:'S_plus'!P38)</f>
        <v>100.37448169097836</v>
      </c>
      <c r="J38">
        <f>AVERAGE(S_plus!Q$2:'S_plus'!Q38)</f>
        <v>94.639281471559485</v>
      </c>
      <c r="K38">
        <f>AVERAGE(S_plus!R$2:'S_plus'!R38)</f>
        <v>99.174745604216227</v>
      </c>
      <c r="L38">
        <f>AVERAGE(S_plus!S$2:'S_plus'!S38)</f>
        <v>114.79945568499998</v>
      </c>
      <c r="M38">
        <f>AVERAGE(S_plus!T$2:'S_plus'!T38)</f>
        <v>89.340191522405391</v>
      </c>
      <c r="N38">
        <f>AVERAGE(S_plus!U$2:'S_plus'!U38)</f>
        <v>111.73052166772972</v>
      </c>
      <c r="O38">
        <f>AVERAGE(S_plus!V$2:'S_plus'!V38)</f>
        <v>99.262797446918896</v>
      </c>
      <c r="P38">
        <f>AVERAGE(S_plus!W$2:'S_plus'!W38)</f>
        <v>101.10334539449457</v>
      </c>
      <c r="Q38">
        <f>AVERAGE(S_plus!X$2:'S_plus'!X38)</f>
        <v>106.42791970683784</v>
      </c>
      <c r="R38">
        <f>AVERAGE(S_plus!Y$2:'S_plus'!Y38)</f>
        <v>95.189018103356759</v>
      </c>
      <c r="S38">
        <f>AVERAGE(S_plus!Z$2:'S_plus'!Z38)</f>
        <v>103.88414537476483</v>
      </c>
      <c r="T38">
        <f>AVERAGE(S_plus!AA$2:'S_plus'!AA38)</f>
        <v>104.91637652984325</v>
      </c>
      <c r="U38">
        <f>AVERAGE(S_plus!AB$2:'S_plus'!AB38)</f>
        <v>93.840250378002722</v>
      </c>
      <c r="V38">
        <f>AVERAGE(S_plus!AC$2:'S_plus'!AC38)</f>
        <v>92.786268557602725</v>
      </c>
      <c r="W38">
        <f>AVERAGE(S_plus!AD$2:'S_plus'!AD38)</f>
        <v>95.309419533245958</v>
      </c>
      <c r="X38">
        <f>AVERAGE(S_plus!AE$2:'S_plus'!AE38)</f>
        <v>111.82388399995946</v>
      </c>
      <c r="Y38">
        <f>AVERAGE(S_plus!AF$2:'S_plus'!AF38)</f>
        <v>95.559111228462172</v>
      </c>
      <c r="Z38">
        <f>AVERAGE(S_plus!AG$2:'S_plus'!AG38)</f>
        <v>105.09516028699458</v>
      </c>
      <c r="AA38">
        <f>AVERAGE(S_plus!AH$2:'S_plus'!AH38)</f>
        <v>99.402842615435134</v>
      </c>
      <c r="AB38">
        <f>AVERAGE(S_plus!AI$2:'S_plus'!AI38)</f>
        <v>92.219539591689184</v>
      </c>
      <c r="AC38">
        <f>AVERAGE(S_plus!AJ$2:'S_plus'!AJ38)</f>
        <v>97.779574365024317</v>
      </c>
      <c r="AD38">
        <f>AVERAGE(S_plus!AK$2:'S_plus'!AK38)</f>
        <v>114.26909053454054</v>
      </c>
      <c r="AE38">
        <f>AVERAGE(S_plus!AL$2:'S_plus'!AL38)</f>
        <v>104.90960537068378</v>
      </c>
      <c r="AF38">
        <f>AVERAGE(S_plus!AM$2:'S_plus'!AM38)</f>
        <v>95.523812220599993</v>
      </c>
      <c r="AG38">
        <f>AVERAGE(S_plus!AN$2:'S_plus'!AN38)</f>
        <v>115.78884186572975</v>
      </c>
      <c r="AH38">
        <f>AVERAGE(S_plus!AO$2:'S_plus'!AO38)</f>
        <v>102.75846165806756</v>
      </c>
      <c r="AI38">
        <f>AVERAGE(S_plus!AP$2:'S_plus'!AP38)</f>
        <v>95.143214692640541</v>
      </c>
      <c r="AJ38">
        <f>AVERAGE(S_plus!AQ$2:'S_plus'!AQ38)</f>
        <v>99.182638256994593</v>
      </c>
      <c r="AK38">
        <f>AVERAGE(S_plus!AR$2:'S_plus'!AR38)</f>
        <v>101.66581612634053</v>
      </c>
      <c r="AL38">
        <f>AVERAGE(S_plus!AS$2:'S_plus'!AS38)</f>
        <v>111.45427265933243</v>
      </c>
      <c r="AM38">
        <f>AVERAGE(S_plus!AT$2:'S_plus'!AT38)</f>
        <v>93.953420579410803</v>
      </c>
      <c r="AN38">
        <f>AVERAGE(S_plus!AU$2:'S_plus'!AU38)</f>
        <v>96.131899867297307</v>
      </c>
      <c r="AO38">
        <f>AVERAGE(S_plus!AV$2:'S_plus'!AV38)</f>
        <v>98.082285408362139</v>
      </c>
      <c r="AP38">
        <f>AVERAGE(S_plus!AW$2:'S_plus'!AW38)</f>
        <v>111.83692196591889</v>
      </c>
      <c r="AQ38">
        <f>AVERAGE(S_plus!AX$2:'S_plus'!AX38)</f>
        <v>97.091875705048665</v>
      </c>
      <c r="AR38">
        <f>AVERAGE(S_plus!AY$2:'S_plus'!AY38)</f>
        <v>100.00178639543515</v>
      </c>
      <c r="AS38">
        <f>AVERAGE(S_plus!AZ$2:'S_plus'!AZ38)</f>
        <v>111.18868867159459</v>
      </c>
      <c r="AT38">
        <f>AVERAGE(S_plus!BA$2:'S_plus'!BA38)</f>
        <v>108.20142068191893</v>
      </c>
      <c r="AU38">
        <f>AVERAGE(S_plus!BB$2:'S_plus'!BB38)</f>
        <v>106.30848568014056</v>
      </c>
      <c r="AV38">
        <f>AVERAGE(S_plus!BC$2:'S_plus'!BC38)</f>
        <v>108.22534482443784</v>
      </c>
      <c r="AW38">
        <f>AVERAGE(S_plus!BD$2:'S_plus'!BD38)</f>
        <v>100.68377262056215</v>
      </c>
      <c r="AX38">
        <f>AVERAGE(S_plus!BE$2:'S_plus'!BE38)</f>
        <v>89.070715132340553</v>
      </c>
      <c r="AY38">
        <f>AVERAGE(S_plus!BF$2:'S_plus'!BF38)</f>
        <v>93.784328556843263</v>
      </c>
      <c r="AZ38">
        <f>AVERAGE(S_plus!BG$2:'S_plus'!BG38)</f>
        <v>93.354462665621611</v>
      </c>
      <c r="BA38">
        <f>AVERAGE(S_plus!BH$2:'S_plus'!BH38)</f>
        <v>100.17249085385136</v>
      </c>
      <c r="BB38">
        <f>AVERAGE(S_plus!BI$2:'S_plus'!BI38)</f>
        <v>107.6311174192973</v>
      </c>
      <c r="BC38">
        <f>AVERAGE(S_plus!BJ$2:'S_plus'!BJ38)</f>
        <v>106.13467851067567</v>
      </c>
      <c r="BD38">
        <f>AVERAGE(S_plus!BK$2:'S_plus'!BK38)</f>
        <v>96.24462012091351</v>
      </c>
      <c r="BE38">
        <f>AVERAGE(S_plus!BL$2:'S_plus'!BL38)</f>
        <v>92.999787987894592</v>
      </c>
      <c r="BF38">
        <f>AVERAGE(S_plus!BM$2:'S_plus'!BM38)</f>
        <v>95.062356759037854</v>
      </c>
      <c r="BG38">
        <f>AVERAGE(S_plus!BN$2:'S_plus'!BN38)</f>
        <v>101.37840503665134</v>
      </c>
      <c r="BH38">
        <f>AVERAGE(S_plus!BO$2:'S_plus'!BO38)</f>
        <v>87.019433101856762</v>
      </c>
      <c r="BI38">
        <f>AVERAGE(S_plus!BP$2:'S_plus'!BP38)</f>
        <v>94.52217019646487</v>
      </c>
      <c r="BJ38">
        <f>AVERAGE(S_plus!BQ$2:'S_plus'!BQ38)</f>
        <v>90.723203599162161</v>
      </c>
      <c r="BK38">
        <f>AVERAGE(S_plus!BR$2:'S_plus'!BR38)</f>
        <v>102.88493629347028</v>
      </c>
      <c r="BL38">
        <f>AVERAGE(S_plus!BS$2:'S_plus'!BS38)</f>
        <v>104.36616235060536</v>
      </c>
      <c r="BM38">
        <f>AVERAGE(S_plus!BT$2:'S_plus'!BT38)</f>
        <v>109.52130175537836</v>
      </c>
      <c r="BN38">
        <f>AVERAGE(S_plus!BU$2:'S_plus'!BU38)</f>
        <v>103.35989889484864</v>
      </c>
      <c r="BO38">
        <f>AVERAGE(S_plus!BV$2:'S_plus'!BV38)</f>
        <v>95.850549874189213</v>
      </c>
      <c r="BP38">
        <f>AVERAGE(S_plus!BW$2:'S_plus'!BW38)</f>
        <v>91.335142970186482</v>
      </c>
      <c r="BQ38">
        <f>AVERAGE(S_plus!BX$2:'S_plus'!BX38)</f>
        <v>89.628341696313512</v>
      </c>
      <c r="BR38">
        <f>AVERAGE(S_plus!BY$2:'S_plus'!BY38)</f>
        <v>103.91515187962163</v>
      </c>
      <c r="BS38">
        <f>AVERAGE(S_plus!BZ$2:'S_plus'!BZ38)</f>
        <v>93.868443634464853</v>
      </c>
      <c r="BT38">
        <f>AVERAGE(S_plus!CA$2:'S_plus'!CA38)</f>
        <v>99.01488293794327</v>
      </c>
      <c r="BU38">
        <f>AVERAGE(S_plus!CB$2:'S_plus'!CB38)</f>
        <v>103.1000519888189</v>
      </c>
      <c r="BV38">
        <f>AVERAGE(S_plus!CC$2:'S_plus'!CC38)</f>
        <v>96.395751383537871</v>
      </c>
      <c r="BW38">
        <f>AVERAGE(S_plus!CD$2:'S_plus'!CD38)</f>
        <v>99.078500823797299</v>
      </c>
      <c r="BX38">
        <f>AVERAGE(S_plus!CE$2:'S_plus'!CE38)</f>
        <v>103.89910410740271</v>
      </c>
      <c r="BY38">
        <f>AVERAGE(S_plus!CF$2:'S_plus'!CF38)</f>
        <v>93.326705020683804</v>
      </c>
      <c r="BZ38">
        <f>AVERAGE(S_plus!CG$2:'S_plus'!CG38)</f>
        <v>92.384904605518884</v>
      </c>
      <c r="CA38">
        <f>AVERAGE(S_plus!CH$2:'S_plus'!CH38)</f>
        <v>113.72390191524325</v>
      </c>
      <c r="CB38">
        <f>AVERAGE(S_plus!CI$2:'S_plus'!CI38)</f>
        <v>95.657603311610814</v>
      </c>
      <c r="CC38">
        <f>AVERAGE(S_plus!CJ$2:'S_plus'!CJ38)</f>
        <v>100.45486603765674</v>
      </c>
      <c r="CD38">
        <f>AVERAGE(S_plus!CK$2:'S_plus'!CK38)</f>
        <v>92.673325069645955</v>
      </c>
      <c r="CE38">
        <f>AVERAGE(S_plus!CL$2:'S_plus'!CL38)</f>
        <v>91.439160104762166</v>
      </c>
      <c r="CF38">
        <f>AVERAGE(S_plus!CM$2:'S_plus'!CM38)</f>
        <v>102.31691624940001</v>
      </c>
      <c r="CG38">
        <f>AVERAGE(S_plus!CN$2:'S_plus'!CN38)</f>
        <v>93.925583449427023</v>
      </c>
      <c r="CH38">
        <f>AVERAGE(S_plus!CO$2:'S_plus'!CO38)</f>
        <v>109.53895787543244</v>
      </c>
      <c r="CI38">
        <f>AVERAGE(S_plus!CP$2:'S_plus'!CP38)</f>
        <v>100.84262804941082</v>
      </c>
      <c r="CJ38">
        <f>AVERAGE(S_plus!CQ$2:'S_plus'!CQ38)</f>
        <v>104.98588606634598</v>
      </c>
      <c r="CK38">
        <f>AVERAGE(S_plus!CR$2:'S_plus'!CR38)</f>
        <v>101.82651407692431</v>
      </c>
      <c r="CL38">
        <f>AVERAGE(S_plus!CS$2:'S_plus'!CS38)</f>
        <v>106.26327428713515</v>
      </c>
      <c r="CM38">
        <f>AVERAGE(S_plus!CT$2:'S_plus'!CT38)</f>
        <v>106.31220420150271</v>
      </c>
      <c r="CN38">
        <f>AVERAGE(S_plus!CU$2:'S_plus'!CU38)</f>
        <v>100.81798178798377</v>
      </c>
      <c r="CO38">
        <f>AVERAGE(S_plus!CV$2:'S_plus'!CV38)</f>
        <v>97.577523786497295</v>
      </c>
      <c r="CP38">
        <f>AVERAGE(S_plus!CW$2:'S_plus'!CW38)</f>
        <v>107.68238956481349</v>
      </c>
      <c r="CQ38">
        <f>AVERAGE(S_plus!CX$2:'S_plus'!CX38)</f>
        <v>108.8942697998</v>
      </c>
      <c r="CR38">
        <f>AVERAGE(S_plus!CY$2:'S_plus'!CY38)</f>
        <v>100.43103926226215</v>
      </c>
      <c r="CS38">
        <f>AVERAGE(S_plus!CZ$2:'S_plus'!CZ38)</f>
        <v>103.60705962297837</v>
      </c>
      <c r="CT38">
        <f>AVERAGE(S_plus!DA$2:'S_plus'!DA38)</f>
        <v>106.29691330775677</v>
      </c>
      <c r="CU38">
        <f>AVERAGE(S_plus!DB$2:'S_plus'!DB38)</f>
        <v>94.614137822997307</v>
      </c>
      <c r="CV38">
        <f>AVERAGE(S_plus!DC$2:'S_plus'!DC38)</f>
        <v>100.46959618451081</v>
      </c>
      <c r="CW38">
        <f>AVERAGE(S_plus!DD$2:'S_plus'!DD38)</f>
        <v>94.613030260643242</v>
      </c>
      <c r="CX38">
        <f>AVERAGE(S_plus!DE$2:'S_plus'!DE38)</f>
        <v>104.49284449743779</v>
      </c>
      <c r="CY38">
        <f>AVERAGE(S_plus!DF$2:'S_plus'!DF38)</f>
        <v>95.029890442389203</v>
      </c>
      <c r="CZ38">
        <f>AVERAGE(S_plus!DG$2:'S_plus'!DG38)</f>
        <v>93.915790889964839</v>
      </c>
      <c r="DA38">
        <f>AVERAGE(S_plus!DH$2:'S_plus'!DH38)</f>
        <v>100.68678953097837</v>
      </c>
    </row>
    <row r="39" spans="5:105" x14ac:dyDescent="0.25">
      <c r="E39">
        <f>E38+Asian!dt</f>
        <v>0.37000000000000016</v>
      </c>
      <c r="F39">
        <f>AVERAGE(S_plus!M$2:'S_plus'!M39)</f>
        <v>89.634800852902629</v>
      </c>
      <c r="G39">
        <f>AVERAGE(S_plus!N$2:'S_plus'!N39)</f>
        <v>95.813055478455254</v>
      </c>
      <c r="H39">
        <f>AVERAGE(S_plus!O$2:'S_plus'!O39)</f>
        <v>107.92571000393158</v>
      </c>
      <c r="I39">
        <f>AVERAGE(S_plus!P$2:'S_plus'!P39)</f>
        <v>100.43052938984734</v>
      </c>
      <c r="J39">
        <f>AVERAGE(S_plus!Q$2:'S_plus'!Q39)</f>
        <v>94.258459640926333</v>
      </c>
      <c r="K39">
        <f>AVERAGE(S_plus!R$2:'S_plus'!R39)</f>
        <v>98.979779207394756</v>
      </c>
      <c r="L39">
        <f>AVERAGE(S_plus!S$2:'S_plus'!S39)</f>
        <v>114.84055244947366</v>
      </c>
      <c r="M39">
        <f>AVERAGE(S_plus!T$2:'S_plus'!T39)</f>
        <v>89.041616406447346</v>
      </c>
      <c r="N39">
        <f>AVERAGE(S_plus!U$2:'S_plus'!U39)</f>
        <v>111.75600613781577</v>
      </c>
      <c r="O39">
        <f>AVERAGE(S_plus!V$2:'S_plus'!V39)</f>
        <v>99.415398457447353</v>
      </c>
      <c r="P39">
        <f>AVERAGE(S_plus!W$2:'S_plus'!W39)</f>
        <v>101.1285661238763</v>
      </c>
      <c r="Q39">
        <f>AVERAGE(S_plus!X$2:'S_plus'!X39)</f>
        <v>106.64605670928947</v>
      </c>
      <c r="R39">
        <f>AVERAGE(S_plus!Y$2:'S_plus'!Y39)</f>
        <v>95.217524517771054</v>
      </c>
      <c r="S39">
        <f>AVERAGE(S_plus!Z$2:'S_plus'!Z39)</f>
        <v>104.31706921745523</v>
      </c>
      <c r="T39">
        <f>AVERAGE(S_plus!AA$2:'S_plus'!AA39)</f>
        <v>105.00102072537369</v>
      </c>
      <c r="U39">
        <f>AVERAGE(S_plus!AB$2:'S_plus'!AB39)</f>
        <v>93.700420970815813</v>
      </c>
      <c r="V39">
        <f>AVERAGE(S_plus!AC$2:'S_plus'!AC39)</f>
        <v>92.745803675944771</v>
      </c>
      <c r="W39">
        <f>AVERAGE(S_plus!AD$2:'S_plus'!AD39)</f>
        <v>95.327829183373709</v>
      </c>
      <c r="X39">
        <f>AVERAGE(S_plus!AE$2:'S_plus'!AE39)</f>
        <v>112.51027147253947</v>
      </c>
      <c r="Y39">
        <f>AVERAGE(S_plus!AF$2:'S_plus'!AF39)</f>
        <v>95.767483947081587</v>
      </c>
      <c r="Z39">
        <f>AVERAGE(S_plus!AG$2:'S_plus'!AG39)</f>
        <v>105.2100312342579</v>
      </c>
      <c r="AA39">
        <f>AVERAGE(S_plus!AH$2:'S_plus'!AH39)</f>
        <v>99.496668456607892</v>
      </c>
      <c r="AB39">
        <f>AVERAGE(S_plus!AI$2:'S_plus'!AI39)</f>
        <v>91.920215101499991</v>
      </c>
      <c r="AC39">
        <f>AVERAGE(S_plus!AJ$2:'S_plus'!AJ39)</f>
        <v>97.615139856007886</v>
      </c>
      <c r="AD39">
        <f>AVERAGE(S_plus!AK$2:'S_plus'!AK39)</f>
        <v>114.47556550326317</v>
      </c>
      <c r="AE39">
        <f>AVERAGE(S_plus!AL$2:'S_plus'!AL39)</f>
        <v>105.0802124508763</v>
      </c>
      <c r="AF39">
        <f>AVERAGE(S_plus!AM$2:'S_plus'!AM39)</f>
        <v>95.594808737384213</v>
      </c>
      <c r="AG39">
        <f>AVERAGE(S_plus!AN$2:'S_plus'!AN39)</f>
        <v>116.09825228686846</v>
      </c>
      <c r="AH39">
        <f>AVERAGE(S_plus!AO$2:'S_plus'!AO39)</f>
        <v>102.48092763718421</v>
      </c>
      <c r="AI39">
        <f>AVERAGE(S_plus!AP$2:'S_plus'!AP39)</f>
        <v>94.944780915300001</v>
      </c>
      <c r="AJ39">
        <f>AVERAGE(S_plus!AQ$2:'S_plus'!AQ39)</f>
        <v>99.143701589700001</v>
      </c>
      <c r="AK39">
        <f>AVERAGE(S_plus!AR$2:'S_plus'!AR39)</f>
        <v>101.60770573313157</v>
      </c>
      <c r="AL39">
        <f>AVERAGE(S_plus!AS$2:'S_plus'!AS39)</f>
        <v>111.61933604332367</v>
      </c>
      <c r="AM39">
        <f>AVERAGE(S_plus!AT$2:'S_plus'!AT39)</f>
        <v>94.139181914663155</v>
      </c>
      <c r="AN39">
        <f>AVERAGE(S_plus!AU$2:'S_plus'!AU39)</f>
        <v>96.007491606960542</v>
      </c>
      <c r="AO39">
        <f>AVERAGE(S_plus!AV$2:'S_plus'!AV39)</f>
        <v>98.102580025142089</v>
      </c>
      <c r="AP39">
        <f>AVERAGE(S_plus!AW$2:'S_plus'!AW39)</f>
        <v>112.09036352897367</v>
      </c>
      <c r="AQ39">
        <f>AVERAGE(S_plus!AX$2:'S_plus'!AX39)</f>
        <v>96.94487427395002</v>
      </c>
      <c r="AR39">
        <f>AVERAGE(S_plus!AY$2:'S_plus'!AY39)</f>
        <v>99.913114102742114</v>
      </c>
      <c r="AS39">
        <f>AVERAGE(S_plus!AZ$2:'S_plus'!AZ39)</f>
        <v>111.44582612286843</v>
      </c>
      <c r="AT39">
        <f>AVERAGE(S_plus!BA$2:'S_plus'!BA39)</f>
        <v>108.44383740242105</v>
      </c>
      <c r="AU39">
        <f>AVERAGE(S_plus!BB$2:'S_plus'!BB39)</f>
        <v>106.43177217132107</v>
      </c>
      <c r="AV39">
        <f>AVERAGE(S_plus!BC$2:'S_plus'!BC39)</f>
        <v>108.43491280716314</v>
      </c>
      <c r="AW39">
        <f>AVERAGE(S_plus!BD$2:'S_plus'!BD39)</f>
        <v>100.63731286610789</v>
      </c>
      <c r="AX39">
        <f>AVERAGE(S_plus!BE$2:'S_plus'!BE39)</f>
        <v>89.36575396693685</v>
      </c>
      <c r="AY39">
        <f>AVERAGE(S_plus!BF$2:'S_plus'!BF39)</f>
        <v>93.650735168321077</v>
      </c>
      <c r="AZ39">
        <f>AVERAGE(S_plus!BG$2:'S_plus'!BG39)</f>
        <v>93.301962849442091</v>
      </c>
      <c r="BA39">
        <f>AVERAGE(S_plus!BH$2:'S_plus'!BH39)</f>
        <v>100.06103087082896</v>
      </c>
      <c r="BB39">
        <f>AVERAGE(S_plus!BI$2:'S_plus'!BI39)</f>
        <v>107.70963946560526</v>
      </c>
      <c r="BC39">
        <f>AVERAGE(S_plus!BJ$2:'S_plus'!BJ39)</f>
        <v>106.0689443521842</v>
      </c>
      <c r="BD39">
        <f>AVERAGE(S_plus!BK$2:'S_plus'!BK39)</f>
        <v>96.195529088850009</v>
      </c>
      <c r="BE39">
        <f>AVERAGE(S_plus!BL$2:'S_plus'!BL39)</f>
        <v>93.003137921478952</v>
      </c>
      <c r="BF39">
        <f>AVERAGE(S_plus!BM$2:'S_plus'!BM39)</f>
        <v>95.165699682810541</v>
      </c>
      <c r="BG39">
        <f>AVERAGE(S_plus!BN$2:'S_plus'!BN39)</f>
        <v>101.38720821423948</v>
      </c>
      <c r="BH39">
        <f>AVERAGE(S_plus!BO$2:'S_plus'!BO39)</f>
        <v>86.882803692821071</v>
      </c>
      <c r="BI39">
        <f>AVERAGE(S_plus!BP$2:'S_plus'!BP39)</f>
        <v>94.205112177984219</v>
      </c>
      <c r="BJ39">
        <f>AVERAGE(S_plus!BQ$2:'S_plus'!BQ39)</f>
        <v>90.659627683705267</v>
      </c>
      <c r="BK39">
        <f>AVERAGE(S_plus!BR$2:'S_plus'!BR39)</f>
        <v>103.06943219087896</v>
      </c>
      <c r="BL39">
        <f>AVERAGE(S_plus!BS$2:'S_plus'!BS39)</f>
        <v>104.23084283445523</v>
      </c>
      <c r="BM39">
        <f>AVERAGE(S_plus!BT$2:'S_plus'!BT39)</f>
        <v>109.65098157831576</v>
      </c>
      <c r="BN39">
        <f>AVERAGE(S_plus!BU$2:'S_plus'!BU39)</f>
        <v>103.42844246308947</v>
      </c>
      <c r="BO39">
        <f>AVERAGE(S_plus!BV$2:'S_plus'!BV39)</f>
        <v>95.801070325686865</v>
      </c>
      <c r="BP39">
        <f>AVERAGE(S_plus!BW$2:'S_plus'!BW39)</f>
        <v>91.1954561445921</v>
      </c>
      <c r="BQ39">
        <f>AVERAGE(S_plus!BX$2:'S_plus'!BX39)</f>
        <v>89.247296629634207</v>
      </c>
      <c r="BR39">
        <f>AVERAGE(S_plus!BY$2:'S_plus'!BY39)</f>
        <v>104.23685707400001</v>
      </c>
      <c r="BS39">
        <f>AVERAGE(S_plus!BZ$2:'S_plus'!BZ39)</f>
        <v>94.045193493505252</v>
      </c>
      <c r="BT39">
        <f>AVERAGE(S_plus!CA$2:'S_plus'!CA39)</f>
        <v>99.086276950207917</v>
      </c>
      <c r="BU39">
        <f>AVERAGE(S_plus!CB$2:'S_plus'!CB39)</f>
        <v>103.13017128208682</v>
      </c>
      <c r="BV39">
        <f>AVERAGE(S_plus!CC$2:'S_plus'!CC39)</f>
        <v>96.305231132423714</v>
      </c>
      <c r="BW39">
        <f>AVERAGE(S_plus!CD$2:'S_plus'!CD39)</f>
        <v>99.146648047513168</v>
      </c>
      <c r="BX39">
        <f>AVERAGE(S_plus!CE$2:'S_plus'!CE39)</f>
        <v>103.90590667894473</v>
      </c>
      <c r="BY39">
        <f>AVERAGE(S_plus!CF$2:'S_plus'!CF39)</f>
        <v>93.080083820081597</v>
      </c>
      <c r="BZ39">
        <f>AVERAGE(S_plus!CG$2:'S_plus'!CG39)</f>
        <v>92.576435339813131</v>
      </c>
      <c r="CA39">
        <f>AVERAGE(S_plus!CH$2:'S_plus'!CH39)</f>
        <v>114.01456273968422</v>
      </c>
      <c r="CB39">
        <f>AVERAGE(S_plus!CI$2:'S_plus'!CI39)</f>
        <v>95.981873080699998</v>
      </c>
      <c r="CC39">
        <f>AVERAGE(S_plus!CJ$2:'S_plus'!CJ39)</f>
        <v>100.38846514419473</v>
      </c>
      <c r="CD39">
        <f>AVERAGE(S_plus!CK$2:'S_plus'!CK39)</f>
        <v>92.688369159136855</v>
      </c>
      <c r="CE39">
        <f>AVERAGE(S_plus!CL$2:'S_plus'!CL39)</f>
        <v>91.322283494489469</v>
      </c>
      <c r="CF39">
        <f>AVERAGE(S_plus!CM$2:'S_plus'!CM39)</f>
        <v>102.18838164636581</v>
      </c>
      <c r="CG39">
        <f>AVERAGE(S_plus!CN$2:'S_plus'!CN39)</f>
        <v>93.93626209614736</v>
      </c>
      <c r="CH39">
        <f>AVERAGE(S_plus!CO$2:'S_plus'!CO39)</f>
        <v>109.81096081592106</v>
      </c>
      <c r="CI39">
        <f>AVERAGE(S_plus!CP$2:'S_plus'!CP39)</f>
        <v>100.5846422955</v>
      </c>
      <c r="CJ39">
        <f>AVERAGE(S_plus!CQ$2:'S_plus'!CQ39)</f>
        <v>104.88879366307371</v>
      </c>
      <c r="CK39">
        <f>AVERAGE(S_plus!CR$2:'S_plus'!CR39)</f>
        <v>101.81313250858419</v>
      </c>
      <c r="CL39">
        <f>AVERAGE(S_plus!CS$2:'S_plus'!CS39)</f>
        <v>106.26448979244738</v>
      </c>
      <c r="CM39">
        <f>AVERAGE(S_plus!CT$2:'S_plus'!CT39)</f>
        <v>106.23750938414737</v>
      </c>
      <c r="CN39">
        <f>AVERAGE(S_plus!CU$2:'S_plus'!CU39)</f>
        <v>100.9563444819842</v>
      </c>
      <c r="CO39">
        <f>AVERAGE(S_plus!CV$2:'S_plus'!CV39)</f>
        <v>97.132971359836844</v>
      </c>
      <c r="CP39">
        <f>AVERAGE(S_plus!CW$2:'S_plus'!CW39)</f>
        <v>107.91377894255524</v>
      </c>
      <c r="CQ39">
        <f>AVERAGE(S_plus!CX$2:'S_plus'!CX39)</f>
        <v>108.89866180130527</v>
      </c>
      <c r="CR39">
        <f>AVERAGE(S_plus!CY$2:'S_plus'!CY39)</f>
        <v>100.54028456012367</v>
      </c>
      <c r="CS39">
        <f>AVERAGE(S_plus!CZ$2:'S_plus'!CZ39)</f>
        <v>103.54482239695263</v>
      </c>
      <c r="CT39">
        <f>AVERAGE(S_plus!DA$2:'S_plus'!DA39)</f>
        <v>106.61834459452632</v>
      </c>
      <c r="CU39">
        <f>AVERAGE(S_plus!DB$2:'S_plus'!DB39)</f>
        <v>94.175749733257916</v>
      </c>
      <c r="CV39">
        <f>AVERAGE(S_plus!DC$2:'S_plus'!DC39)</f>
        <v>100.54735411447105</v>
      </c>
      <c r="CW39">
        <f>AVERAGE(S_plus!DD$2:'S_plus'!DD39)</f>
        <v>94.454952307300005</v>
      </c>
      <c r="CX39">
        <f>AVERAGE(S_plus!DE$2:'S_plus'!DE39)</f>
        <v>104.43985140866312</v>
      </c>
      <c r="CY39">
        <f>AVERAGE(S_plus!DF$2:'S_plus'!DF39)</f>
        <v>94.819093009652647</v>
      </c>
      <c r="CZ39">
        <f>AVERAGE(S_plus!DG$2:'S_plus'!DG39)</f>
        <v>93.766422945242084</v>
      </c>
      <c r="DA39">
        <f>AVERAGE(S_plus!DH$2:'S_plus'!DH39)</f>
        <v>100.84594525463685</v>
      </c>
    </row>
    <row r="40" spans="5:105" x14ac:dyDescent="0.25">
      <c r="E40">
        <f>E39+Asian!dt</f>
        <v>0.38000000000000017</v>
      </c>
      <c r="F40">
        <f>AVERAGE(S_plus!M$2:'S_plus'!M40)</f>
        <v>89.693525653828203</v>
      </c>
      <c r="G40">
        <f>AVERAGE(S_plus!N$2:'S_plus'!N40)</f>
        <v>95.771364611353832</v>
      </c>
      <c r="H40">
        <f>AVERAGE(S_plus!O$2:'S_plus'!O40)</f>
        <v>107.75788108916412</v>
      </c>
      <c r="I40">
        <f>AVERAGE(S_plus!P$2:'S_plus'!P40)</f>
        <v>100.45048214236408</v>
      </c>
      <c r="J40">
        <f>AVERAGE(S_plus!Q$2:'S_plus'!Q40)</f>
        <v>93.89588829477438</v>
      </c>
      <c r="K40">
        <f>AVERAGE(S_plus!R$2:'S_plus'!R40)</f>
        <v>98.830498185484629</v>
      </c>
      <c r="L40">
        <f>AVERAGE(S_plus!S$2:'S_plus'!S40)</f>
        <v>114.8225596723846</v>
      </c>
      <c r="M40">
        <f>AVERAGE(S_plus!T$2:'S_plus'!T40)</f>
        <v>88.69496961382049</v>
      </c>
      <c r="N40">
        <f>AVERAGE(S_plus!U$2:'S_plus'!U40)</f>
        <v>111.8437148599487</v>
      </c>
      <c r="O40">
        <f>AVERAGE(S_plus!V$2:'S_plus'!V40)</f>
        <v>99.529266585461528</v>
      </c>
      <c r="P40">
        <f>AVERAGE(S_plus!W$2:'S_plus'!W40)</f>
        <v>101.23164557639228</v>
      </c>
      <c r="Q40">
        <f>AVERAGE(S_plus!X$2:'S_plus'!X40)</f>
        <v>106.82787817748718</v>
      </c>
      <c r="R40">
        <f>AVERAGE(S_plus!Y$2:'S_plus'!Y40)</f>
        <v>95.228571956694879</v>
      </c>
      <c r="S40">
        <f>AVERAGE(S_plus!Z$2:'S_plus'!Z40)</f>
        <v>104.71129042757175</v>
      </c>
      <c r="T40">
        <f>AVERAGE(S_plus!AA$2:'S_plus'!AA40)</f>
        <v>105.12301746633847</v>
      </c>
      <c r="U40">
        <f>AVERAGE(S_plus!AB$2:'S_plus'!AB40)</f>
        <v>93.52821393245901</v>
      </c>
      <c r="V40">
        <f>AVERAGE(S_plus!AC$2:'S_plus'!AC40)</f>
        <v>92.674685205179529</v>
      </c>
      <c r="W40">
        <f>AVERAGE(S_plus!AD$2:'S_plus'!AD40)</f>
        <v>95.361060800510273</v>
      </c>
      <c r="X40">
        <f>AVERAGE(S_plus!AE$2:'S_plus'!AE40)</f>
        <v>113.1089949427564</v>
      </c>
      <c r="Y40">
        <f>AVERAGE(S_plus!AF$2:'S_plus'!AF40)</f>
        <v>96.045769867002576</v>
      </c>
      <c r="Z40">
        <f>AVERAGE(S_plus!AG$2:'S_plus'!AG40)</f>
        <v>105.14628653486666</v>
      </c>
      <c r="AA40">
        <f>AVERAGE(S_plus!AH$2:'S_plus'!AH40)</f>
        <v>99.567225804233331</v>
      </c>
      <c r="AB40">
        <f>AVERAGE(S_plus!AI$2:'S_plus'!AI40)</f>
        <v>91.690678856989734</v>
      </c>
      <c r="AC40">
        <f>AVERAGE(S_plus!AJ$2:'S_plus'!AJ40)</f>
        <v>97.441620918169221</v>
      </c>
      <c r="AD40">
        <f>AVERAGE(S_plus!AK$2:'S_plus'!AK40)</f>
        <v>114.69031437351282</v>
      </c>
      <c r="AE40">
        <f>AVERAGE(S_plus!AL$2:'S_plus'!AL40)</f>
        <v>105.20100870164869</v>
      </c>
      <c r="AF40">
        <f>AVERAGE(S_plus!AM$2:'S_plus'!AM40)</f>
        <v>95.681206012053835</v>
      </c>
      <c r="AG40">
        <f>AVERAGE(S_plus!AN$2:'S_plus'!AN40)</f>
        <v>116.28791851687183</v>
      </c>
      <c r="AH40">
        <f>AVERAGE(S_plus!AO$2:'S_plus'!AO40)</f>
        <v>102.20511002196668</v>
      </c>
      <c r="AI40">
        <f>AVERAGE(S_plus!AP$2:'S_plus'!AP40)</f>
        <v>94.749472682546156</v>
      </c>
      <c r="AJ40">
        <f>AVERAGE(S_plus!AQ$2:'S_plus'!AQ40)</f>
        <v>99.102786391782047</v>
      </c>
      <c r="AK40">
        <f>AVERAGE(S_plus!AR$2:'S_plus'!AR40)</f>
        <v>101.53027275384359</v>
      </c>
      <c r="AL40">
        <f>AVERAGE(S_plus!AS$2:'S_plus'!AS40)</f>
        <v>111.71664107657179</v>
      </c>
      <c r="AM40">
        <f>AVERAGE(S_plus!AT$2:'S_plus'!AT40)</f>
        <v>94.301856790056405</v>
      </c>
      <c r="AN40">
        <f>AVERAGE(S_plus!AU$2:'S_plus'!AU40)</f>
        <v>95.890459990158988</v>
      </c>
      <c r="AO40">
        <f>AVERAGE(S_plus!AV$2:'S_plus'!AV40)</f>
        <v>98.151859858292283</v>
      </c>
      <c r="AP40">
        <f>AVERAGE(S_plus!AW$2:'S_plus'!AW40)</f>
        <v>112.25473030871792</v>
      </c>
      <c r="AQ40">
        <f>AVERAGE(S_plus!AX$2:'S_plus'!AX40)</f>
        <v>96.877771018215398</v>
      </c>
      <c r="AR40">
        <f>AVERAGE(S_plus!AY$2:'S_plus'!AY40)</f>
        <v>99.831525318494869</v>
      </c>
      <c r="AS40">
        <f>AVERAGE(S_plus!AZ$2:'S_plus'!AZ40)</f>
        <v>111.57571855820512</v>
      </c>
      <c r="AT40">
        <f>AVERAGE(S_plus!BA$2:'S_plus'!BA40)</f>
        <v>108.61521859379488</v>
      </c>
      <c r="AU40">
        <f>AVERAGE(S_plus!BB$2:'S_plus'!BB40)</f>
        <v>106.53684042444104</v>
      </c>
      <c r="AV40">
        <f>AVERAGE(S_plus!BC$2:'S_plus'!BC40)</f>
        <v>108.57386038556923</v>
      </c>
      <c r="AW40">
        <f>AVERAGE(S_plus!BD$2:'S_plus'!BD40)</f>
        <v>100.61466561483589</v>
      </c>
      <c r="AX40">
        <f>AVERAGE(S_plus!BE$2:'S_plus'!BE40)</f>
        <v>89.540163474917946</v>
      </c>
      <c r="AY40">
        <f>AVERAGE(S_plus!BF$2:'S_plus'!BF40)</f>
        <v>93.49216773343079</v>
      </c>
      <c r="AZ40">
        <f>AVERAGE(S_plus!BG$2:'S_plus'!BG40)</f>
        <v>93.257782019192291</v>
      </c>
      <c r="BA40">
        <f>AVERAGE(S_plus!BH$2:'S_plus'!BH40)</f>
        <v>99.98959640963848</v>
      </c>
      <c r="BB40">
        <f>AVERAGE(S_plus!BI$2:'S_plus'!BI40)</f>
        <v>107.76291743356411</v>
      </c>
      <c r="BC40">
        <f>AVERAGE(S_plus!BJ$2:'S_plus'!BJ40)</f>
        <v>106.0185291502564</v>
      </c>
      <c r="BD40">
        <f>AVERAGE(S_plus!BK$2:'S_plus'!BK40)</f>
        <v>96.180834700866669</v>
      </c>
      <c r="BE40">
        <f>AVERAGE(S_plus!BL$2:'S_plus'!BL40)</f>
        <v>93.01352408598207</v>
      </c>
      <c r="BF40">
        <f>AVERAGE(S_plus!BM$2:'S_plus'!BM40)</f>
        <v>95.187717311151289</v>
      </c>
      <c r="BG40">
        <f>AVERAGE(S_plus!BN$2:'S_plus'!BN40)</f>
        <v>101.36377153838718</v>
      </c>
      <c r="BH40">
        <f>AVERAGE(S_plus!BO$2:'S_plus'!BO40)</f>
        <v>86.773702406051299</v>
      </c>
      <c r="BI40">
        <f>AVERAGE(S_plus!BP$2:'S_plus'!BP40)</f>
        <v>93.857081314612827</v>
      </c>
      <c r="BJ40">
        <f>AVERAGE(S_plus!BQ$2:'S_plus'!BQ40)</f>
        <v>90.571131580689752</v>
      </c>
      <c r="BK40">
        <f>AVERAGE(S_plus!BR$2:'S_plus'!BR40)</f>
        <v>103.29216221629233</v>
      </c>
      <c r="BL40">
        <f>AVERAGE(S_plus!BS$2:'S_plus'!BS40)</f>
        <v>104.12647152839226</v>
      </c>
      <c r="BM40">
        <f>AVERAGE(S_plus!BT$2:'S_plus'!BT40)</f>
        <v>109.72733354315383</v>
      </c>
      <c r="BN40">
        <f>AVERAGE(S_plus!BU$2:'S_plus'!BU40)</f>
        <v>103.51800409939486</v>
      </c>
      <c r="BO40">
        <f>AVERAGE(S_plus!BV$2:'S_plus'!BV40)</f>
        <v>95.713283929238486</v>
      </c>
      <c r="BP40">
        <f>AVERAGE(S_plus!BW$2:'S_plus'!BW40)</f>
        <v>91.081316535351263</v>
      </c>
      <c r="BQ40">
        <f>AVERAGE(S_plus!BX$2:'S_plus'!BX40)</f>
        <v>88.922423775012817</v>
      </c>
      <c r="BR40">
        <f>AVERAGE(S_plus!BY$2:'S_plus'!BY40)</f>
        <v>104.45970519276925</v>
      </c>
      <c r="BS40">
        <f>AVERAGE(S_plus!BZ$2:'S_plus'!BZ40)</f>
        <v>94.266914307851266</v>
      </c>
      <c r="BT40">
        <f>AVERAGE(S_plus!CA$2:'S_plus'!CA40)</f>
        <v>99.212045600664126</v>
      </c>
      <c r="BU40">
        <f>AVERAGE(S_plus!CB$2:'S_plus'!CB40)</f>
        <v>103.18743502223845</v>
      </c>
      <c r="BV40">
        <f>AVERAGE(S_plus!CC$2:'S_plus'!CC40)</f>
        <v>96.233842390717967</v>
      </c>
      <c r="BW40">
        <f>AVERAGE(S_plus!CD$2:'S_plus'!CD40)</f>
        <v>99.269647038192318</v>
      </c>
      <c r="BX40">
        <f>AVERAGE(S_plus!CE$2:'S_plus'!CE40)</f>
        <v>103.86747075958718</v>
      </c>
      <c r="BY40">
        <f>AVERAGE(S_plus!CF$2:'S_plus'!CF40)</f>
        <v>92.901464082984631</v>
      </c>
      <c r="BZ40">
        <f>AVERAGE(S_plus!CG$2:'S_plus'!CG40)</f>
        <v>92.685611265312801</v>
      </c>
      <c r="CA40">
        <f>AVERAGE(S_plus!CH$2:'S_plus'!CH40)</f>
        <v>114.16280302579489</v>
      </c>
      <c r="CB40">
        <f>AVERAGE(S_plus!CI$2:'S_plus'!CI40)</f>
        <v>96.291940693605127</v>
      </c>
      <c r="CC40">
        <f>AVERAGE(S_plus!CJ$2:'S_plus'!CJ40)</f>
        <v>100.30127886589486</v>
      </c>
      <c r="CD40">
        <f>AVERAGE(S_plus!CK$2:'S_plus'!CK40)</f>
        <v>92.63645356100001</v>
      </c>
      <c r="CE40">
        <f>AVERAGE(S_plus!CL$2:'S_plus'!CL40)</f>
        <v>91.141192185361533</v>
      </c>
      <c r="CF40">
        <f>AVERAGE(S_plus!CM$2:'S_plus'!CM40)</f>
        <v>102.10270463461026</v>
      </c>
      <c r="CG40">
        <f>AVERAGE(S_plus!CN$2:'S_plus'!CN40)</f>
        <v>94.010223670074353</v>
      </c>
      <c r="CH40">
        <f>AVERAGE(S_plus!CO$2:'S_plus'!CO40)</f>
        <v>110.09077793405129</v>
      </c>
      <c r="CI40">
        <f>AVERAGE(S_plus!CP$2:'S_plus'!CP40)</f>
        <v>100.25752087411026</v>
      </c>
      <c r="CJ40">
        <f>AVERAGE(S_plus!CQ$2:'S_plus'!CQ40)</f>
        <v>104.88135875622568</v>
      </c>
      <c r="CK40">
        <f>AVERAGE(S_plus!CR$2:'S_plus'!CR40)</f>
        <v>101.77825999467177</v>
      </c>
      <c r="CL40">
        <f>AVERAGE(S_plus!CS$2:'S_plus'!CS40)</f>
        <v>106.22221688084616</v>
      </c>
      <c r="CM40">
        <f>AVERAGE(S_plus!CT$2:'S_plus'!CT40)</f>
        <v>106.16891010150256</v>
      </c>
      <c r="CN40">
        <f>AVERAGE(S_plus!CU$2:'S_plus'!CU40)</f>
        <v>101.11662360465127</v>
      </c>
      <c r="CO40">
        <f>AVERAGE(S_plus!CV$2:'S_plus'!CV40)</f>
        <v>96.705842137812823</v>
      </c>
      <c r="CP40">
        <f>AVERAGE(S_plus!CW$2:'S_plus'!CW40)</f>
        <v>108.09204045546409</v>
      </c>
      <c r="CQ40">
        <f>AVERAGE(S_plus!CX$2:'S_plus'!CX40)</f>
        <v>109.00350210811794</v>
      </c>
      <c r="CR40">
        <f>AVERAGE(S_plus!CY$2:'S_plus'!CY40)</f>
        <v>100.64956660219742</v>
      </c>
      <c r="CS40">
        <f>AVERAGE(S_plus!CZ$2:'S_plus'!CZ40)</f>
        <v>103.55130479159486</v>
      </c>
      <c r="CT40">
        <f>AVERAGE(S_plus!DA$2:'S_plus'!DA40)</f>
        <v>106.89869555766668</v>
      </c>
      <c r="CU40">
        <f>AVERAGE(S_plus!DB$2:'S_plus'!DB40)</f>
        <v>93.838491819874378</v>
      </c>
      <c r="CV40">
        <f>AVERAGE(S_plus!DC$2:'S_plus'!DC40)</f>
        <v>100.59932864794615</v>
      </c>
      <c r="CW40">
        <f>AVERAGE(S_plus!DD$2:'S_plus'!DD40)</f>
        <v>94.181874151776924</v>
      </c>
      <c r="CX40">
        <f>AVERAGE(S_plus!DE$2:'S_plus'!DE40)</f>
        <v>104.50082755526149</v>
      </c>
      <c r="CY40">
        <f>AVERAGE(S_plus!DF$2:'S_plus'!DF40)</f>
        <v>94.623315862356421</v>
      </c>
      <c r="CZ40">
        <f>AVERAGE(S_plus!DG$2:'S_plus'!DG40)</f>
        <v>93.680105385930744</v>
      </c>
      <c r="DA40">
        <f>AVERAGE(S_plus!DH$2:'S_plus'!DH40)</f>
        <v>100.96555286346668</v>
      </c>
    </row>
    <row r="41" spans="5:105" x14ac:dyDescent="0.25">
      <c r="E41">
        <f>E40+Asian!dt</f>
        <v>0.39000000000000018</v>
      </c>
      <c r="F41">
        <f>AVERAGE(S_plus!M$2:'S_plus'!M41)</f>
        <v>89.78911627155</v>
      </c>
      <c r="G41">
        <f>AVERAGE(S_plus!N$2:'S_plus'!N41)</f>
        <v>95.697131232474987</v>
      </c>
      <c r="H41">
        <f>AVERAGE(S_plus!O$2:'S_plus'!O41)</f>
        <v>107.63698546453502</v>
      </c>
      <c r="I41">
        <f>AVERAGE(S_plus!P$2:'S_plus'!P41)</f>
        <v>100.54598545787998</v>
      </c>
      <c r="J41">
        <f>AVERAGE(S_plus!Q$2:'S_plus'!Q41)</f>
        <v>93.487674770510026</v>
      </c>
      <c r="K41">
        <f>AVERAGE(S_plus!R$2:'S_plus'!R41)</f>
        <v>98.74006463436001</v>
      </c>
      <c r="L41">
        <f>AVERAGE(S_plus!S$2:'S_plus'!S41)</f>
        <v>114.86589639122499</v>
      </c>
      <c r="M41">
        <f>AVERAGE(S_plus!T$2:'S_plus'!T41)</f>
        <v>88.344665433054985</v>
      </c>
      <c r="N41">
        <f>AVERAGE(S_plus!U$2:'S_plus'!U41)</f>
        <v>111.95623385397498</v>
      </c>
      <c r="O41">
        <f>AVERAGE(S_plus!V$2:'S_plus'!V41)</f>
        <v>99.619068979574976</v>
      </c>
      <c r="P41">
        <f>AVERAGE(S_plus!W$2:'S_plus'!W41)</f>
        <v>101.38249734698249</v>
      </c>
      <c r="Q41">
        <f>AVERAGE(S_plus!X$2:'S_plus'!X41)</f>
        <v>106.98335016935</v>
      </c>
      <c r="R41">
        <f>AVERAGE(S_plus!Y$2:'S_plus'!Y41)</f>
        <v>95.185146959482509</v>
      </c>
      <c r="S41">
        <f>AVERAGE(S_plus!Z$2:'S_plus'!Z41)</f>
        <v>105.01411607995746</v>
      </c>
      <c r="T41">
        <f>AVERAGE(S_plus!AA$2:'S_plus'!AA41)</f>
        <v>105.23802631503001</v>
      </c>
      <c r="U41">
        <f>AVERAGE(S_plus!AB$2:'S_plus'!AB41)</f>
        <v>93.411285486535036</v>
      </c>
      <c r="V41">
        <f>AVERAGE(S_plus!AC$2:'S_plus'!AC41)</f>
        <v>92.625997060777536</v>
      </c>
      <c r="W41">
        <f>AVERAGE(S_plus!AD$2:'S_plus'!AD41)</f>
        <v>95.410573776160021</v>
      </c>
      <c r="X41">
        <f>AVERAGE(S_plus!AE$2:'S_plus'!AE41)</f>
        <v>113.68595250336247</v>
      </c>
      <c r="Y41">
        <f>AVERAGE(S_plus!AF$2:'S_plus'!AF41)</f>
        <v>96.273072206777513</v>
      </c>
      <c r="Z41">
        <f>AVERAGE(S_plus!AG$2:'S_plus'!AG41)</f>
        <v>105.14518627856998</v>
      </c>
      <c r="AA41">
        <f>AVERAGE(S_plus!AH$2:'S_plus'!AH41)</f>
        <v>99.584038763477494</v>
      </c>
      <c r="AB41">
        <f>AVERAGE(S_plus!AI$2:'S_plus'!AI41)</f>
        <v>91.419727933752498</v>
      </c>
      <c r="AC41">
        <f>AVERAGE(S_plus!AJ$2:'S_plus'!AJ41)</f>
        <v>97.323914994764976</v>
      </c>
      <c r="AD41">
        <f>AVERAGE(S_plus!AK$2:'S_plus'!AK41)</f>
        <v>114.85579641547501</v>
      </c>
      <c r="AE41">
        <f>AVERAGE(S_plus!AL$2:'S_plus'!AL41)</f>
        <v>105.26433547078247</v>
      </c>
      <c r="AF41">
        <f>AVERAGE(S_plus!AM$2:'S_plus'!AM41)</f>
        <v>95.803781805152497</v>
      </c>
      <c r="AG41">
        <f>AVERAGE(S_plus!AN$2:'S_plus'!AN41)</f>
        <v>116.49196308832502</v>
      </c>
      <c r="AH41">
        <f>AVERAGE(S_plus!AO$2:'S_plus'!AO41)</f>
        <v>101.907942319095</v>
      </c>
      <c r="AI41">
        <f>AVERAGE(S_plus!AP$2:'S_plus'!AP41)</f>
        <v>94.540001215707491</v>
      </c>
      <c r="AJ41">
        <f>AVERAGE(S_plus!AQ$2:'S_plus'!AQ41)</f>
        <v>98.998016065729999</v>
      </c>
      <c r="AK41">
        <f>AVERAGE(S_plus!AR$2:'S_plus'!AR41)</f>
        <v>101.44718985899</v>
      </c>
      <c r="AL41">
        <f>AVERAGE(S_plus!AS$2:'S_plus'!AS41)</f>
        <v>111.8484888029825</v>
      </c>
      <c r="AM41">
        <f>AVERAGE(S_plus!AT$2:'S_plus'!AT41)</f>
        <v>94.363660858320003</v>
      </c>
      <c r="AN41">
        <f>AVERAGE(S_plus!AU$2:'S_plus'!AU41)</f>
        <v>95.79849893172252</v>
      </c>
      <c r="AO41">
        <f>AVERAGE(S_plus!AV$2:'S_plus'!AV41)</f>
        <v>98.238178091309976</v>
      </c>
      <c r="AP41">
        <f>AVERAGE(S_plus!AW$2:'S_plus'!AW41)</f>
        <v>112.39332737384998</v>
      </c>
      <c r="AQ41">
        <f>AVERAGE(S_plus!AX$2:'S_plus'!AX41)</f>
        <v>96.92023038883751</v>
      </c>
      <c r="AR41">
        <f>AVERAGE(S_plus!AY$2:'S_plus'!AY41)</f>
        <v>99.711342401720003</v>
      </c>
      <c r="AS41">
        <f>AVERAGE(S_plus!AZ$2:'S_plus'!AZ41)</f>
        <v>111.75266225445</v>
      </c>
      <c r="AT41">
        <f>AVERAGE(S_plus!BA$2:'S_plus'!BA41)</f>
        <v>108.78525287760002</v>
      </c>
      <c r="AU41">
        <f>AVERAGE(S_plus!BB$2:'S_plus'!BB41)</f>
        <v>106.66063864838002</v>
      </c>
      <c r="AV41">
        <f>AVERAGE(S_plus!BC$2:'S_plus'!BC41)</f>
        <v>108.726988473055</v>
      </c>
      <c r="AW41">
        <f>AVERAGE(S_plus!BD$2:'S_plus'!BD41)</f>
        <v>100.56285844937749</v>
      </c>
      <c r="AX41">
        <f>AVERAGE(S_plus!BE$2:'S_plus'!BE41)</f>
        <v>89.702488833777494</v>
      </c>
      <c r="AY41">
        <f>AVERAGE(S_plus!BF$2:'S_plus'!BF41)</f>
        <v>93.299982764750013</v>
      </c>
      <c r="AZ41">
        <f>AVERAGE(S_plus!BG$2:'S_plus'!BG41)</f>
        <v>93.215825734047485</v>
      </c>
      <c r="BA41">
        <f>AVERAGE(S_plus!BH$2:'S_plus'!BH41)</f>
        <v>99.796794639342508</v>
      </c>
      <c r="BB41">
        <f>AVERAGE(S_plus!BI$2:'S_plus'!BI41)</f>
        <v>107.78590634705002</v>
      </c>
      <c r="BC41">
        <f>AVERAGE(S_plus!BJ$2:'S_plus'!BJ41)</f>
        <v>105.99294777302498</v>
      </c>
      <c r="BD41">
        <f>AVERAGE(S_plus!BK$2:'S_plus'!BK41)</f>
        <v>96.163866933327498</v>
      </c>
      <c r="BE41">
        <f>AVERAGE(S_plus!BL$2:'S_plus'!BL41)</f>
        <v>92.977709033640011</v>
      </c>
      <c r="BF41">
        <f>AVERAGE(S_plus!BM$2:'S_plus'!BM41)</f>
        <v>95.181792571675004</v>
      </c>
      <c r="BG41">
        <f>AVERAGE(S_plus!BN$2:'S_plus'!BN41)</f>
        <v>101.30598079601251</v>
      </c>
      <c r="BH41">
        <f>AVERAGE(S_plus!BO$2:'S_plus'!BO41)</f>
        <v>86.694116898795016</v>
      </c>
      <c r="BI41">
        <f>AVERAGE(S_plus!BP$2:'S_plus'!BP41)</f>
        <v>93.594169721130001</v>
      </c>
      <c r="BJ41">
        <f>AVERAGE(S_plus!BQ$2:'S_plus'!BQ41)</f>
        <v>90.493220965380004</v>
      </c>
      <c r="BK41">
        <f>AVERAGE(S_plus!BR$2:'S_plus'!BR41)</f>
        <v>103.51414364378502</v>
      </c>
      <c r="BL41">
        <f>AVERAGE(S_plus!BS$2:'S_plus'!BS41)</f>
        <v>104.04941468298246</v>
      </c>
      <c r="BM41">
        <f>AVERAGE(S_plus!BT$2:'S_plus'!BT41)</f>
        <v>109.80558059834998</v>
      </c>
      <c r="BN41">
        <f>AVERAGE(S_plus!BU$2:'S_plus'!BU41)</f>
        <v>103.55304780550998</v>
      </c>
      <c r="BO41">
        <f>AVERAGE(S_plus!BV$2:'S_plus'!BV41)</f>
        <v>95.610250971762511</v>
      </c>
      <c r="BP41">
        <f>AVERAGE(S_plus!BW$2:'S_plus'!BW41)</f>
        <v>91.021299715544984</v>
      </c>
      <c r="BQ41">
        <f>AVERAGE(S_plus!BX$2:'S_plus'!BX41)</f>
        <v>88.635418126122502</v>
      </c>
      <c r="BR41">
        <f>AVERAGE(S_plus!BY$2:'S_plus'!BY41)</f>
        <v>104.61305417817502</v>
      </c>
      <c r="BS41">
        <f>AVERAGE(S_plus!BZ$2:'S_plus'!BZ41)</f>
        <v>94.517609119004987</v>
      </c>
      <c r="BT41">
        <f>AVERAGE(S_plus!CA$2:'S_plus'!CA41)</f>
        <v>99.466881648972517</v>
      </c>
      <c r="BU41">
        <f>AVERAGE(S_plus!CB$2:'S_plus'!CB41)</f>
        <v>103.11680277450748</v>
      </c>
      <c r="BV41">
        <f>AVERAGE(S_plus!CC$2:'S_plus'!CC41)</f>
        <v>96.181167444110017</v>
      </c>
      <c r="BW41">
        <f>AVERAGE(S_plus!CD$2:'S_plus'!CD41)</f>
        <v>99.397047624062509</v>
      </c>
      <c r="BX41">
        <f>AVERAGE(S_plus!CE$2:'S_plus'!CE41)</f>
        <v>103.79502766729749</v>
      </c>
      <c r="BY41">
        <f>AVERAGE(S_plus!CF$2:'S_plus'!CF41)</f>
        <v>92.705850891287511</v>
      </c>
      <c r="BZ41">
        <f>AVERAGE(S_plus!CG$2:'S_plus'!CG41)</f>
        <v>92.810457821089983</v>
      </c>
      <c r="CA41">
        <f>AVERAGE(S_plus!CH$2:'S_plus'!CH41)</f>
        <v>114.322539390675</v>
      </c>
      <c r="CB41">
        <f>AVERAGE(S_plus!CI$2:'S_plus'!CI41)</f>
        <v>96.618677588989996</v>
      </c>
      <c r="CC41">
        <f>AVERAGE(S_plus!CJ$2:'S_plus'!CJ41)</f>
        <v>100.21253613143749</v>
      </c>
      <c r="CD41">
        <f>AVERAGE(S_plus!CK$2:'S_plus'!CK41)</f>
        <v>92.574123578580014</v>
      </c>
      <c r="CE41">
        <f>AVERAGE(S_plus!CL$2:'S_plus'!CL41)</f>
        <v>90.930498314420007</v>
      </c>
      <c r="CF41">
        <f>AVERAGE(S_plus!CM$2:'S_plus'!CM41)</f>
        <v>102.05263102644501</v>
      </c>
      <c r="CG41">
        <f>AVERAGE(S_plus!CN$2:'S_plus'!CN41)</f>
        <v>94.048163716839994</v>
      </c>
      <c r="CH41">
        <f>AVERAGE(S_plus!CO$2:'S_plus'!CO41)</f>
        <v>110.45893040932501</v>
      </c>
      <c r="CI41">
        <f>AVERAGE(S_plus!CP$2:'S_plus'!CP41)</f>
        <v>99.983233455515006</v>
      </c>
      <c r="CJ41">
        <f>AVERAGE(S_plus!CQ$2:'S_plus'!CQ41)</f>
        <v>104.81875329554502</v>
      </c>
      <c r="CK41">
        <f>AVERAGE(S_plus!CR$2:'S_plus'!CR41)</f>
        <v>101.76477298917997</v>
      </c>
      <c r="CL41">
        <f>AVERAGE(S_plus!CS$2:'S_plus'!CS41)</f>
        <v>106.2081363567</v>
      </c>
      <c r="CM41">
        <f>AVERAGE(S_plus!CT$2:'S_plus'!CT41)</f>
        <v>106.13028056933999</v>
      </c>
      <c r="CN41">
        <f>AVERAGE(S_plus!CU$2:'S_plus'!CU41)</f>
        <v>101.25597173735999</v>
      </c>
      <c r="CO41">
        <f>AVERAGE(S_plus!CV$2:'S_plus'!CV41)</f>
        <v>96.296905779135002</v>
      </c>
      <c r="CP41">
        <f>AVERAGE(S_plus!CW$2:'S_plus'!CW41)</f>
        <v>108.25309335455249</v>
      </c>
      <c r="CQ41">
        <f>AVERAGE(S_plus!CX$2:'S_plus'!CX41)</f>
        <v>109.08280334239001</v>
      </c>
      <c r="CR41">
        <f>AVERAGE(S_plus!CY$2:'S_plus'!CY41)</f>
        <v>100.73966900739249</v>
      </c>
      <c r="CS41">
        <f>AVERAGE(S_plus!CZ$2:'S_plus'!CZ41)</f>
        <v>103.56860417512999</v>
      </c>
      <c r="CT41">
        <f>AVERAGE(S_plus!DA$2:'S_plus'!DA41)</f>
        <v>107.20521542340002</v>
      </c>
      <c r="CU41">
        <f>AVERAGE(S_plus!DB$2:'S_plus'!DB41)</f>
        <v>93.581468903820024</v>
      </c>
      <c r="CV41">
        <f>AVERAGE(S_plus!DC$2:'S_plus'!DC41)</f>
        <v>100.57513809597751</v>
      </c>
      <c r="CW41">
        <f>AVERAGE(S_plus!DD$2:'S_plus'!DD41)</f>
        <v>93.916550570715003</v>
      </c>
      <c r="CX41">
        <f>AVERAGE(S_plus!DE$2:'S_plus'!DE41)</f>
        <v>104.60996904270496</v>
      </c>
      <c r="CY41">
        <f>AVERAGE(S_plus!DF$2:'S_plus'!DF41)</f>
        <v>94.403513504245012</v>
      </c>
      <c r="CZ41">
        <f>AVERAGE(S_plus!DG$2:'S_plus'!DG41)</f>
        <v>93.592210720912476</v>
      </c>
      <c r="DA41">
        <f>AVERAGE(S_plus!DH$2:'S_plus'!DH41)</f>
        <v>101.16313425900502</v>
      </c>
    </row>
    <row r="42" spans="5:105" x14ac:dyDescent="0.25">
      <c r="E42">
        <f>E41+Asian!dt</f>
        <v>0.40000000000000019</v>
      </c>
      <c r="F42">
        <f>AVERAGE(S_plus!M$2:'S_plus'!M42)</f>
        <v>89.887228108860967</v>
      </c>
      <c r="G42">
        <f>AVERAGE(S_plus!N$2:'S_plus'!N42)</f>
        <v>95.556413752775597</v>
      </c>
      <c r="H42">
        <f>AVERAGE(S_plus!O$2:'S_plus'!O42)</f>
        <v>107.52487368613173</v>
      </c>
      <c r="I42">
        <f>AVERAGE(S_plus!P$2:'S_plus'!P42)</f>
        <v>100.5868331291512</v>
      </c>
      <c r="J42">
        <f>AVERAGE(S_plus!Q$2:'S_plus'!Q42)</f>
        <v>93.110725918687834</v>
      </c>
      <c r="K42">
        <f>AVERAGE(S_plus!R$2:'S_plus'!R42)</f>
        <v>98.591419733131715</v>
      </c>
      <c r="L42">
        <f>AVERAGE(S_plus!S$2:'S_plus'!S42)</f>
        <v>114.91882939997559</v>
      </c>
      <c r="M42">
        <f>AVERAGE(S_plus!T$2:'S_plus'!T42)</f>
        <v>87.987706140990227</v>
      </c>
      <c r="N42">
        <f>AVERAGE(S_plus!U$2:'S_plus'!U42)</f>
        <v>112.11582090970731</v>
      </c>
      <c r="O42">
        <f>AVERAGE(S_plus!V$2:'S_plus'!V42)</f>
        <v>99.678069981707296</v>
      </c>
      <c r="P42">
        <f>AVERAGE(S_plus!W$2:'S_plus'!W42)</f>
        <v>101.62866535178779</v>
      </c>
      <c r="Q42">
        <f>AVERAGE(S_plus!X$2:'S_plus'!X42)</f>
        <v>107.1447830810244</v>
      </c>
      <c r="R42">
        <f>AVERAGE(S_plus!Y$2:'S_plus'!Y42)</f>
        <v>95.06815829523903</v>
      </c>
      <c r="S42">
        <f>AVERAGE(S_plus!Z$2:'S_plus'!Z42)</f>
        <v>105.30811493264144</v>
      </c>
      <c r="T42">
        <f>AVERAGE(S_plus!AA$2:'S_plus'!AA42)</f>
        <v>105.26454447727318</v>
      </c>
      <c r="U42">
        <f>AVERAGE(S_plus!AB$2:'S_plus'!AB42)</f>
        <v>93.29044736670734</v>
      </c>
      <c r="V42">
        <f>AVERAGE(S_plus!AC$2:'S_plus'!AC42)</f>
        <v>92.541012342941499</v>
      </c>
      <c r="W42">
        <f>AVERAGE(S_plus!AD$2:'S_plus'!AD42)</f>
        <v>95.420300186626847</v>
      </c>
      <c r="X42">
        <f>AVERAGE(S_plus!AE$2:'S_plus'!AE42)</f>
        <v>114.21095555235364</v>
      </c>
      <c r="Y42">
        <f>AVERAGE(S_plus!AF$2:'S_plus'!AF42)</f>
        <v>96.493498242343904</v>
      </c>
      <c r="Z42">
        <f>AVERAGE(S_plus!AG$2:'S_plus'!AG42)</f>
        <v>105.18246419243414</v>
      </c>
      <c r="AA42">
        <f>AVERAGE(S_plus!AH$2:'S_plus'!AH42)</f>
        <v>99.566667934826825</v>
      </c>
      <c r="AB42">
        <f>AVERAGE(S_plus!AI$2:'S_plus'!AI42)</f>
        <v>91.139791726597551</v>
      </c>
      <c r="AC42">
        <f>AVERAGE(S_plus!AJ$2:'S_plus'!AJ42)</f>
        <v>97.201093505960955</v>
      </c>
      <c r="AD42">
        <f>AVERAGE(S_plus!AK$2:'S_plus'!AK42)</f>
        <v>115.00191367941466</v>
      </c>
      <c r="AE42">
        <f>AVERAGE(S_plus!AL$2:'S_plus'!AL42)</f>
        <v>105.34933485142193</v>
      </c>
      <c r="AF42">
        <f>AVERAGE(S_plus!AM$2:'S_plus'!AM42)</f>
        <v>95.969786094514632</v>
      </c>
      <c r="AG42">
        <f>AVERAGE(S_plus!AN$2:'S_plus'!AN42)</f>
        <v>116.59219461165856</v>
      </c>
      <c r="AH42">
        <f>AVERAGE(S_plus!AO$2:'S_plus'!AO42)</f>
        <v>101.57261509657319</v>
      </c>
      <c r="AI42">
        <f>AVERAGE(S_plus!AP$2:'S_plus'!AP42)</f>
        <v>94.235178595521944</v>
      </c>
      <c r="AJ42">
        <f>AVERAGE(S_plus!AQ$2:'S_plus'!AQ42)</f>
        <v>98.942014600363407</v>
      </c>
      <c r="AK42">
        <f>AVERAGE(S_plus!AR$2:'S_plus'!AR42)</f>
        <v>101.40092954724634</v>
      </c>
      <c r="AL42">
        <f>AVERAGE(S_plus!AS$2:'S_plus'!AS42)</f>
        <v>112.04521775749514</v>
      </c>
      <c r="AM42">
        <f>AVERAGE(S_plus!AT$2:'S_plus'!AT42)</f>
        <v>94.336357619668291</v>
      </c>
      <c r="AN42">
        <f>AVERAGE(S_plus!AU$2:'S_plus'!AU42)</f>
        <v>95.692132438324407</v>
      </c>
      <c r="AO42">
        <f>AVERAGE(S_plus!AV$2:'S_plus'!AV42)</f>
        <v>98.351720950619494</v>
      </c>
      <c r="AP42">
        <f>AVERAGE(S_plus!AW$2:'S_plus'!AW42)</f>
        <v>112.56301973070728</v>
      </c>
      <c r="AQ42">
        <f>AVERAGE(S_plus!AX$2:'S_plus'!AX42)</f>
        <v>97.056286778695139</v>
      </c>
      <c r="AR42">
        <f>AVERAGE(S_plus!AY$2:'S_plus'!AY42)</f>
        <v>99.579448169556102</v>
      </c>
      <c r="AS42">
        <f>AVERAGE(S_plus!AZ$2:'S_plus'!AZ42)</f>
        <v>111.98242168168294</v>
      </c>
      <c r="AT42">
        <f>AVERAGE(S_plus!BA$2:'S_plus'!BA42)</f>
        <v>109.025255143561</v>
      </c>
      <c r="AU42">
        <f>AVERAGE(S_plus!BB$2:'S_plus'!BB42)</f>
        <v>106.76471685502929</v>
      </c>
      <c r="AV42">
        <f>AVERAGE(S_plus!BC$2:'S_plus'!BC42)</f>
        <v>108.83978485151708</v>
      </c>
      <c r="AW42">
        <f>AVERAGE(S_plus!BD$2:'S_plus'!BD42)</f>
        <v>100.55827815424631</v>
      </c>
      <c r="AX42">
        <f>AVERAGE(S_plus!BE$2:'S_plus'!BE42)</f>
        <v>89.803782366080497</v>
      </c>
      <c r="AY42">
        <f>AVERAGE(S_plus!BF$2:'S_plus'!BF42)</f>
        <v>93.07995466917319</v>
      </c>
      <c r="AZ42">
        <f>AVERAGE(S_plus!BG$2:'S_plus'!BG42)</f>
        <v>93.1847774334951</v>
      </c>
      <c r="BA42">
        <f>AVERAGE(S_plus!BH$2:'S_plus'!BH42)</f>
        <v>99.582501890402455</v>
      </c>
      <c r="BB42">
        <f>AVERAGE(S_plus!BI$2:'S_plus'!BI42)</f>
        <v>107.76067182617075</v>
      </c>
      <c r="BC42">
        <f>AVERAGE(S_plus!BJ$2:'S_plus'!BJ42)</f>
        <v>105.99967227090241</v>
      </c>
      <c r="BD42">
        <f>AVERAGE(S_plus!BK$2:'S_plus'!BK42)</f>
        <v>96.144053628187805</v>
      </c>
      <c r="BE42">
        <f>AVERAGE(S_plus!BL$2:'S_plus'!BL42)</f>
        <v>92.914106851268301</v>
      </c>
      <c r="BF42">
        <f>AVERAGE(S_plus!BM$2:'S_plus'!BM42)</f>
        <v>95.203418316751225</v>
      </c>
      <c r="BG42">
        <f>AVERAGE(S_plus!BN$2:'S_plus'!BN42)</f>
        <v>101.2923688202561</v>
      </c>
      <c r="BH42">
        <f>AVERAGE(S_plus!BO$2:'S_plus'!BO42)</f>
        <v>86.618486941429282</v>
      </c>
      <c r="BI42">
        <f>AVERAGE(S_plus!BP$2:'S_plus'!BP42)</f>
        <v>93.310638914914634</v>
      </c>
      <c r="BJ42">
        <f>AVERAGE(S_plus!BQ$2:'S_plus'!BQ42)</f>
        <v>90.362746649082922</v>
      </c>
      <c r="BK42">
        <f>AVERAGE(S_plus!BR$2:'S_plus'!BR42)</f>
        <v>103.67226495035123</v>
      </c>
      <c r="BL42">
        <f>AVERAGE(S_plus!BS$2:'S_plus'!BS42)</f>
        <v>104.06292687588532</v>
      </c>
      <c r="BM42">
        <f>AVERAGE(S_plus!BT$2:'S_plus'!BT42)</f>
        <v>109.87840048331704</v>
      </c>
      <c r="BN42">
        <f>AVERAGE(S_plus!BU$2:'S_plus'!BU42)</f>
        <v>103.55447504432682</v>
      </c>
      <c r="BO42">
        <f>AVERAGE(S_plus!BV$2:'S_plus'!BV42)</f>
        <v>95.444508522297568</v>
      </c>
      <c r="BP42">
        <f>AVERAGE(S_plus!BW$2:'S_plus'!BW42)</f>
        <v>91.029621412890236</v>
      </c>
      <c r="BQ42">
        <f>AVERAGE(S_plus!BX$2:'S_plus'!BX42)</f>
        <v>88.316342162202432</v>
      </c>
      <c r="BR42">
        <f>AVERAGE(S_plus!BY$2:'S_plus'!BY42)</f>
        <v>104.67598981256099</v>
      </c>
      <c r="BS42">
        <f>AVERAGE(S_plus!BZ$2:'S_plus'!BZ42)</f>
        <v>94.839378692663402</v>
      </c>
      <c r="BT42">
        <f>AVERAGE(S_plus!CA$2:'S_plus'!CA42)</f>
        <v>99.682549686826832</v>
      </c>
      <c r="BU42">
        <f>AVERAGE(S_plus!CB$2:'S_plus'!CB42)</f>
        <v>102.98999244022193</v>
      </c>
      <c r="BV42">
        <f>AVERAGE(S_plus!CC$2:'S_plus'!CC42)</f>
        <v>96.096319720680512</v>
      </c>
      <c r="BW42">
        <f>AVERAGE(S_plus!CD$2:'S_plus'!CD42)</f>
        <v>99.470874163841472</v>
      </c>
      <c r="BX42">
        <f>AVERAGE(S_plus!CE$2:'S_plus'!CE42)</f>
        <v>103.68410778743902</v>
      </c>
      <c r="BY42">
        <f>AVERAGE(S_plus!CF$2:'S_plus'!CF42)</f>
        <v>92.546916733692697</v>
      </c>
      <c r="BZ42">
        <f>AVERAGE(S_plus!CG$2:'S_plus'!CG42)</f>
        <v>92.928567788187792</v>
      </c>
      <c r="CA42">
        <f>AVERAGE(S_plus!CH$2:'S_plus'!CH42)</f>
        <v>114.45483748917073</v>
      </c>
      <c r="CB42">
        <f>AVERAGE(S_plus!CI$2:'S_plus'!CI42)</f>
        <v>96.864250356819511</v>
      </c>
      <c r="CC42">
        <f>AVERAGE(S_plus!CJ$2:'S_plus'!CJ42)</f>
        <v>100.13137106852925</v>
      </c>
      <c r="CD42">
        <f>AVERAGE(S_plus!CK$2:'S_plus'!CK42)</f>
        <v>92.566792058882939</v>
      </c>
      <c r="CE42">
        <f>AVERAGE(S_plus!CL$2:'S_plus'!CL42)</f>
        <v>90.739693064995137</v>
      </c>
      <c r="CF42">
        <f>AVERAGE(S_plus!CM$2:'S_plus'!CM42)</f>
        <v>101.9689674360049</v>
      </c>
      <c r="CG42">
        <f>AVERAGE(S_plus!CN$2:'S_plus'!CN42)</f>
        <v>94.071721187141463</v>
      </c>
      <c r="CH42">
        <f>AVERAGE(S_plus!CO$2:'S_plus'!CO42)</f>
        <v>110.88700762626831</v>
      </c>
      <c r="CI42">
        <f>AVERAGE(S_plus!CP$2:'S_plus'!CP42)</f>
        <v>99.694440265663417</v>
      </c>
      <c r="CJ42">
        <f>AVERAGE(S_plus!CQ$2:'S_plus'!CQ42)</f>
        <v>104.7925178218732</v>
      </c>
      <c r="CK42">
        <f>AVERAGE(S_plus!CR$2:'S_plus'!CR42)</f>
        <v>101.85045535078535</v>
      </c>
      <c r="CL42">
        <f>AVERAGE(S_plus!CS$2:'S_plus'!CS42)</f>
        <v>106.1575301537561</v>
      </c>
      <c r="CM42">
        <f>AVERAGE(S_plus!CT$2:'S_plus'!CT42)</f>
        <v>106.16917329472194</v>
      </c>
      <c r="CN42">
        <f>AVERAGE(S_plus!CU$2:'S_plus'!CU42)</f>
        <v>101.37759013115608</v>
      </c>
      <c r="CO42">
        <f>AVERAGE(S_plus!CV$2:'S_plus'!CV42)</f>
        <v>95.970054100195114</v>
      </c>
      <c r="CP42">
        <f>AVERAGE(S_plus!CW$2:'S_plus'!CW42)</f>
        <v>108.37015295719756</v>
      </c>
      <c r="CQ42">
        <f>AVERAGE(S_plus!CX$2:'S_plus'!CX42)</f>
        <v>109.25311586074635</v>
      </c>
      <c r="CR42">
        <f>AVERAGE(S_plus!CY$2:'S_plus'!CY42)</f>
        <v>100.87087965782194</v>
      </c>
      <c r="CS42">
        <f>AVERAGE(S_plus!CZ$2:'S_plus'!CZ42)</f>
        <v>103.70189035566339</v>
      </c>
      <c r="CT42">
        <f>AVERAGE(S_plus!DA$2:'S_plus'!DA42)</f>
        <v>107.47809447865855</v>
      </c>
      <c r="CU42">
        <f>AVERAGE(S_plus!DB$2:'S_plus'!DB42)</f>
        <v>93.266534868280502</v>
      </c>
      <c r="CV42">
        <f>AVERAGE(S_plus!DC$2:'S_plus'!DC42)</f>
        <v>100.55253578734147</v>
      </c>
      <c r="CW42">
        <f>AVERAGE(S_plus!DD$2:'S_plus'!DD42)</f>
        <v>93.743754779239026</v>
      </c>
      <c r="CX42">
        <f>AVERAGE(S_plus!DE$2:'S_plus'!DE42)</f>
        <v>104.71508651805362</v>
      </c>
      <c r="CY42">
        <f>AVERAGE(S_plus!DF$2:'S_plus'!DF42)</f>
        <v>94.162125327343915</v>
      </c>
      <c r="CZ42">
        <f>AVERAGE(S_plus!DG$2:'S_plus'!DG42)</f>
        <v>93.518674513129241</v>
      </c>
      <c r="DA42">
        <f>AVERAGE(S_plus!DH$2:'S_plus'!DH42)</f>
        <v>101.26595647139513</v>
      </c>
    </row>
    <row r="43" spans="5:105" x14ac:dyDescent="0.25">
      <c r="E43">
        <f>E42+Asian!dt</f>
        <v>0.4100000000000002</v>
      </c>
      <c r="F43">
        <f>AVERAGE(S_plus!M$2:'S_plus'!M43)</f>
        <v>89.946084447926182</v>
      </c>
      <c r="G43">
        <f>AVERAGE(S_plus!N$2:'S_plus'!N43)</f>
        <v>95.404377855583306</v>
      </c>
      <c r="H43">
        <f>AVERAGE(S_plus!O$2:'S_plus'!O43)</f>
        <v>107.37583585146191</v>
      </c>
      <c r="I43">
        <f>AVERAGE(S_plus!P$2:'S_plus'!P43)</f>
        <v>100.66500812102856</v>
      </c>
      <c r="J43">
        <f>AVERAGE(S_plus!Q$2:'S_plus'!Q43)</f>
        <v>92.727630601397649</v>
      </c>
      <c r="K43">
        <f>AVERAGE(S_plus!R$2:'S_plus'!R43)</f>
        <v>98.443844457842872</v>
      </c>
      <c r="L43">
        <f>AVERAGE(S_plus!S$2:'S_plus'!S43)</f>
        <v>114.99251718271427</v>
      </c>
      <c r="M43">
        <f>AVERAGE(S_plus!T$2:'S_plus'!T43)</f>
        <v>87.620314689799983</v>
      </c>
      <c r="N43">
        <f>AVERAGE(S_plus!U$2:'S_plus'!U43)</f>
        <v>112.21512817930952</v>
      </c>
      <c r="O43">
        <f>AVERAGE(S_plus!V$2:'S_plus'!V43)</f>
        <v>99.763167331666651</v>
      </c>
      <c r="P43">
        <f>AVERAGE(S_plus!W$2:'S_plus'!W43)</f>
        <v>101.81905445012617</v>
      </c>
      <c r="Q43">
        <f>AVERAGE(S_plus!X$2:'S_plus'!X43)</f>
        <v>107.24968004935715</v>
      </c>
      <c r="R43">
        <f>AVERAGE(S_plus!Y$2:'S_plus'!Y43)</f>
        <v>94.926577128373822</v>
      </c>
      <c r="S43">
        <f>AVERAGE(S_plus!Z$2:'S_plus'!Z43)</f>
        <v>105.54990987481663</v>
      </c>
      <c r="T43">
        <f>AVERAGE(S_plus!AA$2:'S_plus'!AA43)</f>
        <v>105.32580605562381</v>
      </c>
      <c r="U43">
        <f>AVERAGE(S_plus!AB$2:'S_plus'!AB43)</f>
        <v>93.241583706295273</v>
      </c>
      <c r="V43">
        <f>AVERAGE(S_plus!AC$2:'S_plus'!AC43)</f>
        <v>92.383589581102413</v>
      </c>
      <c r="W43">
        <f>AVERAGE(S_plus!AD$2:'S_plus'!AD43)</f>
        <v>95.398776432530966</v>
      </c>
      <c r="X43">
        <f>AVERAGE(S_plus!AE$2:'S_plus'!AE43)</f>
        <v>114.59851406310712</v>
      </c>
      <c r="Y43">
        <f>AVERAGE(S_plus!AF$2:'S_plus'!AF43)</f>
        <v>96.668885729550013</v>
      </c>
      <c r="Z43">
        <f>AVERAGE(S_plus!AG$2:'S_plus'!AG43)</f>
        <v>105.17828574656666</v>
      </c>
      <c r="AA43">
        <f>AVERAGE(S_plus!AH$2:'S_plus'!AH43)</f>
        <v>99.558549303683321</v>
      </c>
      <c r="AB43">
        <f>AVERAGE(S_plus!AI$2:'S_plus'!AI43)</f>
        <v>90.864005973073802</v>
      </c>
      <c r="AC43">
        <f>AVERAGE(S_plus!AJ$2:'S_plus'!AJ43)</f>
        <v>97.087847271749979</v>
      </c>
      <c r="AD43">
        <f>AVERAGE(S_plus!AK$2:'S_plus'!AK43)</f>
        <v>115.14131898176191</v>
      </c>
      <c r="AE43">
        <f>AVERAGE(S_plus!AL$2:'S_plus'!AL43)</f>
        <v>105.42477166312617</v>
      </c>
      <c r="AF43">
        <f>AVERAGE(S_plus!AM$2:'S_plus'!AM43)</f>
        <v>96.107225474097618</v>
      </c>
      <c r="AG43">
        <f>AVERAGE(S_plus!AN$2:'S_plus'!AN43)</f>
        <v>116.68125093030956</v>
      </c>
      <c r="AH43">
        <f>AVERAGE(S_plus!AO$2:'S_plus'!AO43)</f>
        <v>101.30221540197859</v>
      </c>
      <c r="AI43">
        <f>AVERAGE(S_plus!AP$2:'S_plus'!AP43)</f>
        <v>93.895991200276171</v>
      </c>
      <c r="AJ43">
        <f>AVERAGE(S_plus!AQ$2:'S_plus'!AQ43)</f>
        <v>98.941123910847608</v>
      </c>
      <c r="AK43">
        <f>AVERAGE(S_plus!AR$2:'S_plus'!AR43)</f>
        <v>101.29662492045715</v>
      </c>
      <c r="AL43">
        <f>AVERAGE(S_plus!AS$2:'S_plus'!AS43)</f>
        <v>112.17018298393573</v>
      </c>
      <c r="AM43">
        <f>AVERAGE(S_plus!AT$2:'S_plus'!AT43)</f>
        <v>94.28814517868571</v>
      </c>
      <c r="AN43">
        <f>AVERAGE(S_plus!AU$2:'S_plus'!AU43)</f>
        <v>95.63869836925717</v>
      </c>
      <c r="AO43">
        <f>AVERAGE(S_plus!AV$2:'S_plus'!AV43)</f>
        <v>98.418678180509517</v>
      </c>
      <c r="AP43">
        <f>AVERAGE(S_plus!AW$2:'S_plus'!AW43)</f>
        <v>112.69590915045235</v>
      </c>
      <c r="AQ43">
        <f>AVERAGE(S_plus!AX$2:'S_plus'!AX43)</f>
        <v>97.171174286083343</v>
      </c>
      <c r="AR43">
        <f>AVERAGE(S_plus!AY$2:'S_plus'!AY43)</f>
        <v>99.450327335676192</v>
      </c>
      <c r="AS43">
        <f>AVERAGE(S_plus!AZ$2:'S_plus'!AZ43)</f>
        <v>112.12507360495238</v>
      </c>
      <c r="AT43">
        <f>AVERAGE(S_plus!BA$2:'S_plus'!BA43)</f>
        <v>109.25903340604762</v>
      </c>
      <c r="AU43">
        <f>AVERAGE(S_plus!BB$2:'S_plus'!BB43)</f>
        <v>106.84052906793336</v>
      </c>
      <c r="AV43">
        <f>AVERAGE(S_plus!BC$2:'S_plus'!BC43)</f>
        <v>108.98954785929048</v>
      </c>
      <c r="AW43">
        <f>AVERAGE(S_plus!BD$2:'S_plus'!BD43)</f>
        <v>100.49780420729283</v>
      </c>
      <c r="AX43">
        <f>AVERAGE(S_plus!BE$2:'S_plus'!BE43)</f>
        <v>89.94864712201904</v>
      </c>
      <c r="AY43">
        <f>AVERAGE(S_plus!BF$2:'S_plus'!BF43)</f>
        <v>92.830833158133345</v>
      </c>
      <c r="AZ43">
        <f>AVERAGE(S_plus!BG$2:'S_plus'!BG43)</f>
        <v>93.103047835269038</v>
      </c>
      <c r="BA43">
        <f>AVERAGE(S_plus!BH$2:'S_plus'!BH43)</f>
        <v>99.415944615119059</v>
      </c>
      <c r="BB43">
        <f>AVERAGE(S_plus!BI$2:'S_plus'!BI43)</f>
        <v>107.72015521785715</v>
      </c>
      <c r="BC43">
        <f>AVERAGE(S_plus!BJ$2:'S_plus'!BJ43)</f>
        <v>105.98372292073806</v>
      </c>
      <c r="BD43">
        <f>AVERAGE(S_plus!BK$2:'S_plus'!BK43)</f>
        <v>96.036349395409516</v>
      </c>
      <c r="BE43">
        <f>AVERAGE(S_plus!BL$2:'S_plus'!BL43)</f>
        <v>92.895657379221447</v>
      </c>
      <c r="BF43">
        <f>AVERAGE(S_plus!BM$2:'S_plus'!BM43)</f>
        <v>95.238023845085721</v>
      </c>
      <c r="BG43">
        <f>AVERAGE(S_plus!BN$2:'S_plus'!BN43)</f>
        <v>101.25794249613571</v>
      </c>
      <c r="BH43">
        <f>AVERAGE(S_plus!BO$2:'S_plus'!BO43)</f>
        <v>86.601707115938112</v>
      </c>
      <c r="BI43">
        <f>AVERAGE(S_plus!BP$2:'S_plus'!BP43)</f>
        <v>93.084190171735713</v>
      </c>
      <c r="BJ43">
        <f>AVERAGE(S_plus!BQ$2:'S_plus'!BQ43)</f>
        <v>90.185118854485708</v>
      </c>
      <c r="BK43">
        <f>AVERAGE(S_plus!BR$2:'S_plus'!BR43)</f>
        <v>103.87375280277145</v>
      </c>
      <c r="BL43">
        <f>AVERAGE(S_plus!BS$2:'S_plus'!BS43)</f>
        <v>104.14500789114997</v>
      </c>
      <c r="BM43">
        <f>AVERAGE(S_plus!BT$2:'S_plus'!BT43)</f>
        <v>109.9663691308095</v>
      </c>
      <c r="BN43">
        <f>AVERAGE(S_plus!BU$2:'S_plus'!BU43)</f>
        <v>103.50047173027141</v>
      </c>
      <c r="BO43">
        <f>AVERAGE(S_plus!BV$2:'S_plus'!BV43)</f>
        <v>95.266767656985735</v>
      </c>
      <c r="BP43">
        <f>AVERAGE(S_plus!BW$2:'S_plus'!BW43)</f>
        <v>91.055082916190457</v>
      </c>
      <c r="BQ43">
        <f>AVERAGE(S_plus!BX$2:'S_plus'!BX43)</f>
        <v>87.96192818519286</v>
      </c>
      <c r="BR43">
        <f>AVERAGE(S_plus!BY$2:'S_plus'!BY43)</f>
        <v>104.6481683394524</v>
      </c>
      <c r="BS43">
        <f>AVERAGE(S_plus!BZ$2:'S_plus'!BZ43)</f>
        <v>95.121379982409508</v>
      </c>
      <c r="BT43">
        <f>AVERAGE(S_plus!CA$2:'S_plus'!CA43)</f>
        <v>99.938784892164293</v>
      </c>
      <c r="BU43">
        <f>AVERAGE(S_plus!CB$2:'S_plus'!CB43)</f>
        <v>102.83915247923092</v>
      </c>
      <c r="BV43">
        <f>AVERAGE(S_plus!CC$2:'S_plus'!CC43)</f>
        <v>96.094455093864298</v>
      </c>
      <c r="BW43">
        <f>AVERAGE(S_plus!CD$2:'S_plus'!CD43)</f>
        <v>99.587970022916664</v>
      </c>
      <c r="BX43">
        <f>AVERAGE(S_plus!CE$2:'S_plus'!CE43)</f>
        <v>103.60468959466665</v>
      </c>
      <c r="BY43">
        <f>AVERAGE(S_plus!CF$2:'S_plus'!CF43)</f>
        <v>92.441284788604776</v>
      </c>
      <c r="BZ43">
        <f>AVERAGE(S_plus!CG$2:'S_plus'!CG43)</f>
        <v>93.080959655399994</v>
      </c>
      <c r="CA43">
        <f>AVERAGE(S_plus!CH$2:'S_plus'!CH43)</f>
        <v>114.64309343019048</v>
      </c>
      <c r="CB43">
        <f>AVERAGE(S_plus!CI$2:'S_plus'!CI43)</f>
        <v>97.143011504776197</v>
      </c>
      <c r="CC43">
        <f>AVERAGE(S_plus!CJ$2:'S_plus'!CJ43)</f>
        <v>100.14279165825474</v>
      </c>
      <c r="CD43">
        <f>AVERAGE(S_plus!CK$2:'S_plus'!CK43)</f>
        <v>92.580185310026195</v>
      </c>
      <c r="CE43">
        <f>AVERAGE(S_plus!CL$2:'S_plus'!CL43)</f>
        <v>90.577949418338108</v>
      </c>
      <c r="CF43">
        <f>AVERAGE(S_plus!CM$2:'S_plus'!CM43)</f>
        <v>101.81961784804049</v>
      </c>
      <c r="CG43">
        <f>AVERAGE(S_plus!CN$2:'S_plus'!CN43)</f>
        <v>94.092988288552377</v>
      </c>
      <c r="CH43">
        <f>AVERAGE(S_plus!CO$2:'S_plus'!CO43)</f>
        <v>111.2247297577381</v>
      </c>
      <c r="CI43">
        <f>AVERAGE(S_plus!CP$2:'S_plus'!CP43)</f>
        <v>99.533535658228558</v>
      </c>
      <c r="CJ43">
        <f>AVERAGE(S_plus!CQ$2:'S_plus'!CQ43)</f>
        <v>104.76932581928098</v>
      </c>
      <c r="CK43">
        <f>AVERAGE(S_plus!CR$2:'S_plus'!CR43)</f>
        <v>101.87770964729046</v>
      </c>
      <c r="CL43">
        <f>AVERAGE(S_plus!CS$2:'S_plus'!CS43)</f>
        <v>106.13275989102381</v>
      </c>
      <c r="CM43">
        <f>AVERAGE(S_plus!CT$2:'S_plus'!CT43)</f>
        <v>106.2844374055381</v>
      </c>
      <c r="CN43">
        <f>AVERAGE(S_plus!CU$2:'S_plus'!CU43)</f>
        <v>101.50002890317617</v>
      </c>
      <c r="CO43">
        <f>AVERAGE(S_plus!CV$2:'S_plus'!CV43)</f>
        <v>95.670160512021425</v>
      </c>
      <c r="CP43">
        <f>AVERAGE(S_plus!CW$2:'S_plus'!CW43)</f>
        <v>108.41463274895474</v>
      </c>
      <c r="CQ43">
        <f>AVERAGE(S_plus!CX$2:'S_plus'!CX43)</f>
        <v>109.45421806753811</v>
      </c>
      <c r="CR43">
        <f>AVERAGE(S_plus!CY$2:'S_plus'!CY43)</f>
        <v>101.01484725551666</v>
      </c>
      <c r="CS43">
        <f>AVERAGE(S_plus!CZ$2:'S_plus'!CZ43)</f>
        <v>103.84679153886188</v>
      </c>
      <c r="CT43">
        <f>AVERAGE(S_plus!DA$2:'S_plus'!DA43)</f>
        <v>107.77406319021429</v>
      </c>
      <c r="CU43">
        <f>AVERAGE(S_plus!DB$2:'S_plus'!DB43)</f>
        <v>92.945633101900015</v>
      </c>
      <c r="CV43">
        <f>AVERAGE(S_plus!DC$2:'S_plus'!DC43)</f>
        <v>100.48132370977858</v>
      </c>
      <c r="CW43">
        <f>AVERAGE(S_plus!DD$2:'S_plus'!DD43)</f>
        <v>93.605626924273821</v>
      </c>
      <c r="CX43">
        <f>AVERAGE(S_plus!DE$2:'S_plus'!DE43)</f>
        <v>104.7296739744809</v>
      </c>
      <c r="CY43">
        <f>AVERAGE(S_plus!DF$2:'S_plus'!DF43)</f>
        <v>93.965206136188115</v>
      </c>
      <c r="CZ43">
        <f>AVERAGE(S_plus!DG$2:'S_plus'!DG43)</f>
        <v>93.392371442114268</v>
      </c>
      <c r="DA43">
        <f>AVERAGE(S_plus!DH$2:'S_plus'!DH43)</f>
        <v>101.29959575067144</v>
      </c>
    </row>
    <row r="44" spans="5:105" x14ac:dyDescent="0.25">
      <c r="E44">
        <f>E43+Asian!dt</f>
        <v>0.42000000000000021</v>
      </c>
      <c r="F44">
        <f>AVERAGE(S_plus!M$2:'S_plus'!M44)</f>
        <v>90.033906888148834</v>
      </c>
      <c r="G44">
        <f>AVERAGE(S_plus!N$2:'S_plus'!N44)</f>
        <v>95.192610410051145</v>
      </c>
      <c r="H44">
        <f>AVERAGE(S_plus!O$2:'S_plus'!O44)</f>
        <v>107.23521189731166</v>
      </c>
      <c r="I44">
        <f>AVERAGE(S_plus!P$2:'S_plus'!P44)</f>
        <v>100.67436352188837</v>
      </c>
      <c r="J44">
        <f>AVERAGE(S_plus!Q$2:'S_plus'!Q44)</f>
        <v>92.342965211609325</v>
      </c>
      <c r="K44">
        <f>AVERAGE(S_plus!R$2:'S_plus'!R44)</f>
        <v>98.314149966123281</v>
      </c>
      <c r="L44">
        <f>AVERAGE(S_plus!S$2:'S_plus'!S44)</f>
        <v>115.07100621990695</v>
      </c>
      <c r="M44">
        <f>AVERAGE(S_plus!T$2:'S_plus'!T44)</f>
        <v>87.238056886327882</v>
      </c>
      <c r="N44">
        <f>AVERAGE(S_plus!U$2:'S_plus'!U44)</f>
        <v>112.40188673053488</v>
      </c>
      <c r="O44">
        <f>AVERAGE(S_plus!V$2:'S_plus'!V44)</f>
        <v>99.882046607767421</v>
      </c>
      <c r="P44">
        <f>AVERAGE(S_plus!W$2:'S_plus'!W44)</f>
        <v>101.94765535212323</v>
      </c>
      <c r="Q44">
        <f>AVERAGE(S_plus!X$2:'S_plus'!X44)</f>
        <v>107.35851925255815</v>
      </c>
      <c r="R44">
        <f>AVERAGE(S_plus!Y$2:'S_plus'!Y44)</f>
        <v>94.716512959848842</v>
      </c>
      <c r="S44">
        <f>AVERAGE(S_plus!Z$2:'S_plus'!Z44)</f>
        <v>105.80327095921625</v>
      </c>
      <c r="T44">
        <f>AVERAGE(S_plus!AA$2:'S_plus'!AA44)</f>
        <v>105.27038797319069</v>
      </c>
      <c r="U44">
        <f>AVERAGE(S_plus!AB$2:'S_plus'!AB44)</f>
        <v>93.248762161397707</v>
      </c>
      <c r="V44">
        <f>AVERAGE(S_plus!AC$2:'S_plus'!AC44)</f>
        <v>92.245540098239573</v>
      </c>
      <c r="W44">
        <f>AVERAGE(S_plus!AD$2:'S_plus'!AD44)</f>
        <v>95.449269445404667</v>
      </c>
      <c r="X44">
        <f>AVERAGE(S_plus!AE$2:'S_plus'!AE44)</f>
        <v>114.97172083531395</v>
      </c>
      <c r="Y44">
        <f>AVERAGE(S_plus!AF$2:'S_plus'!AF44)</f>
        <v>96.8498473107</v>
      </c>
      <c r="Z44">
        <f>AVERAGE(S_plus!AG$2:'S_plus'!AG44)</f>
        <v>105.12652880857674</v>
      </c>
      <c r="AA44">
        <f>AVERAGE(S_plus!AH$2:'S_plus'!AH44)</f>
        <v>99.581905033690688</v>
      </c>
      <c r="AB44">
        <f>AVERAGE(S_plus!AI$2:'S_plus'!AI44)</f>
        <v>90.591840924016267</v>
      </c>
      <c r="AC44">
        <f>AVERAGE(S_plus!AJ$2:'S_plus'!AJ44)</f>
        <v>96.936525279786025</v>
      </c>
      <c r="AD44">
        <f>AVERAGE(S_plus!AK$2:'S_plus'!AK44)</f>
        <v>115.20429586213955</v>
      </c>
      <c r="AE44">
        <f>AVERAGE(S_plus!AL$2:'S_plus'!AL44)</f>
        <v>105.4226322534023</v>
      </c>
      <c r="AF44">
        <f>AVERAGE(S_plus!AM$2:'S_plus'!AM44)</f>
        <v>96.195224365413935</v>
      </c>
      <c r="AG44">
        <f>AVERAGE(S_plus!AN$2:'S_plus'!AN44)</f>
        <v>116.83764030679072</v>
      </c>
      <c r="AH44">
        <f>AVERAGE(S_plus!AO$2:'S_plus'!AO44)</f>
        <v>101.03856516914652</v>
      </c>
      <c r="AI44">
        <f>AVERAGE(S_plus!AP$2:'S_plus'!AP44)</f>
        <v>93.579607015006971</v>
      </c>
      <c r="AJ44">
        <f>AVERAGE(S_plus!AQ$2:'S_plus'!AQ44)</f>
        <v>98.982615763827894</v>
      </c>
      <c r="AK44">
        <f>AVERAGE(S_plus!AR$2:'S_plus'!AR44)</f>
        <v>101.2279532732372</v>
      </c>
      <c r="AL44">
        <f>AVERAGE(S_plus!AS$2:'S_plus'!AS44)</f>
        <v>112.31733527919303</v>
      </c>
      <c r="AM44">
        <f>AVERAGE(S_plus!AT$2:'S_plus'!AT44)</f>
        <v>94.254768647079075</v>
      </c>
      <c r="AN44">
        <f>AVERAGE(S_plus!AU$2:'S_plus'!AU44)</f>
        <v>95.612503506462815</v>
      </c>
      <c r="AO44">
        <f>AVERAGE(S_plus!AV$2:'S_plus'!AV44)</f>
        <v>98.571514909009295</v>
      </c>
      <c r="AP44">
        <f>AVERAGE(S_plus!AW$2:'S_plus'!AW44)</f>
        <v>112.84997782893021</v>
      </c>
      <c r="AQ44">
        <f>AVERAGE(S_plus!AX$2:'S_plus'!AX44)</f>
        <v>97.306234931244205</v>
      </c>
      <c r="AR44">
        <f>AVERAGE(S_plus!AY$2:'S_plus'!AY44)</f>
        <v>99.253595111362785</v>
      </c>
      <c r="AS44">
        <f>AVERAGE(S_plus!AZ$2:'S_plus'!AZ44)</f>
        <v>112.28912411830233</v>
      </c>
      <c r="AT44">
        <f>AVERAGE(S_plus!BA$2:'S_plus'!BA44)</f>
        <v>109.47876770448839</v>
      </c>
      <c r="AU44">
        <f>AVERAGE(S_plus!BB$2:'S_plus'!BB44)</f>
        <v>106.9092691516791</v>
      </c>
      <c r="AV44">
        <f>AVERAGE(S_plus!BC$2:'S_plus'!BC44)</f>
        <v>109.15402089621395</v>
      </c>
      <c r="AW44">
        <f>AVERAGE(S_plus!BD$2:'S_plus'!BD44)</f>
        <v>100.49204575591394</v>
      </c>
      <c r="AX44">
        <f>AVERAGE(S_plus!BE$2:'S_plus'!BE44)</f>
        <v>90.072916215500001</v>
      </c>
      <c r="AY44">
        <f>AVERAGE(S_plus!BF$2:'S_plus'!BF44)</f>
        <v>92.587823316041877</v>
      </c>
      <c r="AZ44">
        <f>AVERAGE(S_plus!BG$2:'S_plus'!BG44)</f>
        <v>93.046622835265111</v>
      </c>
      <c r="BA44">
        <f>AVERAGE(S_plus!BH$2:'S_plus'!BH44)</f>
        <v>99.303504652200004</v>
      </c>
      <c r="BB44">
        <f>AVERAGE(S_plus!BI$2:'S_plus'!BI44)</f>
        <v>107.60938377211629</v>
      </c>
      <c r="BC44">
        <f>AVERAGE(S_plus!BJ$2:'S_plus'!BJ44)</f>
        <v>105.98254101574415</v>
      </c>
      <c r="BD44">
        <f>AVERAGE(S_plus!BK$2:'S_plus'!BK44)</f>
        <v>95.959768643067434</v>
      </c>
      <c r="BE44">
        <f>AVERAGE(S_plus!BL$2:'S_plus'!BL44)</f>
        <v>92.869247337218624</v>
      </c>
      <c r="BF44">
        <f>AVERAGE(S_plus!BM$2:'S_plus'!BM44)</f>
        <v>95.308746756704664</v>
      </c>
      <c r="BG44">
        <f>AVERAGE(S_plus!BN$2:'S_plus'!BN44)</f>
        <v>101.25527635885348</v>
      </c>
      <c r="BH44">
        <f>AVERAGE(S_plus!BO$2:'S_plus'!BO44)</f>
        <v>86.590693491858161</v>
      </c>
      <c r="BI44">
        <f>AVERAGE(S_plus!BP$2:'S_plus'!BP44)</f>
        <v>92.844509016923254</v>
      </c>
      <c r="BJ44">
        <f>AVERAGE(S_plus!BQ$2:'S_plus'!BQ44)</f>
        <v>90.077739519939527</v>
      </c>
      <c r="BK44">
        <f>AVERAGE(S_plus!BR$2:'S_plus'!BR44)</f>
        <v>104.06354597380002</v>
      </c>
      <c r="BL44">
        <f>AVERAGE(S_plus!BS$2:'S_plus'!BS44)</f>
        <v>104.27634777409997</v>
      </c>
      <c r="BM44">
        <f>AVERAGE(S_plus!BT$2:'S_plus'!BT44)</f>
        <v>110.00913575218603</v>
      </c>
      <c r="BN44">
        <f>AVERAGE(S_plus!BU$2:'S_plus'!BU44)</f>
        <v>103.46174706724186</v>
      </c>
      <c r="BO44">
        <f>AVERAGE(S_plus!BV$2:'S_plus'!BV44)</f>
        <v>95.092328140844202</v>
      </c>
      <c r="BP44">
        <f>AVERAGE(S_plus!BW$2:'S_plus'!BW44)</f>
        <v>91.085214591953473</v>
      </c>
      <c r="BQ44">
        <f>AVERAGE(S_plus!BX$2:'S_plus'!BX44)</f>
        <v>87.732965769720934</v>
      </c>
      <c r="BR44">
        <f>AVERAGE(S_plus!BY$2:'S_plus'!BY44)</f>
        <v>104.6188758225349</v>
      </c>
      <c r="BS44">
        <f>AVERAGE(S_plus!BZ$2:'S_plus'!BZ44)</f>
        <v>95.362562974144168</v>
      </c>
      <c r="BT44">
        <f>AVERAGE(S_plus!CA$2:'S_plus'!CA44)</f>
        <v>100.14610232392792</v>
      </c>
      <c r="BU44">
        <f>AVERAGE(S_plus!CB$2:'S_plus'!CB44)</f>
        <v>102.63929859916507</v>
      </c>
      <c r="BV44">
        <f>AVERAGE(S_plus!CC$2:'S_plus'!CC44)</f>
        <v>96.018484163427928</v>
      </c>
      <c r="BW44">
        <f>AVERAGE(S_plus!CD$2:'S_plus'!CD44)</f>
        <v>99.682095298616275</v>
      </c>
      <c r="BX44">
        <f>AVERAGE(S_plus!CE$2:'S_plus'!CE44)</f>
        <v>103.48085468923719</v>
      </c>
      <c r="BY44">
        <f>AVERAGE(S_plus!CF$2:'S_plus'!CF44)</f>
        <v>92.370987172139536</v>
      </c>
      <c r="BZ44">
        <f>AVERAGE(S_plus!CG$2:'S_plus'!CG44)</f>
        <v>93.17789553853487</v>
      </c>
      <c r="CA44">
        <f>AVERAGE(S_plus!CH$2:'S_plus'!CH44)</f>
        <v>114.83251178481395</v>
      </c>
      <c r="CB44">
        <f>AVERAGE(S_plus!CI$2:'S_plus'!CI44)</f>
        <v>97.434766273897679</v>
      </c>
      <c r="CC44">
        <f>AVERAGE(S_plus!CJ$2:'S_plus'!CJ44)</f>
        <v>100.18149297062091</v>
      </c>
      <c r="CD44">
        <f>AVERAGE(S_plus!CK$2:'S_plus'!CK44)</f>
        <v>92.638605256230235</v>
      </c>
      <c r="CE44">
        <f>AVERAGE(S_plus!CL$2:'S_plus'!CL44)</f>
        <v>90.374019238097688</v>
      </c>
      <c r="CF44">
        <f>AVERAGE(S_plus!CM$2:'S_plus'!CM44)</f>
        <v>101.63293337911398</v>
      </c>
      <c r="CG44">
        <f>AVERAGE(S_plus!CN$2:'S_plus'!CN44)</f>
        <v>94.163388770474427</v>
      </c>
      <c r="CH44">
        <f>AVERAGE(S_plus!CO$2:'S_plus'!CO44)</f>
        <v>111.74818615493024</v>
      </c>
      <c r="CI44">
        <f>AVERAGE(S_plus!CP$2:'S_plus'!CP44)</f>
        <v>99.328721562051157</v>
      </c>
      <c r="CJ44">
        <f>AVERAGE(S_plus!CQ$2:'S_plus'!CQ44)</f>
        <v>104.79353051590235</v>
      </c>
      <c r="CK44">
        <f>AVERAGE(S_plus!CR$2:'S_plus'!CR44)</f>
        <v>101.95154758626043</v>
      </c>
      <c r="CL44">
        <f>AVERAGE(S_plus!CS$2:'S_plus'!CS44)</f>
        <v>106.08834545713952</v>
      </c>
      <c r="CM44">
        <f>AVERAGE(S_plus!CT$2:'S_plus'!CT44)</f>
        <v>106.31220909238604</v>
      </c>
      <c r="CN44">
        <f>AVERAGE(S_plus!CU$2:'S_plus'!CU44)</f>
        <v>101.65467970861393</v>
      </c>
      <c r="CO44">
        <f>AVERAGE(S_plus!CV$2:'S_plus'!CV44)</f>
        <v>95.468074352441846</v>
      </c>
      <c r="CP44">
        <f>AVERAGE(S_plus!CW$2:'S_plus'!CW44)</f>
        <v>108.45349544388604</v>
      </c>
      <c r="CQ44">
        <f>AVERAGE(S_plus!CX$2:'S_plus'!CX44)</f>
        <v>109.66131517643257</v>
      </c>
      <c r="CR44">
        <f>AVERAGE(S_plus!CY$2:'S_plus'!CY44)</f>
        <v>101.16624056320232</v>
      </c>
      <c r="CS44">
        <f>AVERAGE(S_plus!CZ$2:'S_plus'!CZ44)</f>
        <v>103.90196720981858</v>
      </c>
      <c r="CT44">
        <f>AVERAGE(S_plus!DA$2:'S_plus'!DA44)</f>
        <v>108.07362495153488</v>
      </c>
      <c r="CU44">
        <f>AVERAGE(S_plus!DB$2:'S_plus'!DB44)</f>
        <v>92.63087091788141</v>
      </c>
      <c r="CV44">
        <f>AVERAGE(S_plus!DC$2:'S_plus'!DC44)</f>
        <v>100.44313704080699</v>
      </c>
      <c r="CW44">
        <f>AVERAGE(S_plus!DD$2:'S_plus'!DD44)</f>
        <v>93.441449741820932</v>
      </c>
      <c r="CX44">
        <f>AVERAGE(S_plus!DE$2:'S_plus'!DE44)</f>
        <v>104.73470901205111</v>
      </c>
      <c r="CY44">
        <f>AVERAGE(S_plus!DF$2:'S_plus'!DF44)</f>
        <v>93.769984498541874</v>
      </c>
      <c r="CZ44">
        <f>AVERAGE(S_plus!DG$2:'S_plus'!DG44)</f>
        <v>93.26247260446975</v>
      </c>
      <c r="DA44">
        <f>AVERAGE(S_plus!DH$2:'S_plus'!DH44)</f>
        <v>101.3201161883535</v>
      </c>
    </row>
    <row r="45" spans="5:105" x14ac:dyDescent="0.25">
      <c r="E45">
        <f>E44+Asian!dt</f>
        <v>0.43000000000000022</v>
      </c>
      <c r="F45">
        <f>AVERAGE(S_plus!M$2:'S_plus'!M45)</f>
        <v>90.124676866863624</v>
      </c>
      <c r="G45">
        <f>AVERAGE(S_plus!N$2:'S_plus'!N45)</f>
        <v>94.995277169343169</v>
      </c>
      <c r="H45">
        <f>AVERAGE(S_plus!O$2:'S_plus'!O45)</f>
        <v>107.1455391866682</v>
      </c>
      <c r="I45">
        <f>AVERAGE(S_plus!P$2:'S_plus'!P45)</f>
        <v>100.67418599373181</v>
      </c>
      <c r="J45">
        <f>AVERAGE(S_plus!Q$2:'S_plus'!Q45)</f>
        <v>91.958401072347755</v>
      </c>
      <c r="K45">
        <f>AVERAGE(S_plus!R$2:'S_plus'!R45)</f>
        <v>98.178683676815936</v>
      </c>
      <c r="L45">
        <f>AVERAGE(S_plus!S$2:'S_plus'!S45)</f>
        <v>115.04979437613633</v>
      </c>
      <c r="M45">
        <f>AVERAGE(S_plus!T$2:'S_plus'!T45)</f>
        <v>86.898921982320431</v>
      </c>
      <c r="N45">
        <f>AVERAGE(S_plus!U$2:'S_plus'!U45)</f>
        <v>112.59708278415907</v>
      </c>
      <c r="O45">
        <f>AVERAGE(S_plus!V$2:'S_plus'!V45)</f>
        <v>99.949308517977258</v>
      </c>
      <c r="P45">
        <f>AVERAGE(S_plus!W$2:'S_plus'!W45)</f>
        <v>102.06914323493861</v>
      </c>
      <c r="Q45">
        <f>AVERAGE(S_plus!X$2:'S_plus'!X45)</f>
        <v>107.47456782359092</v>
      </c>
      <c r="R45">
        <f>AVERAGE(S_plus!Y$2:'S_plus'!Y45)</f>
        <v>94.53929767173409</v>
      </c>
      <c r="S45">
        <f>AVERAGE(S_plus!Z$2:'S_plus'!Z45)</f>
        <v>106.03229758896133</v>
      </c>
      <c r="T45">
        <f>AVERAGE(S_plus!AA$2:'S_plus'!AA45)</f>
        <v>105.27241230673181</v>
      </c>
      <c r="U45">
        <f>AVERAGE(S_plus!AB$2:'S_plus'!AB45)</f>
        <v>93.33220209219094</v>
      </c>
      <c r="V45">
        <f>AVERAGE(S_plus!AC$2:'S_plus'!AC45)</f>
        <v>92.158315843340944</v>
      </c>
      <c r="W45">
        <f>AVERAGE(S_plus!AD$2:'S_plus'!AD45)</f>
        <v>95.542987717825014</v>
      </c>
      <c r="X45">
        <f>AVERAGE(S_plus!AE$2:'S_plus'!AE45)</f>
        <v>115.40163720521591</v>
      </c>
      <c r="Y45">
        <f>AVERAGE(S_plus!AF$2:'S_plus'!AF45)</f>
        <v>97.005545517524993</v>
      </c>
      <c r="Z45">
        <f>AVERAGE(S_plus!AG$2:'S_plus'!AG45)</f>
        <v>104.99929776563636</v>
      </c>
      <c r="AA45">
        <f>AVERAGE(S_plus!AH$2:'S_plus'!AH45)</f>
        <v>99.661377264379539</v>
      </c>
      <c r="AB45">
        <f>AVERAGE(S_plus!AI$2:'S_plus'!AI45)</f>
        <v>90.339544169634081</v>
      </c>
      <c r="AC45">
        <f>AVERAGE(S_plus!AJ$2:'S_plus'!AJ45)</f>
        <v>96.708731451109074</v>
      </c>
      <c r="AD45">
        <f>AVERAGE(S_plus!AK$2:'S_plus'!AK45)</f>
        <v>115.19722042956819</v>
      </c>
      <c r="AE45">
        <f>AVERAGE(S_plus!AL$2:'S_plus'!AL45)</f>
        <v>105.39263366323407</v>
      </c>
      <c r="AF45">
        <f>AVERAGE(S_plus!AM$2:'S_plus'!AM45)</f>
        <v>96.250585110924987</v>
      </c>
      <c r="AG45">
        <f>AVERAGE(S_plus!AN$2:'S_plus'!AN45)</f>
        <v>116.93527504215912</v>
      </c>
      <c r="AH45">
        <f>AVERAGE(S_plus!AO$2:'S_plus'!AO45)</f>
        <v>100.78377069118638</v>
      </c>
      <c r="AI45">
        <f>AVERAGE(S_plus!AP$2:'S_plus'!AP45)</f>
        <v>93.245900389009094</v>
      </c>
      <c r="AJ45">
        <f>AVERAGE(S_plus!AQ$2:'S_plus'!AQ45)</f>
        <v>99.120346742081807</v>
      </c>
      <c r="AK45">
        <f>AVERAGE(S_plus!AR$2:'S_plus'!AR45)</f>
        <v>101.16975143225909</v>
      </c>
      <c r="AL45">
        <f>AVERAGE(S_plus!AS$2:'S_plus'!AS45)</f>
        <v>112.41946604330228</v>
      </c>
      <c r="AM45">
        <f>AVERAGE(S_plus!AT$2:'S_plus'!AT45)</f>
        <v>94.239992530372731</v>
      </c>
      <c r="AN45">
        <f>AVERAGE(S_plus!AU$2:'S_plus'!AU45)</f>
        <v>95.54143508738639</v>
      </c>
      <c r="AO45">
        <f>AVERAGE(S_plus!AV$2:'S_plus'!AV45)</f>
        <v>98.745131601281813</v>
      </c>
      <c r="AP45">
        <f>AVERAGE(S_plus!AW$2:'S_plus'!AW45)</f>
        <v>113.07231294577269</v>
      </c>
      <c r="AQ45">
        <f>AVERAGE(S_plus!AX$2:'S_plus'!AX45)</f>
        <v>97.469270088170475</v>
      </c>
      <c r="AR45">
        <f>AVERAGE(S_plus!AY$2:'S_plus'!AY45)</f>
        <v>99.08122490129999</v>
      </c>
      <c r="AS45">
        <f>AVERAGE(S_plus!AZ$2:'S_plus'!AZ45)</f>
        <v>112.5191774244318</v>
      </c>
      <c r="AT45">
        <f>AVERAGE(S_plus!BA$2:'S_plus'!BA45)</f>
        <v>109.71723263288639</v>
      </c>
      <c r="AU45">
        <f>AVERAGE(S_plus!BB$2:'S_plus'!BB45)</f>
        <v>106.91793236814092</v>
      </c>
      <c r="AV45">
        <f>AVERAGE(S_plus!BC$2:'S_plus'!BC45)</f>
        <v>109.29294556191363</v>
      </c>
      <c r="AW45">
        <f>AVERAGE(S_plus!BD$2:'S_plus'!BD45)</f>
        <v>100.52737862200682</v>
      </c>
      <c r="AX45">
        <f>AVERAGE(S_plus!BE$2:'S_plus'!BE45)</f>
        <v>90.195042007202275</v>
      </c>
      <c r="AY45">
        <f>AVERAGE(S_plus!BF$2:'S_plus'!BF45)</f>
        <v>92.393223669772752</v>
      </c>
      <c r="AZ45">
        <f>AVERAGE(S_plus!BG$2:'S_plus'!BG45)</f>
        <v>93.039379724824997</v>
      </c>
      <c r="BA45">
        <f>AVERAGE(S_plus!BH$2:'S_plus'!BH45)</f>
        <v>99.343211663968205</v>
      </c>
      <c r="BB45">
        <f>AVERAGE(S_plus!BI$2:'S_plus'!BI45)</f>
        <v>107.4979868211591</v>
      </c>
      <c r="BC45">
        <f>AVERAGE(S_plus!BJ$2:'S_plus'!BJ45)</f>
        <v>105.90597314106816</v>
      </c>
      <c r="BD45">
        <f>AVERAGE(S_plus!BK$2:'S_plus'!BK45)</f>
        <v>95.893628309588635</v>
      </c>
      <c r="BE45">
        <f>AVERAGE(S_plus!BL$2:'S_plus'!BL45)</f>
        <v>92.88774803523637</v>
      </c>
      <c r="BF45">
        <f>AVERAGE(S_plus!BM$2:'S_plus'!BM45)</f>
        <v>95.372102351706829</v>
      </c>
      <c r="BG45">
        <f>AVERAGE(S_plus!BN$2:'S_plus'!BN45)</f>
        <v>101.23576362226591</v>
      </c>
      <c r="BH45">
        <f>AVERAGE(S_plus!BO$2:'S_plus'!BO45)</f>
        <v>86.533051512477286</v>
      </c>
      <c r="BI45">
        <f>AVERAGE(S_plus!BP$2:'S_plus'!BP45)</f>
        <v>92.638919238875005</v>
      </c>
      <c r="BJ45">
        <f>AVERAGE(S_plus!BQ$2:'S_plus'!BQ45)</f>
        <v>89.976931544999985</v>
      </c>
      <c r="BK45">
        <f>AVERAGE(S_plus!BR$2:'S_plus'!BR45)</f>
        <v>104.21750275964547</v>
      </c>
      <c r="BL45">
        <f>AVERAGE(S_plus!BS$2:'S_plus'!BS45)</f>
        <v>104.41551765912041</v>
      </c>
      <c r="BM45">
        <f>AVERAGE(S_plus!BT$2:'S_plus'!BT45)</f>
        <v>110.10063091952271</v>
      </c>
      <c r="BN45">
        <f>AVERAGE(S_plus!BU$2:'S_plus'!BU45)</f>
        <v>103.46040849112272</v>
      </c>
      <c r="BO45">
        <f>AVERAGE(S_plus!BV$2:'S_plus'!BV45)</f>
        <v>94.940897931104558</v>
      </c>
      <c r="BP45">
        <f>AVERAGE(S_plus!BW$2:'S_plus'!BW45)</f>
        <v>91.156517494270446</v>
      </c>
      <c r="BQ45">
        <f>AVERAGE(S_plus!BX$2:'S_plus'!BX45)</f>
        <v>87.544821424404546</v>
      </c>
      <c r="BR45">
        <f>AVERAGE(S_plus!BY$2:'S_plus'!BY45)</f>
        <v>104.58445420888638</v>
      </c>
      <c r="BS45">
        <f>AVERAGE(S_plus!BZ$2:'S_plus'!BZ45)</f>
        <v>95.610394908799975</v>
      </c>
      <c r="BT45">
        <f>AVERAGE(S_plus!CA$2:'S_plus'!CA45)</f>
        <v>100.360818310475</v>
      </c>
      <c r="BU45">
        <f>AVERAGE(S_plus!CB$2:'S_plus'!CB45)</f>
        <v>102.53425849444542</v>
      </c>
      <c r="BV45">
        <f>AVERAGE(S_plus!CC$2:'S_plus'!CC45)</f>
        <v>95.890757739356843</v>
      </c>
      <c r="BW45">
        <f>AVERAGE(S_plus!CD$2:'S_plus'!CD45)</f>
        <v>99.760972397215895</v>
      </c>
      <c r="BX45">
        <f>AVERAGE(S_plus!CE$2:'S_plus'!CE45)</f>
        <v>103.32173619873407</v>
      </c>
      <c r="BY45">
        <f>AVERAGE(S_plus!CF$2:'S_plus'!CF45)</f>
        <v>92.353232641313639</v>
      </c>
      <c r="BZ45">
        <f>AVERAGE(S_plus!CG$2:'S_plus'!CG45)</f>
        <v>93.231870134018166</v>
      </c>
      <c r="CA45">
        <f>AVERAGE(S_plus!CH$2:'S_plus'!CH45)</f>
        <v>115.00803397486362</v>
      </c>
      <c r="CB45">
        <f>AVERAGE(S_plus!CI$2:'S_plus'!CI45)</f>
        <v>97.679944734900019</v>
      </c>
      <c r="CC45">
        <f>AVERAGE(S_plus!CJ$2:'S_plus'!CJ45)</f>
        <v>100.20270506733408</v>
      </c>
      <c r="CD45">
        <f>AVERAGE(S_plus!CK$2:'S_plus'!CK45)</f>
        <v>92.699636709740915</v>
      </c>
      <c r="CE45">
        <f>AVERAGE(S_plus!CL$2:'S_plus'!CL45)</f>
        <v>90.203182797020474</v>
      </c>
      <c r="CF45">
        <f>AVERAGE(S_plus!CM$2:'S_plus'!CM45)</f>
        <v>101.37649912806366</v>
      </c>
      <c r="CG45">
        <f>AVERAGE(S_plus!CN$2:'S_plus'!CN45)</f>
        <v>94.194749375136368</v>
      </c>
      <c r="CH45">
        <f>AVERAGE(S_plus!CO$2:'S_plus'!CO45)</f>
        <v>112.22073999613636</v>
      </c>
      <c r="CI45">
        <f>AVERAGE(S_plus!CP$2:'S_plus'!CP45)</f>
        <v>99.161602362595445</v>
      </c>
      <c r="CJ45">
        <f>AVERAGE(S_plus!CQ$2:'S_plus'!CQ45)</f>
        <v>104.89230550588185</v>
      </c>
      <c r="CK45">
        <f>AVERAGE(S_plus!CR$2:'S_plus'!CR45)</f>
        <v>102.01616189493633</v>
      </c>
      <c r="CL45">
        <f>AVERAGE(S_plus!CS$2:'S_plus'!CS45)</f>
        <v>105.97209763802272</v>
      </c>
      <c r="CM45">
        <f>AVERAGE(S_plus!CT$2:'S_plus'!CT45)</f>
        <v>106.38841428660453</v>
      </c>
      <c r="CN45">
        <f>AVERAGE(S_plus!CU$2:'S_plus'!CU45)</f>
        <v>101.77528368696362</v>
      </c>
      <c r="CO45">
        <f>AVERAGE(S_plus!CV$2:'S_plus'!CV45)</f>
        <v>95.267418022147709</v>
      </c>
      <c r="CP45">
        <f>AVERAGE(S_plus!CW$2:'S_plus'!CW45)</f>
        <v>108.58653313513864</v>
      </c>
      <c r="CQ45">
        <f>AVERAGE(S_plus!CX$2:'S_plus'!CX45)</f>
        <v>109.90561764996819</v>
      </c>
      <c r="CR45">
        <f>AVERAGE(S_plus!CY$2:'S_plus'!CY45)</f>
        <v>101.30222290165226</v>
      </c>
      <c r="CS45">
        <f>AVERAGE(S_plus!CZ$2:'S_plus'!CZ45)</f>
        <v>103.96602308104998</v>
      </c>
      <c r="CT45">
        <f>AVERAGE(S_plus!DA$2:'S_plus'!DA45)</f>
        <v>108.35637832720454</v>
      </c>
      <c r="CU45">
        <f>AVERAGE(S_plus!DB$2:'S_plus'!DB45)</f>
        <v>92.33321130740002</v>
      </c>
      <c r="CV45">
        <f>AVERAGE(S_plus!DC$2:'S_plus'!DC45)</f>
        <v>100.44543782099321</v>
      </c>
      <c r="CW45">
        <f>AVERAGE(S_plus!DD$2:'S_plus'!DD45)</f>
        <v>93.27437626410682</v>
      </c>
      <c r="CX45">
        <f>AVERAGE(S_plus!DE$2:'S_plus'!DE45)</f>
        <v>104.7024857435954</v>
      </c>
      <c r="CY45">
        <f>AVERAGE(S_plus!DF$2:'S_plus'!DF45)</f>
        <v>93.537698720911379</v>
      </c>
      <c r="CZ45">
        <f>AVERAGE(S_plus!DG$2:'S_plus'!DG45)</f>
        <v>93.142368600165895</v>
      </c>
      <c r="DA45">
        <f>AVERAGE(S_plus!DH$2:'S_plus'!DH45)</f>
        <v>101.28819266299547</v>
      </c>
    </row>
    <row r="46" spans="5:105" x14ac:dyDescent="0.25">
      <c r="E46">
        <f>E45+Asian!dt</f>
        <v>0.44000000000000022</v>
      </c>
      <c r="F46">
        <f>AVERAGE(S_plus!M$2:'S_plus'!M46)</f>
        <v>90.207652035697777</v>
      </c>
      <c r="G46">
        <f>AVERAGE(S_plus!N$2:'S_plus'!N46)</f>
        <v>94.794032540655536</v>
      </c>
      <c r="H46">
        <f>AVERAGE(S_plus!O$2:'S_plus'!O46)</f>
        <v>107.06968865029779</v>
      </c>
      <c r="I46">
        <f>AVERAGE(S_plus!P$2:'S_plus'!P46)</f>
        <v>100.57457518761554</v>
      </c>
      <c r="J46">
        <f>AVERAGE(S_plus!Q$2:'S_plus'!Q46)</f>
        <v>91.615669460737806</v>
      </c>
      <c r="K46">
        <f>AVERAGE(S_plus!R$2:'S_plus'!R46)</f>
        <v>98.049148335248901</v>
      </c>
      <c r="L46">
        <f>AVERAGE(S_plus!S$2:'S_plus'!S46)</f>
        <v>115.12231807113331</v>
      </c>
      <c r="M46">
        <f>AVERAGE(S_plus!T$2:'S_plus'!T46)</f>
        <v>86.592450060526645</v>
      </c>
      <c r="N46">
        <f>AVERAGE(S_plus!U$2:'S_plus'!U46)</f>
        <v>112.74903202926664</v>
      </c>
      <c r="O46">
        <f>AVERAGE(S_plus!V$2:'S_plus'!V46)</f>
        <v>100.04032848506665</v>
      </c>
      <c r="P46">
        <f>AVERAGE(S_plus!W$2:'S_plus'!W46)</f>
        <v>102.13303727220664</v>
      </c>
      <c r="Q46">
        <f>AVERAGE(S_plus!X$2:'S_plus'!X46)</f>
        <v>107.64888523513335</v>
      </c>
      <c r="R46">
        <f>AVERAGE(S_plus!Y$2:'S_plus'!Y46)</f>
        <v>94.359542348508896</v>
      </c>
      <c r="S46">
        <f>AVERAGE(S_plus!Z$2:'S_plus'!Z46)</f>
        <v>106.2230096493622</v>
      </c>
      <c r="T46">
        <f>AVERAGE(S_plus!AA$2:'S_plus'!AA46)</f>
        <v>105.2204543024711</v>
      </c>
      <c r="U46">
        <f>AVERAGE(S_plus!AB$2:'S_plus'!AB46)</f>
        <v>93.396759173273367</v>
      </c>
      <c r="V46">
        <f>AVERAGE(S_plus!AC$2:'S_plus'!AC46)</f>
        <v>92.033339711262272</v>
      </c>
      <c r="W46">
        <f>AVERAGE(S_plus!AD$2:'S_plus'!AD46)</f>
        <v>95.674401237251132</v>
      </c>
      <c r="X46">
        <f>AVERAGE(S_plus!AE$2:'S_plus'!AE46)</f>
        <v>115.91544785467777</v>
      </c>
      <c r="Y46">
        <f>AVERAGE(S_plus!AF$2:'S_plus'!AF46)</f>
        <v>97.201653150868879</v>
      </c>
      <c r="Z46">
        <f>AVERAGE(S_plus!AG$2:'S_plus'!AG46)</f>
        <v>104.84056442377332</v>
      </c>
      <c r="AA46">
        <f>AVERAGE(S_plus!AH$2:'S_plus'!AH46)</f>
        <v>99.804884751437768</v>
      </c>
      <c r="AB46">
        <f>AVERAGE(S_plus!AI$2:'S_plus'!AI46)</f>
        <v>90.076314747802215</v>
      </c>
      <c r="AC46">
        <f>AVERAGE(S_plus!AJ$2:'S_plus'!AJ46)</f>
        <v>96.485037735264427</v>
      </c>
      <c r="AD46">
        <f>AVERAGE(S_plus!AK$2:'S_plus'!AK46)</f>
        <v>115.23180741393335</v>
      </c>
      <c r="AE46">
        <f>AVERAGE(S_plus!AL$2:'S_plus'!AL46)</f>
        <v>105.38768425789553</v>
      </c>
      <c r="AF46">
        <f>AVERAGE(S_plus!AM$2:'S_plus'!AM46)</f>
        <v>96.261007422215556</v>
      </c>
      <c r="AG46">
        <f>AVERAGE(S_plus!AN$2:'S_plus'!AN46)</f>
        <v>117.02546276448892</v>
      </c>
      <c r="AH46">
        <f>AVERAGE(S_plus!AO$2:'S_plus'!AO46)</f>
        <v>100.55375313202224</v>
      </c>
      <c r="AI46">
        <f>AVERAGE(S_plus!AP$2:'S_plus'!AP46)</f>
        <v>92.923692673435554</v>
      </c>
      <c r="AJ46">
        <f>AVERAGE(S_plus!AQ$2:'S_plus'!AQ46)</f>
        <v>99.24576347081333</v>
      </c>
      <c r="AK46">
        <f>AVERAGE(S_plus!AR$2:'S_plus'!AR46)</f>
        <v>101.15399383594223</v>
      </c>
      <c r="AL46">
        <f>AVERAGE(S_plus!AS$2:'S_plus'!AS46)</f>
        <v>112.47606780580668</v>
      </c>
      <c r="AM46">
        <f>AVERAGE(S_plus!AT$2:'S_plus'!AT46)</f>
        <v>94.17735730127778</v>
      </c>
      <c r="AN46">
        <f>AVERAGE(S_plus!AU$2:'S_plus'!AU46)</f>
        <v>95.55189707878003</v>
      </c>
      <c r="AO46">
        <f>AVERAGE(S_plus!AV$2:'S_plus'!AV46)</f>
        <v>98.925624953031104</v>
      </c>
      <c r="AP46">
        <f>AVERAGE(S_plus!AW$2:'S_plus'!AW46)</f>
        <v>113.28661661095553</v>
      </c>
      <c r="AQ46">
        <f>AVERAGE(S_plus!AX$2:'S_plus'!AX46)</f>
        <v>97.565367623477812</v>
      </c>
      <c r="AR46">
        <f>AVERAGE(S_plus!AY$2:'S_plus'!AY46)</f>
        <v>98.875247024420005</v>
      </c>
      <c r="AS46">
        <f>AVERAGE(S_plus!AZ$2:'S_plus'!AZ46)</f>
        <v>112.68556655924444</v>
      </c>
      <c r="AT46">
        <f>AVERAGE(S_plus!BA$2:'S_plus'!BA46)</f>
        <v>110.03261763884447</v>
      </c>
      <c r="AU46">
        <f>AVERAGE(S_plus!BB$2:'S_plus'!BB46)</f>
        <v>106.97168274960447</v>
      </c>
      <c r="AV46">
        <f>AVERAGE(S_plus!BC$2:'S_plus'!BC46)</f>
        <v>109.44099007140444</v>
      </c>
      <c r="AW46">
        <f>AVERAGE(S_plus!BD$2:'S_plus'!BD46)</f>
        <v>100.54882787427333</v>
      </c>
      <c r="AX46">
        <f>AVERAGE(S_plus!BE$2:'S_plus'!BE46)</f>
        <v>90.364697450533342</v>
      </c>
      <c r="AY46">
        <f>AVERAGE(S_plus!BF$2:'S_plus'!BF46)</f>
        <v>92.162139685480014</v>
      </c>
      <c r="AZ46">
        <f>AVERAGE(S_plus!BG$2:'S_plus'!BG46)</f>
        <v>93.038398111922234</v>
      </c>
      <c r="BA46">
        <f>AVERAGE(S_plus!BH$2:'S_plus'!BH46)</f>
        <v>99.380812317568896</v>
      </c>
      <c r="BB46">
        <f>AVERAGE(S_plus!BI$2:'S_plus'!BI46)</f>
        <v>107.37574391073333</v>
      </c>
      <c r="BC46">
        <f>AVERAGE(S_plus!BJ$2:'S_plus'!BJ46)</f>
        <v>105.82207972924441</v>
      </c>
      <c r="BD46">
        <f>AVERAGE(S_plus!BK$2:'S_plus'!BK46)</f>
        <v>95.878323600786658</v>
      </c>
      <c r="BE46">
        <f>AVERAGE(S_plus!BL$2:'S_plus'!BL46)</f>
        <v>92.854152287011132</v>
      </c>
      <c r="BF46">
        <f>AVERAGE(S_plus!BM$2:'S_plus'!BM46)</f>
        <v>95.390485134897787</v>
      </c>
      <c r="BG46">
        <f>AVERAGE(S_plus!BN$2:'S_plus'!BN46)</f>
        <v>101.28612825179333</v>
      </c>
      <c r="BH46">
        <f>AVERAGE(S_plus!BO$2:'S_plus'!BO46)</f>
        <v>86.493302611695583</v>
      </c>
      <c r="BI46">
        <f>AVERAGE(S_plus!BP$2:'S_plus'!BP46)</f>
        <v>92.38511232841779</v>
      </c>
      <c r="BJ46">
        <f>AVERAGE(S_plus!BQ$2:'S_plus'!BQ46)</f>
        <v>89.888914874559987</v>
      </c>
      <c r="BK46">
        <f>AVERAGE(S_plus!BR$2:'S_plus'!BR46)</f>
        <v>104.37964716176445</v>
      </c>
      <c r="BL46">
        <f>AVERAGE(S_plus!BS$2:'S_plus'!BS46)</f>
        <v>104.51895477840662</v>
      </c>
      <c r="BM46">
        <f>AVERAGE(S_plus!BT$2:'S_plus'!BT46)</f>
        <v>110.19887599835555</v>
      </c>
      <c r="BN46">
        <f>AVERAGE(S_plus!BU$2:'S_plus'!BU46)</f>
        <v>103.45875368040888</v>
      </c>
      <c r="BO46">
        <f>AVERAGE(S_plus!BV$2:'S_plus'!BV46)</f>
        <v>94.81057388465112</v>
      </c>
      <c r="BP46">
        <f>AVERAGE(S_plus!BW$2:'S_plus'!BW46)</f>
        <v>91.221908441617757</v>
      </c>
      <c r="BQ46">
        <f>AVERAGE(S_plus!BX$2:'S_plus'!BX46)</f>
        <v>87.400218397688889</v>
      </c>
      <c r="BR46">
        <f>AVERAGE(S_plus!BY$2:'S_plus'!BY46)</f>
        <v>104.52537886904447</v>
      </c>
      <c r="BS46">
        <f>AVERAGE(S_plus!BZ$2:'S_plus'!BZ46)</f>
        <v>95.877277479693319</v>
      </c>
      <c r="BT46">
        <f>AVERAGE(S_plus!CA$2:'S_plus'!CA46)</f>
        <v>100.61739750668666</v>
      </c>
      <c r="BU46">
        <f>AVERAGE(S_plus!CB$2:'S_plus'!CB46)</f>
        <v>102.39303534359331</v>
      </c>
      <c r="BV46">
        <f>AVERAGE(S_plus!CC$2:'S_plus'!CC46)</f>
        <v>95.709980694693371</v>
      </c>
      <c r="BW46">
        <f>AVERAGE(S_plus!CD$2:'S_plus'!CD46)</f>
        <v>99.759904197608876</v>
      </c>
      <c r="BX46">
        <f>AVERAGE(S_plus!CE$2:'S_plus'!CE46)</f>
        <v>103.11819593072443</v>
      </c>
      <c r="BY46">
        <f>AVERAGE(S_plus!CF$2:'S_plus'!CF46)</f>
        <v>92.357064544340005</v>
      </c>
      <c r="BZ46">
        <f>AVERAGE(S_plus!CG$2:'S_plus'!CG46)</f>
        <v>93.29752165410666</v>
      </c>
      <c r="CA46">
        <f>AVERAGE(S_plus!CH$2:'S_plus'!CH46)</f>
        <v>115.10628166619998</v>
      </c>
      <c r="CB46">
        <f>AVERAGE(S_plus!CI$2:'S_plus'!CI46)</f>
        <v>97.950869139680009</v>
      </c>
      <c r="CC46">
        <f>AVERAGE(S_plus!CJ$2:'S_plus'!CJ46)</f>
        <v>100.21647216439331</v>
      </c>
      <c r="CD46">
        <f>AVERAGE(S_plus!CK$2:'S_plus'!CK46)</f>
        <v>92.737416126260015</v>
      </c>
      <c r="CE46">
        <f>AVERAGE(S_plus!CL$2:'S_plus'!CL46)</f>
        <v>90.02459588024891</v>
      </c>
      <c r="CF46">
        <f>AVERAGE(S_plus!CM$2:'S_plus'!CM46)</f>
        <v>101.17975209829559</v>
      </c>
      <c r="CG46">
        <f>AVERAGE(S_plus!CN$2:'S_plus'!CN46)</f>
        <v>94.266760657346666</v>
      </c>
      <c r="CH46">
        <f>AVERAGE(S_plus!CO$2:'S_plus'!CO46)</f>
        <v>112.74143603426667</v>
      </c>
      <c r="CI46">
        <f>AVERAGE(S_plus!CP$2:'S_plus'!CP46)</f>
        <v>98.902530745626663</v>
      </c>
      <c r="CJ46">
        <f>AVERAGE(S_plus!CQ$2:'S_plus'!CQ46)</f>
        <v>104.92152391050669</v>
      </c>
      <c r="CK46">
        <f>AVERAGE(S_plus!CR$2:'S_plus'!CR46)</f>
        <v>101.96771065542885</v>
      </c>
      <c r="CL46">
        <f>AVERAGE(S_plus!CS$2:'S_plus'!CS46)</f>
        <v>105.88222445471111</v>
      </c>
      <c r="CM46">
        <f>AVERAGE(S_plus!CT$2:'S_plus'!CT46)</f>
        <v>106.49549348516886</v>
      </c>
      <c r="CN46">
        <f>AVERAGE(S_plus!CU$2:'S_plus'!CU46)</f>
        <v>101.8715070723422</v>
      </c>
      <c r="CO46">
        <f>AVERAGE(S_plus!CV$2:'S_plus'!CV46)</f>
        <v>95.118289584117761</v>
      </c>
      <c r="CP46">
        <f>AVERAGE(S_plus!CW$2:'S_plus'!CW46)</f>
        <v>108.76855861742445</v>
      </c>
      <c r="CQ46">
        <f>AVERAGE(S_plus!CX$2:'S_plus'!CX46)</f>
        <v>110.21390771712446</v>
      </c>
      <c r="CR46">
        <f>AVERAGE(S_plus!CY$2:'S_plus'!CY46)</f>
        <v>101.40615703188222</v>
      </c>
      <c r="CS46">
        <f>AVERAGE(S_plus!CZ$2:'S_plus'!CZ46)</f>
        <v>104.06478254107111</v>
      </c>
      <c r="CT46">
        <f>AVERAGE(S_plus!DA$2:'S_plus'!DA46)</f>
        <v>108.62087240059999</v>
      </c>
      <c r="CU46">
        <f>AVERAGE(S_plus!DB$2:'S_plus'!DB46)</f>
        <v>92.034418559342242</v>
      </c>
      <c r="CV46">
        <f>AVERAGE(S_plus!DC$2:'S_plus'!DC46)</f>
        <v>100.43958008828226</v>
      </c>
      <c r="CW46">
        <f>AVERAGE(S_plus!DD$2:'S_plus'!DD46)</f>
        <v>93.122515251657774</v>
      </c>
      <c r="CX46">
        <f>AVERAGE(S_plus!DE$2:'S_plus'!DE46)</f>
        <v>104.75266724502661</v>
      </c>
      <c r="CY46">
        <f>AVERAGE(S_plus!DF$2:'S_plus'!DF46)</f>
        <v>93.279684337288913</v>
      </c>
      <c r="CZ46">
        <f>AVERAGE(S_plus!DG$2:'S_plus'!DG46)</f>
        <v>93.050509724551091</v>
      </c>
      <c r="DA46">
        <f>AVERAGE(S_plus!DH$2:'S_plus'!DH46)</f>
        <v>101.27536659008446</v>
      </c>
    </row>
    <row r="47" spans="5:105" x14ac:dyDescent="0.25">
      <c r="E47">
        <f>E46+Asian!dt</f>
        <v>0.45000000000000023</v>
      </c>
      <c r="F47">
        <f>AVERAGE(S_plus!M$2:'S_plus'!M47)</f>
        <v>90.251950491189135</v>
      </c>
      <c r="G47">
        <f>AVERAGE(S_plus!N$2:'S_plus'!N47)</f>
        <v>94.569138202780422</v>
      </c>
      <c r="H47">
        <f>AVERAGE(S_plus!O$2:'S_plus'!O47)</f>
        <v>106.95356195218264</v>
      </c>
      <c r="I47">
        <f>AVERAGE(S_plus!P$2:'S_plus'!P47)</f>
        <v>100.44577778112389</v>
      </c>
      <c r="J47">
        <f>AVERAGE(S_plus!Q$2:'S_plus'!Q47)</f>
        <v>91.349167613686973</v>
      </c>
      <c r="K47">
        <f>AVERAGE(S_plus!R$2:'S_plus'!R47)</f>
        <v>97.906274305873922</v>
      </c>
      <c r="L47">
        <f>AVERAGE(S_plus!S$2:'S_plus'!S47)</f>
        <v>115.26200943515214</v>
      </c>
      <c r="M47">
        <f>AVERAGE(S_plus!T$2:'S_plus'!T47)</f>
        <v>86.305228157419549</v>
      </c>
      <c r="N47">
        <f>AVERAGE(S_plus!U$2:'S_plus'!U47)</f>
        <v>112.84412794476086</v>
      </c>
      <c r="O47">
        <f>AVERAGE(S_plus!V$2:'S_plus'!V47)</f>
        <v>100.15751247352172</v>
      </c>
      <c r="P47">
        <f>AVERAGE(S_plus!W$2:'S_plus'!W47)</f>
        <v>102.25886748298475</v>
      </c>
      <c r="Q47">
        <f>AVERAGE(S_plus!X$2:'S_plus'!X47)</f>
        <v>107.92630231989132</v>
      </c>
      <c r="R47">
        <f>AVERAGE(S_plus!Y$2:'S_plus'!Y47)</f>
        <v>94.220160275821755</v>
      </c>
      <c r="S47">
        <f>AVERAGE(S_plus!Z$2:'S_plus'!Z47)</f>
        <v>106.39898042848476</v>
      </c>
      <c r="T47">
        <f>AVERAGE(S_plus!AA$2:'S_plus'!AA47)</f>
        <v>105.19734668893912</v>
      </c>
      <c r="U47">
        <f>AVERAGE(S_plus!AB$2:'S_plus'!AB47)</f>
        <v>93.494329836826125</v>
      </c>
      <c r="V47">
        <f>AVERAGE(S_plus!AC$2:'S_plus'!AC47)</f>
        <v>91.906709926134823</v>
      </c>
      <c r="W47">
        <f>AVERAGE(S_plus!AD$2:'S_plus'!AD47)</f>
        <v>95.752774797858706</v>
      </c>
      <c r="X47">
        <f>AVERAGE(S_plus!AE$2:'S_plus'!AE47)</f>
        <v>116.31283439627173</v>
      </c>
      <c r="Y47">
        <f>AVERAGE(S_plus!AF$2:'S_plus'!AF47)</f>
        <v>97.456385857241301</v>
      </c>
      <c r="Z47">
        <f>AVERAGE(S_plus!AG$2:'S_plus'!AG47)</f>
        <v>104.69090478312607</v>
      </c>
      <c r="AA47">
        <f>AVERAGE(S_plus!AH$2:'S_plus'!AH47)</f>
        <v>99.943184667145644</v>
      </c>
      <c r="AB47">
        <f>AVERAGE(S_plus!AI$2:'S_plus'!AI47)</f>
        <v>89.856156202280431</v>
      </c>
      <c r="AC47">
        <f>AVERAGE(S_plus!AJ$2:'S_plus'!AJ47)</f>
        <v>96.270371846869551</v>
      </c>
      <c r="AD47">
        <f>AVERAGE(S_plus!AK$2:'S_plus'!AK47)</f>
        <v>115.24824746636958</v>
      </c>
      <c r="AE47">
        <f>AVERAGE(S_plus!AL$2:'S_plus'!AL47)</f>
        <v>105.44002820170215</v>
      </c>
      <c r="AF47">
        <f>AVERAGE(S_plus!AM$2:'S_plus'!AM47)</f>
        <v>96.327139412560868</v>
      </c>
      <c r="AG47">
        <f>AVERAGE(S_plus!AN$2:'S_plus'!AN47)</f>
        <v>117.0241498149348</v>
      </c>
      <c r="AH47">
        <f>AVERAGE(S_plus!AO$2:'S_plus'!AO47)</f>
        <v>100.34561546874131</v>
      </c>
      <c r="AI47">
        <f>AVERAGE(S_plus!AP$2:'S_plus'!AP47)</f>
        <v>92.665173432106513</v>
      </c>
      <c r="AJ47">
        <f>AVERAGE(S_plus!AQ$2:'S_plus'!AQ47)</f>
        <v>99.37271358981738</v>
      </c>
      <c r="AK47">
        <f>AVERAGE(S_plus!AR$2:'S_plus'!AR47)</f>
        <v>101.15302713724783</v>
      </c>
      <c r="AL47">
        <f>AVERAGE(S_plus!AS$2:'S_plus'!AS47)</f>
        <v>112.58992982048478</v>
      </c>
      <c r="AM47">
        <f>AVERAGE(S_plus!AT$2:'S_plus'!AT47)</f>
        <v>94.114778585843482</v>
      </c>
      <c r="AN47">
        <f>AVERAGE(S_plus!AU$2:'S_plus'!AU47)</f>
        <v>95.562981771302205</v>
      </c>
      <c r="AO47">
        <f>AVERAGE(S_plus!AV$2:'S_plus'!AV47)</f>
        <v>99.187316895465202</v>
      </c>
      <c r="AP47">
        <f>AVERAGE(S_plus!AW$2:'S_plus'!AW47)</f>
        <v>113.48626388015215</v>
      </c>
      <c r="AQ47">
        <f>AVERAGE(S_plus!AX$2:'S_plus'!AX47)</f>
        <v>97.714334002510896</v>
      </c>
      <c r="AR47">
        <f>AVERAGE(S_plus!AY$2:'S_plus'!AY47)</f>
        <v>98.622020083506513</v>
      </c>
      <c r="AS47">
        <f>AVERAGE(S_plus!AZ$2:'S_plus'!AZ47)</f>
        <v>112.87254035232608</v>
      </c>
      <c r="AT47">
        <f>AVERAGE(S_plus!BA$2:'S_plus'!BA47)</f>
        <v>110.25317145452175</v>
      </c>
      <c r="AU47">
        <f>AVERAGE(S_plus!BB$2:'S_plus'!BB47)</f>
        <v>107.00220588022175</v>
      </c>
      <c r="AV47">
        <f>AVERAGE(S_plus!BC$2:'S_plus'!BC47)</f>
        <v>109.59197504374347</v>
      </c>
      <c r="AW47">
        <f>AVERAGE(S_plus!BD$2:'S_plus'!BD47)</f>
        <v>100.64576351670217</v>
      </c>
      <c r="AX47">
        <f>AVERAGE(S_plus!BE$2:'S_plus'!BE47)</f>
        <v>90.56450127247173</v>
      </c>
      <c r="AY47">
        <f>AVERAGE(S_plus!BF$2:'S_plus'!BF47)</f>
        <v>91.936427144580449</v>
      </c>
      <c r="AZ47">
        <f>AVERAGE(S_plus!BG$2:'S_plus'!BG47)</f>
        <v>92.989956283552189</v>
      </c>
      <c r="BA47">
        <f>AVERAGE(S_plus!BH$2:'S_plus'!BH47)</f>
        <v>99.406627048426103</v>
      </c>
      <c r="BB47">
        <f>AVERAGE(S_plus!BI$2:'S_plus'!BI47)</f>
        <v>107.3080157847174</v>
      </c>
      <c r="BC47">
        <f>AVERAGE(S_plus!BJ$2:'S_plus'!BJ47)</f>
        <v>105.6697098824304</v>
      </c>
      <c r="BD47">
        <f>AVERAGE(S_plus!BK$2:'S_plus'!BK47)</f>
        <v>95.790482116167382</v>
      </c>
      <c r="BE47">
        <f>AVERAGE(S_plus!BL$2:'S_plus'!BL47)</f>
        <v>92.803809485806539</v>
      </c>
      <c r="BF47">
        <f>AVERAGE(S_plus!BM$2:'S_plus'!BM47)</f>
        <v>95.370250444176094</v>
      </c>
      <c r="BG47">
        <f>AVERAGE(S_plus!BN$2:'S_plus'!BN47)</f>
        <v>101.29541051071085</v>
      </c>
      <c r="BH47">
        <f>AVERAGE(S_plus!BO$2:'S_plus'!BO47)</f>
        <v>86.407306282167411</v>
      </c>
      <c r="BI47">
        <f>AVERAGE(S_plus!BP$2:'S_plus'!BP47)</f>
        <v>92.166360006095658</v>
      </c>
      <c r="BJ47">
        <f>AVERAGE(S_plus!BQ$2:'S_plus'!BQ47)</f>
        <v>89.781031407299992</v>
      </c>
      <c r="BK47">
        <f>AVERAGE(S_plus!BR$2:'S_plus'!BR47)</f>
        <v>104.56938317040002</v>
      </c>
      <c r="BL47">
        <f>AVERAGE(S_plus!BS$2:'S_plus'!BS47)</f>
        <v>104.60676289150649</v>
      </c>
      <c r="BM47">
        <f>AVERAGE(S_plus!BT$2:'S_plus'!BT47)</f>
        <v>110.31092796941303</v>
      </c>
      <c r="BN47">
        <f>AVERAGE(S_plus!BU$2:'S_plus'!BU47)</f>
        <v>103.47217994883478</v>
      </c>
      <c r="BO47">
        <f>AVERAGE(S_plus!BV$2:'S_plus'!BV47)</f>
        <v>94.642301688365222</v>
      </c>
      <c r="BP47">
        <f>AVERAGE(S_plus!BW$2:'S_plus'!BW47)</f>
        <v>91.256440660023898</v>
      </c>
      <c r="BQ47">
        <f>AVERAGE(S_plus!BX$2:'S_plus'!BX47)</f>
        <v>87.246402209182605</v>
      </c>
      <c r="BR47">
        <f>AVERAGE(S_plus!BY$2:'S_plus'!BY47)</f>
        <v>104.40128136204785</v>
      </c>
      <c r="BS47">
        <f>AVERAGE(S_plus!BZ$2:'S_plus'!BZ47)</f>
        <v>96.061544738917377</v>
      </c>
      <c r="BT47">
        <f>AVERAGE(S_plus!CA$2:'S_plus'!CA47)</f>
        <v>100.82558802180216</v>
      </c>
      <c r="BU47">
        <f>AVERAGE(S_plus!CB$2:'S_plus'!CB47)</f>
        <v>102.25550730972606</v>
      </c>
      <c r="BV47">
        <f>AVERAGE(S_plus!CC$2:'S_plus'!CC47)</f>
        <v>95.541004489939155</v>
      </c>
      <c r="BW47">
        <f>AVERAGE(S_plus!CD$2:'S_plus'!CD47)</f>
        <v>99.726637586067383</v>
      </c>
      <c r="BX47">
        <f>AVERAGE(S_plus!CE$2:'S_plus'!CE47)</f>
        <v>102.90920544621954</v>
      </c>
      <c r="BY47">
        <f>AVERAGE(S_plus!CF$2:'S_plus'!CF47)</f>
        <v>92.368549205182617</v>
      </c>
      <c r="BZ47">
        <f>AVERAGE(S_plus!CG$2:'S_plus'!CG47)</f>
        <v>93.353735112278258</v>
      </c>
      <c r="CA47">
        <f>AVERAGE(S_plus!CH$2:'S_plus'!CH47)</f>
        <v>115.17751765278258</v>
      </c>
      <c r="CB47">
        <f>AVERAGE(S_plus!CI$2:'S_plus'!CI47)</f>
        <v>98.167632066686963</v>
      </c>
      <c r="CC47">
        <f>AVERAGE(S_plus!CJ$2:'S_plus'!CJ47)</f>
        <v>100.19957881330433</v>
      </c>
      <c r="CD47">
        <f>AVERAGE(S_plus!CK$2:'S_plus'!CK47)</f>
        <v>92.740925419869569</v>
      </c>
      <c r="CE47">
        <f>AVERAGE(S_plus!CL$2:'S_plus'!CL47)</f>
        <v>89.920983337556549</v>
      </c>
      <c r="CF47">
        <f>AVERAGE(S_plus!CM$2:'S_plus'!CM47)</f>
        <v>101.0148354591196</v>
      </c>
      <c r="CG47">
        <f>AVERAGE(S_plus!CN$2:'S_plus'!CN47)</f>
        <v>94.287072487854346</v>
      </c>
      <c r="CH47">
        <f>AVERAGE(S_plus!CO$2:'S_plus'!CO47)</f>
        <v>113.28892620939132</v>
      </c>
      <c r="CI47">
        <f>AVERAGE(S_plus!CP$2:'S_plus'!CP47)</f>
        <v>98.639209983706522</v>
      </c>
      <c r="CJ47">
        <f>AVERAGE(S_plus!CQ$2:'S_plus'!CQ47)</f>
        <v>105.01935985634348</v>
      </c>
      <c r="CK47">
        <f>AVERAGE(S_plus!CR$2:'S_plus'!CR47)</f>
        <v>101.97404218137605</v>
      </c>
      <c r="CL47">
        <f>AVERAGE(S_plus!CS$2:'S_plus'!CS47)</f>
        <v>105.7715292221739</v>
      </c>
      <c r="CM47">
        <f>AVERAGE(S_plus!CT$2:'S_plus'!CT47)</f>
        <v>106.62888085353477</v>
      </c>
      <c r="CN47">
        <f>AVERAGE(S_plus!CU$2:'S_plus'!CU47)</f>
        <v>102.0202838069652</v>
      </c>
      <c r="CO47">
        <f>AVERAGE(S_plus!CV$2:'S_plus'!CV47)</f>
        <v>94.964935431243461</v>
      </c>
      <c r="CP47">
        <f>AVERAGE(S_plus!CW$2:'S_plus'!CW47)</f>
        <v>108.83969945926304</v>
      </c>
      <c r="CQ47">
        <f>AVERAGE(S_plus!CX$2:'S_plus'!CX47)</f>
        <v>110.52666447451304</v>
      </c>
      <c r="CR47">
        <f>AVERAGE(S_plus!CY$2:'S_plus'!CY47)</f>
        <v>101.54301361649348</v>
      </c>
      <c r="CS47">
        <f>AVERAGE(S_plus!CZ$2:'S_plus'!CZ47)</f>
        <v>104.10553750785216</v>
      </c>
      <c r="CT47">
        <f>AVERAGE(S_plus!DA$2:'S_plus'!DA47)</f>
        <v>108.90062338893476</v>
      </c>
      <c r="CU47">
        <f>AVERAGE(S_plus!DB$2:'S_plus'!DB47)</f>
        <v>91.752629478697841</v>
      </c>
      <c r="CV47">
        <f>AVERAGE(S_plus!DC$2:'S_plus'!DC47)</f>
        <v>100.48457103512393</v>
      </c>
      <c r="CW47">
        <f>AVERAGE(S_plus!DD$2:'S_plus'!DD47)</f>
        <v>92.996612183276085</v>
      </c>
      <c r="CX47">
        <f>AVERAGE(S_plus!DE$2:'S_plus'!DE47)</f>
        <v>104.80454304585211</v>
      </c>
      <c r="CY47">
        <f>AVERAGE(S_plus!DF$2:'S_plus'!DF47)</f>
        <v>93.01208636329784</v>
      </c>
      <c r="CZ47">
        <f>AVERAGE(S_plus!DG$2:'S_plus'!DG47)</f>
        <v>93.011744850215209</v>
      </c>
      <c r="DA47">
        <f>AVERAGE(S_plus!DH$2:'S_plus'!DH47)</f>
        <v>101.26487163160436</v>
      </c>
    </row>
    <row r="48" spans="5:105" x14ac:dyDescent="0.25">
      <c r="E48">
        <f>E47+Asian!dt</f>
        <v>0.46000000000000024</v>
      </c>
      <c r="F48">
        <f>AVERAGE(S_plus!M$2:'S_plus'!M48)</f>
        <v>90.341780121261706</v>
      </c>
      <c r="G48">
        <f>AVERAGE(S_plus!N$2:'S_plus'!N48)</f>
        <v>94.38590162562339</v>
      </c>
      <c r="H48">
        <f>AVERAGE(S_plus!O$2:'S_plus'!O48)</f>
        <v>106.87355715430641</v>
      </c>
      <c r="I48">
        <f>AVERAGE(S_plus!P$2:'S_plus'!P48)</f>
        <v>100.36130605069999</v>
      </c>
      <c r="J48">
        <f>AVERAGE(S_plus!Q$2:'S_plus'!Q48)</f>
        <v>91.083460492400008</v>
      </c>
      <c r="K48">
        <f>AVERAGE(S_plus!R$2:'S_plus'!R48)</f>
        <v>97.766283512385115</v>
      </c>
      <c r="L48">
        <f>AVERAGE(S_plus!S$2:'S_plus'!S48)</f>
        <v>115.35659037917017</v>
      </c>
      <c r="M48">
        <f>AVERAGE(S_plus!T$2:'S_plus'!T48)</f>
        <v>85.989126015525514</v>
      </c>
      <c r="N48">
        <f>AVERAGE(S_plus!U$2:'S_plus'!U48)</f>
        <v>112.98577851389361</v>
      </c>
      <c r="O48">
        <f>AVERAGE(S_plus!V$2:'S_plus'!V48)</f>
        <v>100.20889819846808</v>
      </c>
      <c r="P48">
        <f>AVERAGE(S_plus!W$2:'S_plus'!W48)</f>
        <v>102.31410358309147</v>
      </c>
      <c r="Q48">
        <f>AVERAGE(S_plus!X$2:'S_plus'!X48)</f>
        <v>108.25668411144682</v>
      </c>
      <c r="R48">
        <f>AVERAGE(S_plus!Y$2:'S_plus'!Y48)</f>
        <v>94.052298588104279</v>
      </c>
      <c r="S48">
        <f>AVERAGE(S_plus!Z$2:'S_plus'!Z48)</f>
        <v>106.5268736511553</v>
      </c>
      <c r="T48">
        <f>AVERAGE(S_plus!AA$2:'S_plus'!AA48)</f>
        <v>105.1482574866851</v>
      </c>
      <c r="U48">
        <f>AVERAGE(S_plus!AB$2:'S_plus'!AB48)</f>
        <v>93.681845268361741</v>
      </c>
      <c r="V48">
        <f>AVERAGE(S_plus!AC$2:'S_plus'!AC48)</f>
        <v>91.837665426768112</v>
      </c>
      <c r="W48">
        <f>AVERAGE(S_plus!AD$2:'S_plus'!AD48)</f>
        <v>95.848641126691504</v>
      </c>
      <c r="X48">
        <f>AVERAGE(S_plus!AE$2:'S_plus'!AE48)</f>
        <v>116.67270950673402</v>
      </c>
      <c r="Y48">
        <f>AVERAGE(S_plus!AF$2:'S_plus'!AF48)</f>
        <v>97.731495695363819</v>
      </c>
      <c r="Z48">
        <f>AVERAGE(S_plus!AG$2:'S_plus'!AG48)</f>
        <v>104.56816567922338</v>
      </c>
      <c r="AA48">
        <f>AVERAGE(S_plus!AH$2:'S_plus'!AH48)</f>
        <v>100.03816155750424</v>
      </c>
      <c r="AB48">
        <f>AVERAGE(S_plus!AI$2:'S_plus'!AI48)</f>
        <v>89.682727491557443</v>
      </c>
      <c r="AC48">
        <f>AVERAGE(S_plus!AJ$2:'S_plus'!AJ48)</f>
        <v>96.050475543755311</v>
      </c>
      <c r="AD48">
        <f>AVERAGE(S_plus!AK$2:'S_plus'!AK48)</f>
        <v>115.24770749389363</v>
      </c>
      <c r="AE48">
        <f>AVERAGE(S_plus!AL$2:'S_plus'!AL48)</f>
        <v>105.48730271045316</v>
      </c>
      <c r="AF48">
        <f>AVERAGE(S_plus!AM$2:'S_plus'!AM48)</f>
        <v>96.334084066987231</v>
      </c>
      <c r="AG48">
        <f>AVERAGE(S_plus!AN$2:'S_plus'!AN48)</f>
        <v>117.04189408759576</v>
      </c>
      <c r="AH48">
        <f>AVERAGE(S_plus!AO$2:'S_plus'!AO48)</f>
        <v>100.16589301763405</v>
      </c>
      <c r="AI48">
        <f>AVERAGE(S_plus!AP$2:'S_plus'!AP48)</f>
        <v>92.37290406589149</v>
      </c>
      <c r="AJ48">
        <f>AVERAGE(S_plus!AQ$2:'S_plus'!AQ48)</f>
        <v>99.5824847685234</v>
      </c>
      <c r="AK48">
        <f>AVERAGE(S_plus!AR$2:'S_plus'!AR48)</f>
        <v>101.07559588029787</v>
      </c>
      <c r="AL48">
        <f>AVERAGE(S_plus!AS$2:'S_plus'!AS48)</f>
        <v>112.68345465294256</v>
      </c>
      <c r="AM48">
        <f>AVERAGE(S_plus!AT$2:'S_plus'!AT48)</f>
        <v>94.06033428598937</v>
      </c>
      <c r="AN48">
        <f>AVERAGE(S_plus!AU$2:'S_plus'!AU48)</f>
        <v>95.613031321455352</v>
      </c>
      <c r="AO48">
        <f>AVERAGE(S_plus!AV$2:'S_plus'!AV48)</f>
        <v>99.368468585455304</v>
      </c>
      <c r="AP48">
        <f>AVERAGE(S_plus!AW$2:'S_plus'!AW48)</f>
        <v>113.762617012617</v>
      </c>
      <c r="AQ48">
        <f>AVERAGE(S_plus!AX$2:'S_plus'!AX48)</f>
        <v>97.81251812345748</v>
      </c>
      <c r="AR48">
        <f>AVERAGE(S_plus!AY$2:'S_plus'!AY48)</f>
        <v>98.405921352963816</v>
      </c>
      <c r="AS48">
        <f>AVERAGE(S_plus!AZ$2:'S_plus'!AZ48)</f>
        <v>113.07124742427661</v>
      </c>
      <c r="AT48">
        <f>AVERAGE(S_plus!BA$2:'S_plus'!BA48)</f>
        <v>110.55257244285107</v>
      </c>
      <c r="AU48">
        <f>AVERAGE(S_plus!BB$2:'S_plus'!BB48)</f>
        <v>107.01077869913192</v>
      </c>
      <c r="AV48">
        <f>AVERAGE(S_plus!BC$2:'S_plus'!BC48)</f>
        <v>109.73122477859998</v>
      </c>
      <c r="AW48">
        <f>AVERAGE(S_plus!BD$2:'S_plus'!BD48)</f>
        <v>100.77393018017659</v>
      </c>
      <c r="AX48">
        <f>AVERAGE(S_plus!BE$2:'S_plus'!BE48)</f>
        <v>90.848227952738299</v>
      </c>
      <c r="AY48">
        <f>AVERAGE(S_plus!BF$2:'S_plus'!BF48)</f>
        <v>91.76978801665534</v>
      </c>
      <c r="AZ48">
        <f>AVERAGE(S_plus!BG$2:'S_plus'!BG48)</f>
        <v>92.956021066265961</v>
      </c>
      <c r="BA48">
        <f>AVERAGE(S_plus!BH$2:'S_plus'!BH48)</f>
        <v>99.457493389778747</v>
      </c>
      <c r="BB48">
        <f>AVERAGE(S_plus!BI$2:'S_plus'!BI48)</f>
        <v>107.24493656410638</v>
      </c>
      <c r="BC48">
        <f>AVERAGE(S_plus!BJ$2:'S_plus'!BJ48)</f>
        <v>105.5920375704425</v>
      </c>
      <c r="BD48">
        <f>AVERAGE(S_plus!BK$2:'S_plus'!BK48)</f>
        <v>95.769542241710639</v>
      </c>
      <c r="BE48">
        <f>AVERAGE(S_plus!BL$2:'S_plus'!BL48)</f>
        <v>92.806306644361726</v>
      </c>
      <c r="BF48">
        <f>AVERAGE(S_plus!BM$2:'S_plus'!BM48)</f>
        <v>95.313469275053208</v>
      </c>
      <c r="BG48">
        <f>AVERAGE(S_plus!BN$2:'S_plus'!BN48)</f>
        <v>101.28800917688721</v>
      </c>
      <c r="BH48">
        <f>AVERAGE(S_plus!BO$2:'S_plus'!BO48)</f>
        <v>86.358541455100024</v>
      </c>
      <c r="BI48">
        <f>AVERAGE(S_plus!BP$2:'S_plus'!BP48)</f>
        <v>92.004799161908522</v>
      </c>
      <c r="BJ48">
        <f>AVERAGE(S_plus!BQ$2:'S_plus'!BQ48)</f>
        <v>89.653395847065937</v>
      </c>
      <c r="BK48">
        <f>AVERAGE(S_plus!BR$2:'S_plus'!BR48)</f>
        <v>104.72657244496597</v>
      </c>
      <c r="BL48">
        <f>AVERAGE(S_plus!BS$2:'S_plus'!BS48)</f>
        <v>104.6365707596872</v>
      </c>
      <c r="BM48">
        <f>AVERAGE(S_plus!BT$2:'S_plus'!BT48)</f>
        <v>110.36218368578723</v>
      </c>
      <c r="BN48">
        <f>AVERAGE(S_plus!BU$2:'S_plus'!BU48)</f>
        <v>103.4521938530936</v>
      </c>
      <c r="BO48">
        <f>AVERAGE(S_plus!BV$2:'S_plus'!BV48)</f>
        <v>94.460598093191507</v>
      </c>
      <c r="BP48">
        <f>AVERAGE(S_plus!BW$2:'S_plus'!BW48)</f>
        <v>91.278176462291469</v>
      </c>
      <c r="BQ48">
        <f>AVERAGE(S_plus!BX$2:'S_plus'!BX48)</f>
        <v>87.128412496163818</v>
      </c>
      <c r="BR48">
        <f>AVERAGE(S_plus!BY$2:'S_plus'!BY48)</f>
        <v>104.30279852107876</v>
      </c>
      <c r="BS48">
        <f>AVERAGE(S_plus!BZ$2:'S_plus'!BZ48)</f>
        <v>96.258175962536157</v>
      </c>
      <c r="BT48">
        <f>AVERAGE(S_plus!CA$2:'S_plus'!CA48)</f>
        <v>100.93825572335957</v>
      </c>
      <c r="BU48">
        <f>AVERAGE(S_plus!CB$2:'S_plus'!CB48)</f>
        <v>102.10571275509572</v>
      </c>
      <c r="BV48">
        <f>AVERAGE(S_plus!CC$2:'S_plus'!CC48)</f>
        <v>95.413802033755346</v>
      </c>
      <c r="BW48">
        <f>AVERAGE(S_plus!CD$2:'S_plus'!CD48)</f>
        <v>99.627592064697865</v>
      </c>
      <c r="BX48">
        <f>AVERAGE(S_plus!CE$2:'S_plus'!CE48)</f>
        <v>102.73151565716381</v>
      </c>
      <c r="BY48">
        <f>AVERAGE(S_plus!CF$2:'S_plus'!CF48)</f>
        <v>92.352829243663848</v>
      </c>
      <c r="BZ48">
        <f>AVERAGE(S_plus!CG$2:'S_plus'!CG48)</f>
        <v>93.403547254338278</v>
      </c>
      <c r="CA48">
        <f>AVERAGE(S_plus!CH$2:'S_plus'!CH48)</f>
        <v>115.19402521951062</v>
      </c>
      <c r="CB48">
        <f>AVERAGE(S_plus!CI$2:'S_plus'!CI48)</f>
        <v>98.351579501608512</v>
      </c>
      <c r="CC48">
        <f>AVERAGE(S_plus!CJ$2:'S_plus'!CJ48)</f>
        <v>100.17222864499361</v>
      </c>
      <c r="CD48">
        <f>AVERAGE(S_plus!CK$2:'S_plus'!CK48)</f>
        <v>92.76417977681065</v>
      </c>
      <c r="CE48">
        <f>AVERAGE(S_plus!CL$2:'S_plus'!CL48)</f>
        <v>89.839928959038318</v>
      </c>
      <c r="CF48">
        <f>AVERAGE(S_plus!CM$2:'S_plus'!CM48)</f>
        <v>100.82178014694047</v>
      </c>
      <c r="CG48">
        <f>AVERAGE(S_plus!CN$2:'S_plus'!CN48)</f>
        <v>94.3605980223617</v>
      </c>
      <c r="CH48">
        <f>AVERAGE(S_plus!CO$2:'S_plus'!CO48)</f>
        <v>113.87967444229788</v>
      </c>
      <c r="CI48">
        <f>AVERAGE(S_plus!CP$2:'S_plus'!CP48)</f>
        <v>98.362625841789367</v>
      </c>
      <c r="CJ48">
        <f>AVERAGE(S_plus!CQ$2:'S_plus'!CQ48)</f>
        <v>105.0384879561234</v>
      </c>
      <c r="CK48">
        <f>AVERAGE(S_plus!CR$2:'S_plus'!CR48)</f>
        <v>101.96454088734677</v>
      </c>
      <c r="CL48">
        <f>AVERAGE(S_plus!CS$2:'S_plus'!CS48)</f>
        <v>105.68223374176594</v>
      </c>
      <c r="CM48">
        <f>AVERAGE(S_plus!CT$2:'S_plus'!CT48)</f>
        <v>106.78916512631062</v>
      </c>
      <c r="CN48">
        <f>AVERAGE(S_plus!CU$2:'S_plus'!CU48)</f>
        <v>102.06974344547658</v>
      </c>
      <c r="CO48">
        <f>AVERAGE(S_plus!CV$2:'S_plus'!CV48)</f>
        <v>94.885118709157439</v>
      </c>
      <c r="CP48">
        <f>AVERAGE(S_plus!CW$2:'S_plus'!CW48)</f>
        <v>108.86833063681063</v>
      </c>
      <c r="CQ48">
        <f>AVERAGE(S_plus!CX$2:'S_plus'!CX48)</f>
        <v>110.82408555186383</v>
      </c>
      <c r="CR48">
        <f>AVERAGE(S_plus!CY$2:'S_plus'!CY48)</f>
        <v>101.64060843429149</v>
      </c>
      <c r="CS48">
        <f>AVERAGE(S_plus!CZ$2:'S_plus'!CZ48)</f>
        <v>104.18736717840849</v>
      </c>
      <c r="CT48">
        <f>AVERAGE(S_plus!DA$2:'S_plus'!DA48)</f>
        <v>109.12888040417019</v>
      </c>
      <c r="CU48">
        <f>AVERAGE(S_plus!DB$2:'S_plus'!DB48)</f>
        <v>91.527292793729799</v>
      </c>
      <c r="CV48">
        <f>AVERAGE(S_plus!DC$2:'S_plus'!DC48)</f>
        <v>100.48693554018513</v>
      </c>
      <c r="CW48">
        <f>AVERAGE(S_plus!DD$2:'S_plus'!DD48)</f>
        <v>92.868777799697881</v>
      </c>
      <c r="CX48">
        <f>AVERAGE(S_plus!DE$2:'S_plus'!DE48)</f>
        <v>104.78583434128079</v>
      </c>
      <c r="CY48">
        <f>AVERAGE(S_plus!DF$2:'S_plus'!DF48)</f>
        <v>92.74470026086172</v>
      </c>
      <c r="CZ48">
        <f>AVERAGE(S_plus!DG$2:'S_plus'!DG48)</f>
        <v>92.969674569334032</v>
      </c>
      <c r="DA48">
        <f>AVERAGE(S_plus!DH$2:'S_plus'!DH48)</f>
        <v>101.2757379888681</v>
      </c>
    </row>
    <row r="49" spans="5:105" x14ac:dyDescent="0.25">
      <c r="E49">
        <f>E48+Asian!dt</f>
        <v>0.47000000000000025</v>
      </c>
      <c r="F49">
        <f>AVERAGE(S_plus!M$2:'S_plus'!M49)</f>
        <v>90.413823800925002</v>
      </c>
      <c r="G49">
        <f>AVERAGE(S_plus!N$2:'S_plus'!N49)</f>
        <v>94.248055615954158</v>
      </c>
      <c r="H49">
        <f>AVERAGE(S_plus!O$2:'S_plus'!O49)</f>
        <v>106.7448042760917</v>
      </c>
      <c r="I49">
        <f>AVERAGE(S_plus!P$2:'S_plus'!P49)</f>
        <v>100.27450404273542</v>
      </c>
      <c r="J49">
        <f>AVERAGE(S_plus!Q$2:'S_plus'!Q49)</f>
        <v>90.829554176279188</v>
      </c>
      <c r="K49">
        <f>AVERAGE(S_plus!R$2:'S_plus'!R49)</f>
        <v>97.612858809318766</v>
      </c>
      <c r="L49">
        <f>AVERAGE(S_plus!S$2:'S_plus'!S49)</f>
        <v>115.4223908701458</v>
      </c>
      <c r="M49">
        <f>AVERAGE(S_plus!T$2:'S_plus'!T49)</f>
        <v>85.711979998254151</v>
      </c>
      <c r="N49">
        <f>AVERAGE(S_plus!U$2:'S_plus'!U49)</f>
        <v>113.07698443925</v>
      </c>
      <c r="O49">
        <f>AVERAGE(S_plus!V$2:'S_plus'!V49)</f>
        <v>100.3253472133125</v>
      </c>
      <c r="P49">
        <f>AVERAGE(S_plus!W$2:'S_plus'!W49)</f>
        <v>102.39198239617288</v>
      </c>
      <c r="Q49">
        <f>AVERAGE(S_plus!X$2:'S_plus'!X49)</f>
        <v>108.55603023439585</v>
      </c>
      <c r="R49">
        <f>AVERAGE(S_plus!Y$2:'S_plus'!Y49)</f>
        <v>93.929496150643772</v>
      </c>
      <c r="S49">
        <f>AVERAGE(S_plus!Z$2:'S_plus'!Z49)</f>
        <v>106.65883452290205</v>
      </c>
      <c r="T49">
        <f>AVERAGE(S_plus!AA$2:'S_plus'!AA49)</f>
        <v>105.07695238779581</v>
      </c>
      <c r="U49">
        <f>AVERAGE(S_plus!AB$2:'S_plus'!AB49)</f>
        <v>93.92490131754171</v>
      </c>
      <c r="V49">
        <f>AVERAGE(S_plus!AC$2:'S_plus'!AC49)</f>
        <v>91.743730233514611</v>
      </c>
      <c r="W49">
        <f>AVERAGE(S_plus!AD$2:'S_plus'!AD49)</f>
        <v>95.922943190618767</v>
      </c>
      <c r="X49">
        <f>AVERAGE(S_plus!AE$2:'S_plus'!AE49)</f>
        <v>117.02695533759373</v>
      </c>
      <c r="Y49">
        <f>AVERAGE(S_plus!AF$2:'S_plus'!AF49)</f>
        <v>98.025846658564589</v>
      </c>
      <c r="Z49">
        <f>AVERAGE(S_plus!AG$2:'S_plus'!AG49)</f>
        <v>104.42395091021247</v>
      </c>
      <c r="AA49">
        <f>AVERAGE(S_plus!AH$2:'S_plus'!AH49)</f>
        <v>100.19009164251457</v>
      </c>
      <c r="AB49">
        <f>AVERAGE(S_plus!AI$2:'S_plus'!AI49)</f>
        <v>89.544079043118742</v>
      </c>
      <c r="AC49">
        <f>AVERAGE(S_plus!AJ$2:'S_plus'!AJ49)</f>
        <v>95.813811845385416</v>
      </c>
      <c r="AD49">
        <f>AVERAGE(S_plus!AK$2:'S_plus'!AK49)</f>
        <v>115.15710687233336</v>
      </c>
      <c r="AE49">
        <f>AVERAGE(S_plus!AL$2:'S_plus'!AL49)</f>
        <v>105.5257538476104</v>
      </c>
      <c r="AF49">
        <f>AVERAGE(S_plus!AM$2:'S_plus'!AM49)</f>
        <v>96.348896749224991</v>
      </c>
      <c r="AG49">
        <f>AVERAGE(S_plus!AN$2:'S_plus'!AN49)</f>
        <v>117.04507866456252</v>
      </c>
      <c r="AH49">
        <f>AVERAGE(S_plus!AO$2:'S_plus'!AO49)</f>
        <v>100.02126081097917</v>
      </c>
      <c r="AI49">
        <f>AVERAGE(S_plus!AP$2:'S_plus'!AP49)</f>
        <v>92.111744705841659</v>
      </c>
      <c r="AJ49">
        <f>AVERAGE(S_plus!AQ$2:'S_plus'!AQ49)</f>
        <v>99.803076021116667</v>
      </c>
      <c r="AK49">
        <f>AVERAGE(S_plus!AR$2:'S_plus'!AR49)</f>
        <v>101.03966836127084</v>
      </c>
      <c r="AL49">
        <f>AVERAGE(S_plus!AS$2:'S_plus'!AS49)</f>
        <v>112.78589519681877</v>
      </c>
      <c r="AM49">
        <f>AVERAGE(S_plus!AT$2:'S_plus'!AT49)</f>
        <v>93.999033478410425</v>
      </c>
      <c r="AN49">
        <f>AVERAGE(S_plus!AU$2:'S_plus'!AU49)</f>
        <v>95.745590689862524</v>
      </c>
      <c r="AO49">
        <f>AVERAGE(S_plus!AV$2:'S_plus'!AV49)</f>
        <v>99.633911190883325</v>
      </c>
      <c r="AP49">
        <f>AVERAGE(S_plus!AW$2:'S_plus'!AW49)</f>
        <v>113.98725067064582</v>
      </c>
      <c r="AQ49">
        <f>AVERAGE(S_plus!AX$2:'S_plus'!AX49)</f>
        <v>97.900387704343771</v>
      </c>
      <c r="AR49">
        <f>AVERAGE(S_plus!AY$2:'S_plus'!AY49)</f>
        <v>98.266334094166652</v>
      </c>
      <c r="AS49">
        <f>AVERAGE(S_plus!AZ$2:'S_plus'!AZ49)</f>
        <v>113.26511533116667</v>
      </c>
      <c r="AT49">
        <f>AVERAGE(S_plus!BA$2:'S_plus'!BA49)</f>
        <v>110.79809998347918</v>
      </c>
      <c r="AU49">
        <f>AVERAGE(S_plus!BB$2:'S_plus'!BB49)</f>
        <v>107.00411169392085</v>
      </c>
      <c r="AV49">
        <f>AVERAGE(S_plus!BC$2:'S_plus'!BC49)</f>
        <v>109.86412976598332</v>
      </c>
      <c r="AW49">
        <f>AVERAGE(S_plus!BD$2:'S_plus'!BD49)</f>
        <v>100.8680977187354</v>
      </c>
      <c r="AX49">
        <f>AVERAGE(S_plus!BE$2:'S_plus'!BE49)</f>
        <v>91.170944505577083</v>
      </c>
      <c r="AY49">
        <f>AVERAGE(S_plus!BF$2:'S_plus'!BF49)</f>
        <v>91.622106732110424</v>
      </c>
      <c r="AZ49">
        <f>AVERAGE(S_plus!BG$2:'S_plus'!BG49)</f>
        <v>92.986419908450003</v>
      </c>
      <c r="BA49">
        <f>AVERAGE(S_plus!BH$2:'S_plus'!BH49)</f>
        <v>99.516155078345847</v>
      </c>
      <c r="BB49">
        <f>AVERAGE(S_plus!BI$2:'S_plus'!BI49)</f>
        <v>107.18630988225</v>
      </c>
      <c r="BC49">
        <f>AVERAGE(S_plus!BJ$2:'S_plus'!BJ49)</f>
        <v>105.58427090318328</v>
      </c>
      <c r="BD49">
        <f>AVERAGE(S_plus!BK$2:'S_plus'!BK49)</f>
        <v>95.665527455629174</v>
      </c>
      <c r="BE49">
        <f>AVERAGE(S_plus!BL$2:'S_plus'!BL49)</f>
        <v>92.732929034993774</v>
      </c>
      <c r="BF49">
        <f>AVERAGE(S_plus!BM$2:'S_plus'!BM49)</f>
        <v>95.325931963895854</v>
      </c>
      <c r="BG49">
        <f>AVERAGE(S_plus!BN$2:'S_plus'!BN49)</f>
        <v>101.27870970470207</v>
      </c>
      <c r="BH49">
        <f>AVERAGE(S_plus!BO$2:'S_plus'!BO49)</f>
        <v>86.325992350002096</v>
      </c>
      <c r="BI49">
        <f>AVERAGE(S_plus!BP$2:'S_plus'!BP49)</f>
        <v>91.937554626608346</v>
      </c>
      <c r="BJ49">
        <f>AVERAGE(S_plus!BQ$2:'S_plus'!BQ49)</f>
        <v>89.536142917072894</v>
      </c>
      <c r="BK49">
        <f>AVERAGE(S_plus!BR$2:'S_plus'!BR49)</f>
        <v>104.82918575463334</v>
      </c>
      <c r="BL49">
        <f>AVERAGE(S_plus!BS$2:'S_plus'!BS49)</f>
        <v>104.6299149482354</v>
      </c>
      <c r="BM49">
        <f>AVERAGE(S_plus!BT$2:'S_plus'!BT49)</f>
        <v>110.35052624537501</v>
      </c>
      <c r="BN49">
        <f>AVERAGE(S_plus!BU$2:'S_plus'!BU49)</f>
        <v>103.36534366742707</v>
      </c>
      <c r="BO49">
        <f>AVERAGE(S_plus!BV$2:'S_plus'!BV49)</f>
        <v>94.296434620791672</v>
      </c>
      <c r="BP49">
        <f>AVERAGE(S_plus!BW$2:'S_plus'!BW49)</f>
        <v>91.30691193392498</v>
      </c>
      <c r="BQ49">
        <f>AVERAGE(S_plus!BX$2:'S_plus'!BX49)</f>
        <v>86.969156567895823</v>
      </c>
      <c r="BR49">
        <f>AVERAGE(S_plus!BY$2:'S_plus'!BY49)</f>
        <v>104.16808658439585</v>
      </c>
      <c r="BS49">
        <f>AVERAGE(S_plus!BZ$2:'S_plus'!BZ49)</f>
        <v>96.509331376358318</v>
      </c>
      <c r="BT49">
        <f>AVERAGE(S_plus!CA$2:'S_plus'!CA49)</f>
        <v>100.99105430772708</v>
      </c>
      <c r="BU49">
        <f>AVERAGE(S_plus!CB$2:'S_plus'!CB49)</f>
        <v>102.00068364027914</v>
      </c>
      <c r="BV49">
        <f>AVERAGE(S_plus!CC$2:'S_plus'!CC49)</f>
        <v>95.242716151462517</v>
      </c>
      <c r="BW49">
        <f>AVERAGE(S_plus!CD$2:'S_plus'!CD49)</f>
        <v>99.536804701241678</v>
      </c>
      <c r="BX49">
        <f>AVERAGE(S_plus!CE$2:'S_plus'!CE49)</f>
        <v>102.51231850651665</v>
      </c>
      <c r="BY49">
        <f>AVERAGE(S_plus!CF$2:'S_plus'!CF49)</f>
        <v>92.320719177010417</v>
      </c>
      <c r="BZ49">
        <f>AVERAGE(S_plus!CG$2:'S_plus'!CG49)</f>
        <v>93.456691596906239</v>
      </c>
      <c r="CA49">
        <f>AVERAGE(S_plus!CH$2:'S_plus'!CH49)</f>
        <v>115.17583192972916</v>
      </c>
      <c r="CB49">
        <f>AVERAGE(S_plus!CI$2:'S_plus'!CI49)</f>
        <v>98.478192472095841</v>
      </c>
      <c r="CC49">
        <f>AVERAGE(S_plus!CJ$2:'S_plus'!CJ49)</f>
        <v>100.15768734194999</v>
      </c>
      <c r="CD49">
        <f>AVERAGE(S_plus!CK$2:'S_plus'!CK49)</f>
        <v>92.803335401539584</v>
      </c>
      <c r="CE49">
        <f>AVERAGE(S_plus!CL$2:'S_plus'!CL49)</f>
        <v>89.74916112161462</v>
      </c>
      <c r="CF49">
        <f>AVERAGE(S_plus!CM$2:'S_plus'!CM49)</f>
        <v>100.60142408888963</v>
      </c>
      <c r="CG49">
        <f>AVERAGE(S_plus!CN$2:'S_plus'!CN49)</f>
        <v>94.489004495499998</v>
      </c>
      <c r="CH49">
        <f>AVERAGE(S_plus!CO$2:'S_plus'!CO49)</f>
        <v>114.49159803997918</v>
      </c>
      <c r="CI49">
        <f>AVERAGE(S_plus!CP$2:'S_plus'!CP49)</f>
        <v>98.069691132468748</v>
      </c>
      <c r="CJ49">
        <f>AVERAGE(S_plus!CQ$2:'S_plus'!CQ49)</f>
        <v>105.08525727432918</v>
      </c>
      <c r="CK49">
        <f>AVERAGE(S_plus!CR$2:'S_plus'!CR49)</f>
        <v>102.0071814056937</v>
      </c>
      <c r="CL49">
        <f>AVERAGE(S_plus!CS$2:'S_plus'!CS49)</f>
        <v>105.58698386739582</v>
      </c>
      <c r="CM49">
        <f>AVERAGE(S_plus!CT$2:'S_plus'!CT49)</f>
        <v>107.03375318067917</v>
      </c>
      <c r="CN49">
        <f>AVERAGE(S_plus!CU$2:'S_plus'!CU49)</f>
        <v>102.07280712086248</v>
      </c>
      <c r="CO49">
        <f>AVERAGE(S_plus!CV$2:'S_plus'!CV49)</f>
        <v>94.860613997241657</v>
      </c>
      <c r="CP49">
        <f>AVERAGE(S_plus!CW$2:'S_plus'!CW49)</f>
        <v>108.84420272387707</v>
      </c>
      <c r="CQ49">
        <f>AVERAGE(S_plus!CX$2:'S_plus'!CX49)</f>
        <v>111.03506063840832</v>
      </c>
      <c r="CR49">
        <f>AVERAGE(S_plus!CY$2:'S_plus'!CY49)</f>
        <v>101.76227713734791</v>
      </c>
      <c r="CS49">
        <f>AVERAGE(S_plus!CZ$2:'S_plus'!CZ49)</f>
        <v>104.24090115350414</v>
      </c>
      <c r="CT49">
        <f>AVERAGE(S_plus!DA$2:'S_plus'!DA49)</f>
        <v>109.35000266502082</v>
      </c>
      <c r="CU49">
        <f>AVERAGE(S_plus!DB$2:'S_plus'!DB49)</f>
        <v>91.278819506364584</v>
      </c>
      <c r="CV49">
        <f>AVERAGE(S_plus!DC$2:'S_plus'!DC49)</f>
        <v>100.47705671653544</v>
      </c>
      <c r="CW49">
        <f>AVERAGE(S_plus!DD$2:'S_plus'!DD49)</f>
        <v>92.765500894389604</v>
      </c>
      <c r="CX49">
        <f>AVERAGE(S_plus!DE$2:'S_plus'!DE49)</f>
        <v>104.81089786637909</v>
      </c>
      <c r="CY49">
        <f>AVERAGE(S_plus!DF$2:'S_plus'!DF49)</f>
        <v>92.525981855420852</v>
      </c>
      <c r="CZ49">
        <f>AVERAGE(S_plus!DG$2:'S_plus'!DG49)</f>
        <v>92.88313399404997</v>
      </c>
      <c r="DA49">
        <f>AVERAGE(S_plus!DH$2:'S_plus'!DH49)</f>
        <v>101.26709007189169</v>
      </c>
    </row>
    <row r="50" spans="5:105" x14ac:dyDescent="0.25">
      <c r="E50">
        <f>E49+Asian!dt</f>
        <v>0.48000000000000026</v>
      </c>
      <c r="F50">
        <f>AVERAGE(S_plus!M$2:'S_plus'!M50)</f>
        <v>90.48766026698776</v>
      </c>
      <c r="G50">
        <f>AVERAGE(S_plus!N$2:'S_plus'!N50)</f>
        <v>94.123368794967348</v>
      </c>
      <c r="H50">
        <f>AVERAGE(S_plus!O$2:'S_plus'!O50)</f>
        <v>106.62018334253881</v>
      </c>
      <c r="I50">
        <f>AVERAGE(S_plus!P$2:'S_plus'!P50)</f>
        <v>100.11882308412653</v>
      </c>
      <c r="J50">
        <f>AVERAGE(S_plus!Q$2:'S_plus'!Q50)</f>
        <v>90.556727783912251</v>
      </c>
      <c r="K50">
        <f>AVERAGE(S_plus!R$2:'S_plus'!R50)</f>
        <v>97.43003041001225</v>
      </c>
      <c r="L50">
        <f>AVERAGE(S_plus!S$2:'S_plus'!S50)</f>
        <v>115.46066949653057</v>
      </c>
      <c r="M50">
        <f>AVERAGE(S_plus!T$2:'S_plus'!T50)</f>
        <v>85.429210243767329</v>
      </c>
      <c r="N50">
        <f>AVERAGE(S_plus!U$2:'S_plus'!U50)</f>
        <v>113.13973464165306</v>
      </c>
      <c r="O50">
        <f>AVERAGE(S_plus!V$2:'S_plus'!V50)</f>
        <v>100.49214379993877</v>
      </c>
      <c r="P50">
        <f>AVERAGE(S_plus!W$2:'S_plus'!W50)</f>
        <v>102.45402239259793</v>
      </c>
      <c r="Q50">
        <f>AVERAGE(S_plus!X$2:'S_plus'!X50)</f>
        <v>108.89478301477553</v>
      </c>
      <c r="R50">
        <f>AVERAGE(S_plus!Y$2:'S_plus'!Y50)</f>
        <v>93.84473512541021</v>
      </c>
      <c r="S50">
        <f>AVERAGE(S_plus!Z$2:'S_plus'!Z50)</f>
        <v>106.71808757696527</v>
      </c>
      <c r="T50">
        <f>AVERAGE(S_plus!AA$2:'S_plus'!AA50)</f>
        <v>104.99013113377957</v>
      </c>
      <c r="U50">
        <f>AVERAGE(S_plus!AB$2:'S_plus'!AB50)</f>
        <v>94.184306941571478</v>
      </c>
      <c r="V50">
        <f>AVERAGE(S_plus!AC$2:'S_plus'!AC50)</f>
        <v>91.628653759028609</v>
      </c>
      <c r="W50">
        <f>AVERAGE(S_plus!AD$2:'S_plus'!AD50)</f>
        <v>95.981673808655131</v>
      </c>
      <c r="X50">
        <f>AVERAGE(S_plus!AE$2:'S_plus'!AE50)</f>
        <v>117.26399403935713</v>
      </c>
      <c r="Y50">
        <f>AVERAGE(S_plus!AF$2:'S_plus'!AF50)</f>
        <v>98.350407175328584</v>
      </c>
      <c r="Z50">
        <f>AVERAGE(S_plus!AG$2:'S_plus'!AG50)</f>
        <v>104.29739981239182</v>
      </c>
      <c r="AA50">
        <f>AVERAGE(S_plus!AH$2:'S_plus'!AH50)</f>
        <v>100.29687081491224</v>
      </c>
      <c r="AB50">
        <f>AVERAGE(S_plus!AI$2:'S_plus'!AI50)</f>
        <v>89.518114815361216</v>
      </c>
      <c r="AC50">
        <f>AVERAGE(S_plus!AJ$2:'S_plus'!AJ50)</f>
        <v>95.626617893832659</v>
      </c>
      <c r="AD50">
        <f>AVERAGE(S_plus!AK$2:'S_plus'!AK50)</f>
        <v>115.11646357073471</v>
      </c>
      <c r="AE50">
        <f>AVERAGE(S_plus!AL$2:'S_plus'!AL50)</f>
        <v>105.58688717892447</v>
      </c>
      <c r="AF50">
        <f>AVERAGE(S_plus!AM$2:'S_plus'!AM50)</f>
        <v>96.353633749379583</v>
      </c>
      <c r="AG50">
        <f>AVERAGE(S_plus!AN$2:'S_plus'!AN50)</f>
        <v>117.05364162585715</v>
      </c>
      <c r="AH50">
        <f>AVERAGE(S_plus!AO$2:'S_plus'!AO50)</f>
        <v>99.866871689440813</v>
      </c>
      <c r="AI50">
        <f>AVERAGE(S_plus!AP$2:'S_plus'!AP50)</f>
        <v>91.914753706371428</v>
      </c>
      <c r="AJ50">
        <f>AVERAGE(S_plus!AQ$2:'S_plus'!AQ50)</f>
        <v>100.05471577944081</v>
      </c>
      <c r="AK50">
        <f>AVERAGE(S_plus!AR$2:'S_plus'!AR50)</f>
        <v>101.0056782973449</v>
      </c>
      <c r="AL50">
        <f>AVERAGE(S_plus!AS$2:'S_plus'!AS50)</f>
        <v>112.86865404449594</v>
      </c>
      <c r="AM50">
        <f>AVERAGE(S_plus!AT$2:'S_plus'!AT50)</f>
        <v>94.017019945985723</v>
      </c>
      <c r="AN50">
        <f>AVERAGE(S_plus!AU$2:'S_plus'!AU50)</f>
        <v>95.867384032967365</v>
      </c>
      <c r="AO50">
        <f>AVERAGE(S_plus!AV$2:'S_plus'!AV50)</f>
        <v>99.975103146416302</v>
      </c>
      <c r="AP50">
        <f>AVERAGE(S_plus!AW$2:'S_plus'!AW50)</f>
        <v>114.20607244285712</v>
      </c>
      <c r="AQ50">
        <f>AVERAGE(S_plus!AX$2:'S_plus'!AX50)</f>
        <v>97.995368831112273</v>
      </c>
      <c r="AR50">
        <f>AVERAGE(S_plus!AY$2:'S_plus'!AY50)</f>
        <v>98.166915081044877</v>
      </c>
      <c r="AS50">
        <f>AVERAGE(S_plus!AZ$2:'S_plus'!AZ50)</f>
        <v>113.50055077485715</v>
      </c>
      <c r="AT50">
        <f>AVERAGE(S_plus!BA$2:'S_plus'!BA50)</f>
        <v>111.02015930187756</v>
      </c>
      <c r="AU50">
        <f>AVERAGE(S_plus!BB$2:'S_plus'!BB50)</f>
        <v>106.97000056469798</v>
      </c>
      <c r="AV50">
        <f>AVERAGE(S_plus!BC$2:'S_plus'!BC50)</f>
        <v>110.10470962826938</v>
      </c>
      <c r="AW50">
        <f>AVERAGE(S_plus!BD$2:'S_plus'!BD50)</f>
        <v>100.94804479978163</v>
      </c>
      <c r="AX50">
        <f>AVERAGE(S_plus!BE$2:'S_plus'!BE50)</f>
        <v>91.556659625095918</v>
      </c>
      <c r="AY50">
        <f>AVERAGE(S_plus!BF$2:'S_plus'!BF50)</f>
        <v>91.458326712277568</v>
      </c>
      <c r="AZ50">
        <f>AVERAGE(S_plus!BG$2:'S_plus'!BG50)</f>
        <v>93.006760355312252</v>
      </c>
      <c r="BA50">
        <f>AVERAGE(S_plus!BH$2:'S_plus'!BH50)</f>
        <v>99.584081811930631</v>
      </c>
      <c r="BB50">
        <f>AVERAGE(S_plus!BI$2:'S_plus'!BI50)</f>
        <v>107.14060180144898</v>
      </c>
      <c r="BC50">
        <f>AVERAGE(S_plus!BJ$2:'S_plus'!BJ50)</f>
        <v>105.58380261054688</v>
      </c>
      <c r="BD50">
        <f>AVERAGE(S_plus!BK$2:'S_plus'!BK50)</f>
        <v>95.625648811638783</v>
      </c>
      <c r="BE50">
        <f>AVERAGE(S_plus!BL$2:'S_plus'!BL50)</f>
        <v>92.610499215634704</v>
      </c>
      <c r="BF50">
        <f>AVERAGE(S_plus!BM$2:'S_plus'!BM50)</f>
        <v>95.289910945979614</v>
      </c>
      <c r="BG50">
        <f>AVERAGE(S_plus!BN$2:'S_plus'!BN50)</f>
        <v>101.25744244566734</v>
      </c>
      <c r="BH50">
        <f>AVERAGE(S_plus!BO$2:'S_plus'!BO50)</f>
        <v>86.346633847000021</v>
      </c>
      <c r="BI50">
        <f>AVERAGE(S_plus!BP$2:'S_plus'!BP50)</f>
        <v>91.847835629857158</v>
      </c>
      <c r="BJ50">
        <f>AVERAGE(S_plus!BQ$2:'S_plus'!BQ50)</f>
        <v>89.475777130779576</v>
      </c>
      <c r="BK50">
        <f>AVERAGE(S_plus!BR$2:'S_plus'!BR50)</f>
        <v>104.90662147478368</v>
      </c>
      <c r="BL50">
        <f>AVERAGE(S_plus!BS$2:'S_plus'!BS50)</f>
        <v>104.58110772341426</v>
      </c>
      <c r="BM50">
        <f>AVERAGE(S_plus!BT$2:'S_plus'!BT50)</f>
        <v>110.30129541465305</v>
      </c>
      <c r="BN50">
        <f>AVERAGE(S_plus!BU$2:'S_plus'!BU50)</f>
        <v>103.31486352874489</v>
      </c>
      <c r="BO50">
        <f>AVERAGE(S_plus!BV$2:'S_plus'!BV50)</f>
        <v>94.223830548463269</v>
      </c>
      <c r="BP50">
        <f>AVERAGE(S_plus!BW$2:'S_plus'!BW50)</f>
        <v>91.406805619865295</v>
      </c>
      <c r="BQ50">
        <f>AVERAGE(S_plus!BX$2:'S_plus'!BX50)</f>
        <v>86.824873074140797</v>
      </c>
      <c r="BR50">
        <f>AVERAGE(S_plus!BY$2:'S_plus'!BY50)</f>
        <v>104.08140754834696</v>
      </c>
      <c r="BS50">
        <f>AVERAGE(S_plus!BZ$2:'S_plus'!BZ50)</f>
        <v>96.868711473575488</v>
      </c>
      <c r="BT50">
        <f>AVERAGE(S_plus!CA$2:'S_plus'!CA50)</f>
        <v>101.06195157144693</v>
      </c>
      <c r="BU50">
        <f>AVERAGE(S_plus!CB$2:'S_plus'!CB50)</f>
        <v>101.89429730029181</v>
      </c>
      <c r="BV50">
        <f>AVERAGE(S_plus!CC$2:'S_plus'!CC50)</f>
        <v>95.070988506224523</v>
      </c>
      <c r="BW50">
        <f>AVERAGE(S_plus!CD$2:'S_plus'!CD50)</f>
        <v>99.397937587365305</v>
      </c>
      <c r="BX50">
        <f>AVERAGE(S_plus!CE$2:'S_plus'!CE50)</f>
        <v>102.31858481165916</v>
      </c>
      <c r="BY50">
        <f>AVERAGE(S_plus!CF$2:'S_plus'!CF50)</f>
        <v>92.237320860232657</v>
      </c>
      <c r="BZ50">
        <f>AVERAGE(S_plus!CG$2:'S_plus'!CG50)</f>
        <v>93.541155988602029</v>
      </c>
      <c r="CA50">
        <f>AVERAGE(S_plus!CH$2:'S_plus'!CH50)</f>
        <v>115.08328488773469</v>
      </c>
      <c r="CB50">
        <f>AVERAGE(S_plus!CI$2:'S_plus'!CI50)</f>
        <v>98.63427132572653</v>
      </c>
      <c r="CC50">
        <f>AVERAGE(S_plus!CJ$2:'S_plus'!CJ50)</f>
        <v>100.1614318011755</v>
      </c>
      <c r="CD50">
        <f>AVERAGE(S_plus!CK$2:'S_plus'!CK50)</f>
        <v>92.837115686712238</v>
      </c>
      <c r="CE50">
        <f>AVERAGE(S_plus!CL$2:'S_plus'!CL50)</f>
        <v>89.628700647169424</v>
      </c>
      <c r="CF50">
        <f>AVERAGE(S_plus!CM$2:'S_plus'!CM50)</f>
        <v>100.33699028217963</v>
      </c>
      <c r="CG50">
        <f>AVERAGE(S_plus!CN$2:'S_plus'!CN50)</f>
        <v>94.589493223697957</v>
      </c>
      <c r="CH50">
        <f>AVERAGE(S_plus!CO$2:'S_plus'!CO50)</f>
        <v>115.10469422779593</v>
      </c>
      <c r="CI50">
        <f>AVERAGE(S_plus!CP$2:'S_plus'!CP50)</f>
        <v>97.784930116193877</v>
      </c>
      <c r="CJ50">
        <f>AVERAGE(S_plus!CQ$2:'S_plus'!CQ50)</f>
        <v>105.03118098850614</v>
      </c>
      <c r="CK50">
        <f>AVERAGE(S_plus!CR$2:'S_plus'!CR50)</f>
        <v>102.04101501435301</v>
      </c>
      <c r="CL50">
        <f>AVERAGE(S_plus!CS$2:'S_plus'!CS50)</f>
        <v>105.5202450300408</v>
      </c>
      <c r="CM50">
        <f>AVERAGE(S_plus!CT$2:'S_plus'!CT50)</f>
        <v>107.18014058619592</v>
      </c>
      <c r="CN50">
        <f>AVERAGE(S_plus!CU$2:'S_plus'!CU50)</f>
        <v>102.06933042831426</v>
      </c>
      <c r="CO50">
        <f>AVERAGE(S_plus!CV$2:'S_plus'!CV50)</f>
        <v>94.865526659040796</v>
      </c>
      <c r="CP50">
        <f>AVERAGE(S_plus!CW$2:'S_plus'!CW50)</f>
        <v>108.78612628471632</v>
      </c>
      <c r="CQ50">
        <f>AVERAGE(S_plus!CX$2:'S_plus'!CX50)</f>
        <v>111.33544887676736</v>
      </c>
      <c r="CR50">
        <f>AVERAGE(S_plus!CY$2:'S_plus'!CY50)</f>
        <v>101.90784981776937</v>
      </c>
      <c r="CS50">
        <f>AVERAGE(S_plus!CZ$2:'S_plus'!CZ50)</f>
        <v>104.34905229071835</v>
      </c>
      <c r="CT50">
        <f>AVERAGE(S_plus!DA$2:'S_plus'!DA50)</f>
        <v>109.5613937562449</v>
      </c>
      <c r="CU50">
        <f>AVERAGE(S_plus!DB$2:'S_plus'!DB50)</f>
        <v>91.045010511526542</v>
      </c>
      <c r="CV50">
        <f>AVERAGE(S_plus!DC$2:'S_plus'!DC50)</f>
        <v>100.52493142393267</v>
      </c>
      <c r="CW50">
        <f>AVERAGE(S_plus!DD$2:'S_plus'!DD50)</f>
        <v>92.644790584210213</v>
      </c>
      <c r="CX50">
        <f>AVERAGE(S_plus!DE$2:'S_plus'!DE50)</f>
        <v>104.84713374333055</v>
      </c>
      <c r="CY50">
        <f>AVERAGE(S_plus!DF$2:'S_plus'!DF50)</f>
        <v>92.30325943807145</v>
      </c>
      <c r="CZ50">
        <f>AVERAGE(S_plus!DG$2:'S_plus'!DG50)</f>
        <v>92.854267970912218</v>
      </c>
      <c r="DA50">
        <f>AVERAGE(S_plus!DH$2:'S_plus'!DH50)</f>
        <v>101.18897623107554</v>
      </c>
    </row>
    <row r="51" spans="5:105" x14ac:dyDescent="0.25">
      <c r="E51">
        <f>E50+Asian!dt</f>
        <v>0.49000000000000027</v>
      </c>
      <c r="F51">
        <f>AVERAGE(S_plus!M$2:'S_plus'!M51)</f>
        <v>90.588422824404006</v>
      </c>
      <c r="G51">
        <f>AVERAGE(S_plus!N$2:'S_plus'!N51)</f>
        <v>93.997857565451994</v>
      </c>
      <c r="H51">
        <f>AVERAGE(S_plus!O$2:'S_plus'!O51)</f>
        <v>106.49835334362804</v>
      </c>
      <c r="I51">
        <f>AVERAGE(S_plus!P$2:'S_plus'!P51)</f>
        <v>99.922923694458007</v>
      </c>
      <c r="J51">
        <f>AVERAGE(S_plus!Q$2:'S_plus'!Q51)</f>
        <v>90.277405298828015</v>
      </c>
      <c r="K51">
        <f>AVERAGE(S_plus!R$2:'S_plus'!R51)</f>
        <v>97.217717142190011</v>
      </c>
      <c r="L51">
        <f>AVERAGE(S_plus!S$2:'S_plus'!S51)</f>
        <v>115.42032211159996</v>
      </c>
      <c r="M51">
        <f>AVERAGE(S_plus!T$2:'S_plus'!T51)</f>
        <v>85.172288598403995</v>
      </c>
      <c r="N51">
        <f>AVERAGE(S_plus!U$2:'S_plus'!U51)</f>
        <v>113.15547096680001</v>
      </c>
      <c r="O51">
        <f>AVERAGE(S_plus!V$2:'S_plus'!V51)</f>
        <v>100.70453712684001</v>
      </c>
      <c r="P51">
        <f>AVERAGE(S_plus!W$2:'S_plus'!W51)</f>
        <v>102.52597468006597</v>
      </c>
      <c r="Q51">
        <f>AVERAGE(S_plus!X$2:'S_plus'!X51)</f>
        <v>109.16526262524003</v>
      </c>
      <c r="R51">
        <f>AVERAGE(S_plus!Y$2:'S_plus'!Y51)</f>
        <v>93.747352792312014</v>
      </c>
      <c r="S51">
        <f>AVERAGE(S_plus!Z$2:'S_plus'!Z51)</f>
        <v>106.80936232384597</v>
      </c>
      <c r="T51">
        <f>AVERAGE(S_plus!AA$2:'S_plus'!AA51)</f>
        <v>104.89688355904399</v>
      </c>
      <c r="U51">
        <f>AVERAGE(S_plus!AB$2:'S_plus'!AB51)</f>
        <v>94.492979559000048</v>
      </c>
      <c r="V51">
        <f>AVERAGE(S_plus!AC$2:'S_plus'!AC51)</f>
        <v>91.493337898138037</v>
      </c>
      <c r="W51">
        <f>AVERAGE(S_plus!AD$2:'S_plus'!AD51)</f>
        <v>96.080861289362034</v>
      </c>
      <c r="X51">
        <f>AVERAGE(S_plus!AE$2:'S_plus'!AE51)</f>
        <v>117.49664859434999</v>
      </c>
      <c r="Y51">
        <f>AVERAGE(S_plus!AF$2:'S_plus'!AF51)</f>
        <v>98.608690837602012</v>
      </c>
      <c r="Z51">
        <f>AVERAGE(S_plus!AG$2:'S_plus'!AG51)</f>
        <v>104.23781531270399</v>
      </c>
      <c r="AA51">
        <f>AVERAGE(S_plus!AH$2:'S_plus'!AH51)</f>
        <v>100.423111436714</v>
      </c>
      <c r="AB51">
        <f>AVERAGE(S_plus!AI$2:'S_plus'!AI51)</f>
        <v>89.544192252589994</v>
      </c>
      <c r="AC51">
        <f>AVERAGE(S_plus!AJ$2:'S_plus'!AJ51)</f>
        <v>95.442025126009995</v>
      </c>
      <c r="AD51">
        <f>AVERAGE(S_plus!AK$2:'S_plus'!AK51)</f>
        <v>115.05634013952002</v>
      </c>
      <c r="AE51">
        <f>AVERAGE(S_plus!AL$2:'S_plus'!AL51)</f>
        <v>105.66055273500596</v>
      </c>
      <c r="AF51">
        <f>AVERAGE(S_plus!AM$2:'S_plus'!AM51)</f>
        <v>96.288822941939998</v>
      </c>
      <c r="AG51">
        <f>AVERAGE(S_plus!AN$2:'S_plus'!AN51)</f>
        <v>117.02526683046003</v>
      </c>
      <c r="AH51">
        <f>AVERAGE(S_plus!AO$2:'S_plus'!AO51)</f>
        <v>99.689533643803983</v>
      </c>
      <c r="AI51">
        <f>AVERAGE(S_plus!AP$2:'S_plus'!AP51)</f>
        <v>91.702742995361987</v>
      </c>
      <c r="AJ51">
        <f>AVERAGE(S_plus!AQ$2:'S_plus'!AQ51)</f>
        <v>100.35869792331199</v>
      </c>
      <c r="AK51">
        <f>AVERAGE(S_plus!AR$2:'S_plus'!AR51)</f>
        <v>100.97901704899</v>
      </c>
      <c r="AL51">
        <f>AVERAGE(S_plus!AS$2:'S_plus'!AS51)</f>
        <v>112.96351222304602</v>
      </c>
      <c r="AM51">
        <f>AVERAGE(S_plus!AT$2:'S_plus'!AT51)</f>
        <v>94.102723791510016</v>
      </c>
      <c r="AN51">
        <f>AVERAGE(S_plus!AU$2:'S_plus'!AU51)</f>
        <v>95.982512257768008</v>
      </c>
      <c r="AO51">
        <f>AVERAGE(S_plus!AV$2:'S_plus'!AV51)</f>
        <v>100.32433483750798</v>
      </c>
      <c r="AP51">
        <f>AVERAGE(S_plus!AW$2:'S_plus'!AW51)</f>
        <v>114.37348252867997</v>
      </c>
      <c r="AQ51">
        <f>AVERAGE(S_plus!AX$2:'S_plus'!AX51)</f>
        <v>98.152080541930033</v>
      </c>
      <c r="AR51">
        <f>AVERAGE(S_plus!AY$2:'S_plus'!AY51)</f>
        <v>98.097522886689987</v>
      </c>
      <c r="AS51">
        <f>AVERAGE(S_plus!AZ$2:'S_plus'!AZ51)</f>
        <v>113.73041637812001</v>
      </c>
      <c r="AT51">
        <f>AVERAGE(S_plus!BA$2:'S_plus'!BA51)</f>
        <v>111.19057045166001</v>
      </c>
      <c r="AU51">
        <f>AVERAGE(S_plus!BB$2:'S_plus'!BB51)</f>
        <v>106.90034459094403</v>
      </c>
      <c r="AV51">
        <f>AVERAGE(S_plus!BC$2:'S_plus'!BC51)</f>
        <v>110.37681795058398</v>
      </c>
      <c r="AW51">
        <f>AVERAGE(S_plus!BD$2:'S_plus'!BD51)</f>
        <v>101.028004877226</v>
      </c>
      <c r="AX51">
        <f>AVERAGE(S_plus!BE$2:'S_plus'!BE51)</f>
        <v>91.855983901313991</v>
      </c>
      <c r="AY51">
        <f>AVERAGE(S_plus!BF$2:'S_plus'!BF51)</f>
        <v>91.328204308090008</v>
      </c>
      <c r="AZ51">
        <f>AVERAGE(S_plus!BG$2:'S_plus'!BG51)</f>
        <v>93.033947730525995</v>
      </c>
      <c r="BA51">
        <f>AVERAGE(S_plus!BH$2:'S_plus'!BH51)</f>
        <v>99.678656758532014</v>
      </c>
      <c r="BB51">
        <f>AVERAGE(S_plus!BI$2:'S_plus'!BI51)</f>
        <v>107.05457845586001</v>
      </c>
      <c r="BC51">
        <f>AVERAGE(S_plus!BJ$2:'S_plus'!BJ51)</f>
        <v>105.56255529645595</v>
      </c>
      <c r="BD51">
        <f>AVERAGE(S_plus!BK$2:'S_plus'!BK51)</f>
        <v>95.614920949714019</v>
      </c>
      <c r="BE51">
        <f>AVERAGE(S_plus!BL$2:'S_plus'!BL51)</f>
        <v>92.469860970892029</v>
      </c>
      <c r="BF51">
        <f>AVERAGE(S_plus!BM$2:'S_plus'!BM51)</f>
        <v>95.288916268690031</v>
      </c>
      <c r="BG51">
        <f>AVERAGE(S_plus!BN$2:'S_plus'!BN51)</f>
        <v>101.24148878791398</v>
      </c>
      <c r="BH51">
        <f>AVERAGE(S_plus!BO$2:'S_plus'!BO51)</f>
        <v>86.376499410204019</v>
      </c>
      <c r="BI51">
        <f>AVERAGE(S_plus!BP$2:'S_plus'!BP51)</f>
        <v>91.762339805644018</v>
      </c>
      <c r="BJ51">
        <f>AVERAGE(S_plus!BQ$2:'S_plus'!BQ51)</f>
        <v>89.43321281541597</v>
      </c>
      <c r="BK51">
        <f>AVERAGE(S_plus!BR$2:'S_plus'!BR51)</f>
        <v>105.057717214288</v>
      </c>
      <c r="BL51">
        <f>AVERAGE(S_plus!BS$2:'S_plus'!BS51)</f>
        <v>104.54531572862599</v>
      </c>
      <c r="BM51">
        <f>AVERAGE(S_plus!BT$2:'S_plus'!BT51)</f>
        <v>110.21730133566</v>
      </c>
      <c r="BN51">
        <f>AVERAGE(S_plus!BU$2:'S_plus'!BU51)</f>
        <v>103.33089485882999</v>
      </c>
      <c r="BO51">
        <f>AVERAGE(S_plus!BV$2:'S_plus'!BV51)</f>
        <v>94.137748170771999</v>
      </c>
      <c r="BP51">
        <f>AVERAGE(S_plus!BW$2:'S_plus'!BW51)</f>
        <v>91.560990443627986</v>
      </c>
      <c r="BQ51">
        <f>AVERAGE(S_plus!BX$2:'S_plus'!BX51)</f>
        <v>86.648686539447993</v>
      </c>
      <c r="BR51">
        <f>AVERAGE(S_plus!BY$2:'S_plus'!BY51)</f>
        <v>104.00944555232003</v>
      </c>
      <c r="BS51">
        <f>AVERAGE(S_plus!BZ$2:'S_plus'!BZ51)</f>
        <v>97.203795438603976</v>
      </c>
      <c r="BT51">
        <f>AVERAGE(S_plus!CA$2:'S_plus'!CA51)</f>
        <v>101.061341837798</v>
      </c>
      <c r="BU51">
        <f>AVERAGE(S_plus!CB$2:'S_plus'!CB51)</f>
        <v>101.75769759237397</v>
      </c>
      <c r="BV51">
        <f>AVERAGE(S_plus!CC$2:'S_plus'!CC51)</f>
        <v>94.879736240296026</v>
      </c>
      <c r="BW51">
        <f>AVERAGE(S_plus!CD$2:'S_plus'!CD51)</f>
        <v>99.281403196140005</v>
      </c>
      <c r="BX51">
        <f>AVERAGE(S_plus!CE$2:'S_plus'!CE51)</f>
        <v>102.15238881079398</v>
      </c>
      <c r="BY51">
        <f>AVERAGE(S_plus!CF$2:'S_plus'!CF51)</f>
        <v>92.169404196150012</v>
      </c>
      <c r="BZ51">
        <f>AVERAGE(S_plus!CG$2:'S_plus'!CG51)</f>
        <v>93.649978736083995</v>
      </c>
      <c r="CA51">
        <f>AVERAGE(S_plus!CH$2:'S_plus'!CH51)</f>
        <v>114.95025378259999</v>
      </c>
      <c r="CB51">
        <f>AVERAGE(S_plus!CI$2:'S_plus'!CI51)</f>
        <v>98.815299008432007</v>
      </c>
      <c r="CC51">
        <f>AVERAGE(S_plus!CJ$2:'S_plus'!CJ51)</f>
        <v>100.1123072403</v>
      </c>
      <c r="CD51">
        <f>AVERAGE(S_plus!CK$2:'S_plus'!CK51)</f>
        <v>92.916093752057989</v>
      </c>
      <c r="CE51">
        <f>AVERAGE(S_plus!CL$2:'S_plus'!CL51)</f>
        <v>89.498702366022044</v>
      </c>
      <c r="CF51">
        <f>AVERAGE(S_plus!CM$2:'S_plus'!CM51)</f>
        <v>100.08465470427004</v>
      </c>
      <c r="CG51">
        <f>AVERAGE(S_plus!CN$2:'S_plus'!CN51)</f>
        <v>94.695061680597988</v>
      </c>
      <c r="CH51">
        <f>AVERAGE(S_plus!CO$2:'S_plus'!CO51)</f>
        <v>115.69613043058001</v>
      </c>
      <c r="CI51">
        <f>AVERAGE(S_plus!CP$2:'S_plus'!CP51)</f>
        <v>97.488505655240004</v>
      </c>
      <c r="CJ51">
        <f>AVERAGE(S_plus!CQ$2:'S_plus'!CQ51)</f>
        <v>104.96979961753601</v>
      </c>
      <c r="CK51">
        <f>AVERAGE(S_plus!CR$2:'S_plus'!CR51)</f>
        <v>102.05696208916595</v>
      </c>
      <c r="CL51">
        <f>AVERAGE(S_plus!CS$2:'S_plus'!CS51)</f>
        <v>105.52083194689997</v>
      </c>
      <c r="CM51">
        <f>AVERAGE(S_plus!CT$2:'S_plus'!CT51)</f>
        <v>107.402139377572</v>
      </c>
      <c r="CN51">
        <f>AVERAGE(S_plus!CU$2:'S_plus'!CU51)</f>
        <v>102.05810142934797</v>
      </c>
      <c r="CO51">
        <f>AVERAGE(S_plus!CV$2:'S_plus'!CV51)</f>
        <v>94.938767561163985</v>
      </c>
      <c r="CP51">
        <f>AVERAGE(S_plus!CW$2:'S_plus'!CW51)</f>
        <v>108.745193119742</v>
      </c>
      <c r="CQ51">
        <f>AVERAGE(S_plus!CX$2:'S_plus'!CX51)</f>
        <v>111.62014516745201</v>
      </c>
      <c r="CR51">
        <f>AVERAGE(S_plus!CY$2:'S_plus'!CY51)</f>
        <v>102.014432009134</v>
      </c>
      <c r="CS51">
        <f>AVERAGE(S_plus!CZ$2:'S_plus'!CZ51)</f>
        <v>104.47968923884399</v>
      </c>
      <c r="CT51">
        <f>AVERAGE(S_plus!DA$2:'S_plus'!DA51)</f>
        <v>109.81686756287999</v>
      </c>
      <c r="CU51">
        <f>AVERAGE(S_plus!DB$2:'S_plus'!DB51)</f>
        <v>90.790288152684013</v>
      </c>
      <c r="CV51">
        <f>AVERAGE(S_plus!DC$2:'S_plus'!DC51)</f>
        <v>100.58994834105401</v>
      </c>
      <c r="CW51">
        <f>AVERAGE(S_plus!DD$2:'S_plus'!DD51)</f>
        <v>92.505918602234019</v>
      </c>
      <c r="CX51">
        <f>AVERAGE(S_plus!DE$2:'S_plus'!DE51)</f>
        <v>104.80836115180392</v>
      </c>
      <c r="CY51">
        <f>AVERAGE(S_plus!DF$2:'S_plus'!DF51)</f>
        <v>92.083759701746018</v>
      </c>
      <c r="CZ51">
        <f>AVERAGE(S_plus!DG$2:'S_plus'!DG51)</f>
        <v>92.747217775583977</v>
      </c>
      <c r="DA51">
        <f>AVERAGE(S_plus!DH$2:'S_plus'!DH51)</f>
        <v>101.10228464740003</v>
      </c>
    </row>
    <row r="52" spans="5:105" x14ac:dyDescent="0.25">
      <c r="E52">
        <f>E51+Asian!dt</f>
        <v>0.50000000000000022</v>
      </c>
      <c r="F52">
        <f>AVERAGE(S_plus!M$2:'S_plus'!M52)</f>
        <v>90.708709228788237</v>
      </c>
      <c r="G52">
        <f>AVERAGE(S_plus!N$2:'S_plus'!N52)</f>
        <v>93.910418691188227</v>
      </c>
      <c r="H52">
        <f>AVERAGE(S_plus!O$2:'S_plus'!O52)</f>
        <v>106.34873432113532</v>
      </c>
      <c r="I52">
        <f>AVERAGE(S_plus!P$2:'S_plus'!P52)</f>
        <v>99.766658914850979</v>
      </c>
      <c r="J52">
        <f>AVERAGE(S_plus!Q$2:'S_plus'!Q52)</f>
        <v>90.004703430645122</v>
      </c>
      <c r="K52">
        <f>AVERAGE(S_plus!R$2:'S_plus'!R52)</f>
        <v>97.052525014047063</v>
      </c>
      <c r="L52">
        <f>AVERAGE(S_plus!S$2:'S_plus'!S52)</f>
        <v>115.39962784201957</v>
      </c>
      <c r="M52">
        <f>AVERAGE(S_plus!T$2:'S_plus'!T52)</f>
        <v>84.933872608213719</v>
      </c>
      <c r="N52">
        <f>AVERAGE(S_plus!U$2:'S_plus'!U52)</f>
        <v>113.12577882533334</v>
      </c>
      <c r="O52">
        <f>AVERAGE(S_plus!V$2:'S_plus'!V52)</f>
        <v>100.9442018992353</v>
      </c>
      <c r="P52">
        <f>AVERAGE(S_plus!W$2:'S_plus'!W52)</f>
        <v>102.60894965816273</v>
      </c>
      <c r="Q52">
        <f>AVERAGE(S_plus!X$2:'S_plus'!X52)</f>
        <v>109.37965783805885</v>
      </c>
      <c r="R52">
        <f>AVERAGE(S_plus!Y$2:'S_plus'!Y52)</f>
        <v>93.672804418741194</v>
      </c>
      <c r="S52">
        <f>AVERAGE(S_plus!Z$2:'S_plus'!Z52)</f>
        <v>106.86163674629998</v>
      </c>
      <c r="T52">
        <f>AVERAGE(S_plus!AA$2:'S_plus'!AA52)</f>
        <v>104.82637712037645</v>
      </c>
      <c r="U52">
        <f>AVERAGE(S_plus!AB$2:'S_plus'!AB52)</f>
        <v>94.785274508745147</v>
      </c>
      <c r="V52">
        <f>AVERAGE(S_plus!AC$2:'S_plus'!AC52)</f>
        <v>91.303841658788272</v>
      </c>
      <c r="W52">
        <f>AVERAGE(S_plus!AD$2:'S_plus'!AD52)</f>
        <v>96.228461392570622</v>
      </c>
      <c r="X52">
        <f>AVERAGE(S_plus!AE$2:'S_plus'!AE52)</f>
        <v>117.73323885236273</v>
      </c>
      <c r="Y52">
        <f>AVERAGE(S_plus!AF$2:'S_plus'!AF52)</f>
        <v>98.860340201139223</v>
      </c>
      <c r="Z52">
        <f>AVERAGE(S_plus!AG$2:'S_plus'!AG52)</f>
        <v>104.23732099598431</v>
      </c>
      <c r="AA52">
        <f>AVERAGE(S_plus!AH$2:'S_plus'!AH52)</f>
        <v>100.61270190873921</v>
      </c>
      <c r="AB52">
        <f>AVERAGE(S_plus!AI$2:'S_plus'!AI52)</f>
        <v>89.54547678762745</v>
      </c>
      <c r="AC52">
        <f>AVERAGE(S_plus!AJ$2:'S_plus'!AJ52)</f>
        <v>95.228562296527457</v>
      </c>
      <c r="AD52">
        <f>AVERAGE(S_plus!AK$2:'S_plus'!AK52)</f>
        <v>115.03735008533336</v>
      </c>
      <c r="AE52">
        <f>AVERAGE(S_plus!AL$2:'S_plus'!AL52)</f>
        <v>105.82000091059408</v>
      </c>
      <c r="AF52">
        <f>AVERAGE(S_plus!AM$2:'S_plus'!AM52)</f>
        <v>96.217712176574508</v>
      </c>
      <c r="AG52">
        <f>AVERAGE(S_plus!AN$2:'S_plus'!AN52)</f>
        <v>117.07411145737257</v>
      </c>
      <c r="AH52">
        <f>AVERAGE(S_plus!AO$2:'S_plus'!AO52)</f>
        <v>99.562955309266655</v>
      </c>
      <c r="AI52">
        <f>AVERAGE(S_plus!AP$2:'S_plus'!AP52)</f>
        <v>91.566310566764699</v>
      </c>
      <c r="AJ52">
        <f>AVERAGE(S_plus!AQ$2:'S_plus'!AQ52)</f>
        <v>100.67094562103136</v>
      </c>
      <c r="AK52">
        <f>AVERAGE(S_plus!AR$2:'S_plus'!AR52)</f>
        <v>100.90176314289216</v>
      </c>
      <c r="AL52">
        <f>AVERAGE(S_plus!AS$2:'S_plus'!AS52)</f>
        <v>113.15619482010395</v>
      </c>
      <c r="AM52">
        <f>AVERAGE(S_plus!AT$2:'S_plus'!AT52)</f>
        <v>94.160532077294135</v>
      </c>
      <c r="AN52">
        <f>AVERAGE(S_plus!AU$2:'S_plus'!AU52)</f>
        <v>96.134772118478452</v>
      </c>
      <c r="AO52">
        <f>AVERAGE(S_plus!AV$2:'S_plus'!AV52)</f>
        <v>100.70836959783134</v>
      </c>
      <c r="AP52">
        <f>AVERAGE(S_plus!AW$2:'S_plus'!AW52)</f>
        <v>114.47235009468625</v>
      </c>
      <c r="AQ52">
        <f>AVERAGE(S_plus!AX$2:'S_plus'!AX52)</f>
        <v>98.341663221421598</v>
      </c>
      <c r="AR52">
        <f>AVERAGE(S_plus!AY$2:'S_plus'!AY52)</f>
        <v>98.060636614911758</v>
      </c>
      <c r="AS52">
        <f>AVERAGE(S_plus!AZ$2:'S_plus'!AZ52)</f>
        <v>113.94317225201961</v>
      </c>
      <c r="AT52">
        <f>AVERAGE(S_plus!BA$2:'S_plus'!BA52)</f>
        <v>111.40463761207845</v>
      </c>
      <c r="AU52">
        <f>AVERAGE(S_plus!BB$2:'S_plus'!BB52)</f>
        <v>106.7445352445569</v>
      </c>
      <c r="AV52">
        <f>AVERAGE(S_plus!BC$2:'S_plus'!BC52)</f>
        <v>110.63670990127841</v>
      </c>
      <c r="AW52">
        <f>AVERAGE(S_plus!BD$2:'S_plus'!BD52)</f>
        <v>101.07979027239804</v>
      </c>
      <c r="AX52">
        <f>AVERAGE(S_plus!BE$2:'S_plus'!BE52)</f>
        <v>92.155268258954905</v>
      </c>
      <c r="AY52">
        <f>AVERAGE(S_plus!BF$2:'S_plus'!BF52)</f>
        <v>91.272429826070592</v>
      </c>
      <c r="AZ52">
        <f>AVERAGE(S_plus!BG$2:'S_plus'!BG52)</f>
        <v>93.03235862843529</v>
      </c>
      <c r="BA52">
        <f>AVERAGE(S_plus!BH$2:'S_plus'!BH52)</f>
        <v>99.787900917305905</v>
      </c>
      <c r="BB52">
        <f>AVERAGE(S_plus!BI$2:'S_plus'!BI52)</f>
        <v>106.99581055333334</v>
      </c>
      <c r="BC52">
        <f>AVERAGE(S_plus!BJ$2:'S_plus'!BJ52)</f>
        <v>105.55318270129015</v>
      </c>
      <c r="BD52">
        <f>AVERAGE(S_plus!BK$2:'S_plus'!BK52)</f>
        <v>95.579895641900009</v>
      </c>
      <c r="BE52">
        <f>AVERAGE(S_plus!BL$2:'S_plus'!BL52)</f>
        <v>92.405292834870608</v>
      </c>
      <c r="BF52">
        <f>AVERAGE(S_plus!BM$2:'S_plus'!BM52)</f>
        <v>95.32772589282159</v>
      </c>
      <c r="BG52">
        <f>AVERAGE(S_plus!BN$2:'S_plus'!BN52)</f>
        <v>101.25618402758235</v>
      </c>
      <c r="BH52">
        <f>AVERAGE(S_plus!BO$2:'S_plus'!BO52)</f>
        <v>86.377601627188255</v>
      </c>
      <c r="BI52">
        <f>AVERAGE(S_plus!BP$2:'S_plus'!BP52)</f>
        <v>91.679763472754928</v>
      </c>
      <c r="BJ52">
        <f>AVERAGE(S_plus!BQ$2:'S_plus'!BQ52)</f>
        <v>89.374163956045066</v>
      </c>
      <c r="BK52">
        <f>AVERAGE(S_plus!BR$2:'S_plus'!BR52)</f>
        <v>105.23379854743922</v>
      </c>
      <c r="BL52">
        <f>AVERAGE(S_plus!BS$2:'S_plus'!BS52)</f>
        <v>104.47061645143725</v>
      </c>
      <c r="BM52">
        <f>AVERAGE(S_plus!BT$2:'S_plus'!BT52)</f>
        <v>110.17154723380392</v>
      </c>
      <c r="BN52">
        <f>AVERAGE(S_plus!BU$2:'S_plus'!BU52)</f>
        <v>103.38274704271568</v>
      </c>
      <c r="BO52">
        <f>AVERAGE(S_plus!BV$2:'S_plus'!BV52)</f>
        <v>94.045307496076461</v>
      </c>
      <c r="BP52">
        <f>AVERAGE(S_plus!BW$2:'S_plus'!BW52)</f>
        <v>91.738925740752919</v>
      </c>
      <c r="BQ52">
        <f>AVERAGE(S_plus!BX$2:'S_plus'!BX52)</f>
        <v>86.456202675284302</v>
      </c>
      <c r="BR52">
        <f>AVERAGE(S_plus!BY$2:'S_plus'!BY52)</f>
        <v>103.95750805790199</v>
      </c>
      <c r="BS52">
        <f>AVERAGE(S_plus!BZ$2:'S_plus'!BZ52)</f>
        <v>97.536200651768596</v>
      </c>
      <c r="BT52">
        <f>AVERAGE(S_plus!CA$2:'S_plus'!CA52)</f>
        <v>101.00695031327058</v>
      </c>
      <c r="BU52">
        <f>AVERAGE(S_plus!CB$2:'S_plus'!CB52)</f>
        <v>101.67848807563526</v>
      </c>
      <c r="BV52">
        <f>AVERAGE(S_plus!CC$2:'S_plus'!CC52)</f>
        <v>94.671124493621591</v>
      </c>
      <c r="BW52">
        <f>AVERAGE(S_plus!CD$2:'S_plus'!CD52)</f>
        <v>99.193234443427457</v>
      </c>
      <c r="BX52">
        <f>AVERAGE(S_plus!CE$2:'S_plus'!CE52)</f>
        <v>102.01026014296468</v>
      </c>
      <c r="BY52">
        <f>AVERAGE(S_plus!CF$2:'S_plus'!CF52)</f>
        <v>92.142257105243146</v>
      </c>
      <c r="BZ52">
        <f>AVERAGE(S_plus!CG$2:'S_plus'!CG52)</f>
        <v>93.77941381541568</v>
      </c>
      <c r="CA52">
        <f>AVERAGE(S_plus!CH$2:'S_plus'!CH52)</f>
        <v>114.77225960225489</v>
      </c>
      <c r="CB52">
        <f>AVERAGE(S_plus!CI$2:'S_plus'!CI52)</f>
        <v>98.98030367734512</v>
      </c>
      <c r="CC52">
        <f>AVERAGE(S_plus!CJ$2:'S_plus'!CJ52)</f>
        <v>100.08341417657842</v>
      </c>
      <c r="CD52">
        <f>AVERAGE(S_plus!CK$2:'S_plus'!CK52)</f>
        <v>92.95187539231371</v>
      </c>
      <c r="CE52">
        <f>AVERAGE(S_plus!CL$2:'S_plus'!CL52)</f>
        <v>89.324476704845139</v>
      </c>
      <c r="CF52">
        <f>AVERAGE(S_plus!CM$2:'S_plus'!CM52)</f>
        <v>99.829742821290239</v>
      </c>
      <c r="CG52">
        <f>AVERAGE(S_plus!CN$2:'S_plus'!CN52)</f>
        <v>94.846991444056854</v>
      </c>
      <c r="CH52">
        <f>AVERAGE(S_plus!CO$2:'S_plus'!CO52)</f>
        <v>116.29709399878433</v>
      </c>
      <c r="CI52">
        <f>AVERAGE(S_plus!CP$2:'S_plus'!CP52)</f>
        <v>97.201464952637252</v>
      </c>
      <c r="CJ52">
        <f>AVERAGE(S_plus!CQ$2:'S_plus'!CQ52)</f>
        <v>104.87435540189806</v>
      </c>
      <c r="CK52">
        <f>AVERAGE(S_plus!CR$2:'S_plus'!CR52)</f>
        <v>102.01267976325877</v>
      </c>
      <c r="CL52">
        <f>AVERAGE(S_plus!CS$2:'S_plus'!CS52)</f>
        <v>105.52335311733331</v>
      </c>
      <c r="CM52">
        <f>AVERAGE(S_plus!CT$2:'S_plus'!CT52)</f>
        <v>107.62737304640393</v>
      </c>
      <c r="CN52">
        <f>AVERAGE(S_plus!CU$2:'S_plus'!CU52)</f>
        <v>102.03384991341959</v>
      </c>
      <c r="CO52">
        <f>AVERAGE(S_plus!CV$2:'S_plus'!CV52)</f>
        <v>95.056091337219598</v>
      </c>
      <c r="CP52">
        <f>AVERAGE(S_plus!CW$2:'S_plus'!CW52)</f>
        <v>108.74914189951177</v>
      </c>
      <c r="CQ52">
        <f>AVERAGE(S_plus!CX$2:'S_plus'!CX52)</f>
        <v>111.95618965669804</v>
      </c>
      <c r="CR52">
        <f>AVERAGE(S_plus!CY$2:'S_plus'!CY52)</f>
        <v>102.09549734989608</v>
      </c>
      <c r="CS52">
        <f>AVERAGE(S_plus!CZ$2:'S_plus'!CZ52)</f>
        <v>104.65895928184705</v>
      </c>
      <c r="CT52">
        <f>AVERAGE(S_plus!DA$2:'S_plus'!DA52)</f>
        <v>110.04287617403922</v>
      </c>
      <c r="CU52">
        <f>AVERAGE(S_plus!DB$2:'S_plus'!DB52)</f>
        <v>90.564304835017651</v>
      </c>
      <c r="CV52">
        <f>AVERAGE(S_plus!DC$2:'S_plus'!DC52)</f>
        <v>100.62418330883727</v>
      </c>
      <c r="CW52">
        <f>AVERAGE(S_plus!DD$2:'S_plus'!DD52)</f>
        <v>92.378576788039226</v>
      </c>
      <c r="CX52">
        <f>AVERAGE(S_plus!DE$2:'S_plus'!DE52)</f>
        <v>104.78282637229796</v>
      </c>
      <c r="CY52">
        <f>AVERAGE(S_plus!DF$2:'S_plus'!DF52)</f>
        <v>91.92464065335885</v>
      </c>
      <c r="CZ52">
        <f>AVERAGE(S_plus!DG$2:'S_plus'!DG52)</f>
        <v>92.603038741762731</v>
      </c>
      <c r="DA52">
        <f>AVERAGE(S_plus!DH$2:'S_plus'!DH52)</f>
        <v>101.11789112321571</v>
      </c>
    </row>
    <row r="53" spans="5:105" x14ac:dyDescent="0.25">
      <c r="E53">
        <f>E52+Asian!dt</f>
        <v>0.51000000000000023</v>
      </c>
      <c r="F53">
        <f>AVERAGE(S_plus!M$2:'S_plus'!M53)</f>
        <v>90.837072032775012</v>
      </c>
      <c r="G53">
        <f>AVERAGE(S_plus!N$2:'S_plus'!N53)</f>
        <v>93.83628992520768</v>
      </c>
      <c r="H53">
        <f>AVERAGE(S_plus!O$2:'S_plus'!O53)</f>
        <v>106.23684335999812</v>
      </c>
      <c r="I53">
        <f>AVERAGE(S_plus!P$2:'S_plus'!P53)</f>
        <v>99.583218930142294</v>
      </c>
      <c r="J53">
        <f>AVERAGE(S_plus!Q$2:'S_plus'!Q53)</f>
        <v>89.762393844159632</v>
      </c>
      <c r="K53">
        <f>AVERAGE(S_plus!R$2:'S_plus'!R53)</f>
        <v>96.861392387449996</v>
      </c>
      <c r="L53">
        <f>AVERAGE(S_plus!S$2:'S_plus'!S53)</f>
        <v>115.40715541228843</v>
      </c>
      <c r="M53">
        <f>AVERAGE(S_plus!T$2:'S_plus'!T53)</f>
        <v>84.71705342111153</v>
      </c>
      <c r="N53">
        <f>AVERAGE(S_plus!U$2:'S_plus'!U53)</f>
        <v>113.01781844596154</v>
      </c>
      <c r="O53">
        <f>AVERAGE(S_plus!V$2:'S_plus'!V53)</f>
        <v>101.06927483111539</v>
      </c>
      <c r="P53">
        <f>AVERAGE(S_plus!W$2:'S_plus'!W53)</f>
        <v>102.71665425742883</v>
      </c>
      <c r="Q53">
        <f>AVERAGE(S_plus!X$2:'S_plus'!X53)</f>
        <v>109.57622287001927</v>
      </c>
      <c r="R53">
        <f>AVERAGE(S_plus!Y$2:'S_plus'!Y53)</f>
        <v>93.584551901207703</v>
      </c>
      <c r="S53">
        <f>AVERAGE(S_plus!Z$2:'S_plus'!Z53)</f>
        <v>107.01157856033267</v>
      </c>
      <c r="T53">
        <f>AVERAGE(S_plus!AA$2:'S_plus'!AA53)</f>
        <v>104.84396122596537</v>
      </c>
      <c r="U53">
        <f>AVERAGE(S_plus!AB$2:'S_plus'!AB53)</f>
        <v>95.075964486423118</v>
      </c>
      <c r="V53">
        <f>AVERAGE(S_plus!AC$2:'S_plus'!AC53)</f>
        <v>91.105770764165428</v>
      </c>
      <c r="W53">
        <f>AVERAGE(S_plus!AD$2:'S_plus'!AD53)</f>
        <v>96.34058378657889</v>
      </c>
      <c r="X53">
        <f>AVERAGE(S_plus!AE$2:'S_plus'!AE53)</f>
        <v>118.01487289464423</v>
      </c>
      <c r="Y53">
        <f>AVERAGE(S_plus!AF$2:'S_plus'!AF53)</f>
        <v>99.107565671021177</v>
      </c>
      <c r="Z53">
        <f>AVERAGE(S_plus!AG$2:'S_plus'!AG53)</f>
        <v>104.2910739022923</v>
      </c>
      <c r="AA53">
        <f>AVERAGE(S_plus!AH$2:'S_plus'!AH53)</f>
        <v>100.82242321920577</v>
      </c>
      <c r="AB53">
        <f>AVERAGE(S_plus!AI$2:'S_plus'!AI53)</f>
        <v>89.537469375786543</v>
      </c>
      <c r="AC53">
        <f>AVERAGE(S_plus!AJ$2:'S_plus'!AJ53)</f>
        <v>95.037886595405766</v>
      </c>
      <c r="AD53">
        <f>AVERAGE(S_plus!AK$2:'S_plus'!AK53)</f>
        <v>115.01875385250001</v>
      </c>
      <c r="AE53">
        <f>AVERAGE(S_plus!AL$2:'S_plus'!AL53)</f>
        <v>105.95596831489034</v>
      </c>
      <c r="AF53">
        <f>AVERAGE(S_plus!AM$2:'S_plus'!AM53)</f>
        <v>96.131687422703848</v>
      </c>
      <c r="AG53">
        <f>AVERAGE(S_plus!AN$2:'S_plus'!AN53)</f>
        <v>117.02369865032695</v>
      </c>
      <c r="AH53">
        <f>AVERAGE(S_plus!AO$2:'S_plus'!AO53)</f>
        <v>99.414019243019226</v>
      </c>
      <c r="AI53">
        <f>AVERAGE(S_plus!AP$2:'S_plus'!AP53)</f>
        <v>91.481598661257678</v>
      </c>
      <c r="AJ53">
        <f>AVERAGE(S_plus!AQ$2:'S_plus'!AQ53)</f>
        <v>100.90388872058845</v>
      </c>
      <c r="AK53">
        <f>AVERAGE(S_plus!AR$2:'S_plus'!AR53)</f>
        <v>100.82268800558846</v>
      </c>
      <c r="AL53">
        <f>AVERAGE(S_plus!AS$2:'S_plus'!AS53)</f>
        <v>113.26531857200578</v>
      </c>
      <c r="AM53">
        <f>AVERAGE(S_plus!AT$2:'S_plus'!AT53)</f>
        <v>94.205213195132714</v>
      </c>
      <c r="AN53">
        <f>AVERAGE(S_plus!AU$2:'S_plus'!AU53)</f>
        <v>96.283360566200017</v>
      </c>
      <c r="AO53">
        <f>AVERAGE(S_plus!AV$2:'S_plus'!AV53)</f>
        <v>101.19144496081535</v>
      </c>
      <c r="AP53">
        <f>AVERAGE(S_plus!AW$2:'S_plus'!AW53)</f>
        <v>114.61489003149997</v>
      </c>
      <c r="AQ53">
        <f>AVERAGE(S_plus!AX$2:'S_plus'!AX53)</f>
        <v>98.518336385336568</v>
      </c>
      <c r="AR53">
        <f>AVERAGE(S_plus!AY$2:'S_plus'!AY53)</f>
        <v>98.088569998442296</v>
      </c>
      <c r="AS53">
        <f>AVERAGE(S_plus!AZ$2:'S_plus'!AZ53)</f>
        <v>114.12810851653846</v>
      </c>
      <c r="AT53">
        <f>AVERAGE(S_plus!BA$2:'S_plus'!BA53)</f>
        <v>111.64229866994232</v>
      </c>
      <c r="AU53">
        <f>AVERAGE(S_plus!BB$2:'S_plus'!BB53)</f>
        <v>106.56142683515773</v>
      </c>
      <c r="AV53">
        <f>AVERAGE(S_plus!BC$2:'S_plus'!BC53)</f>
        <v>110.91897565309999</v>
      </c>
      <c r="AW53">
        <f>AVERAGE(S_plus!BD$2:'S_plus'!BD53)</f>
        <v>101.11117090935191</v>
      </c>
      <c r="AX53">
        <f>AVERAGE(S_plus!BE$2:'S_plus'!BE53)</f>
        <v>92.427054502455775</v>
      </c>
      <c r="AY53">
        <f>AVERAGE(S_plus!BF$2:'S_plus'!BF53)</f>
        <v>91.249030889846154</v>
      </c>
      <c r="AZ53">
        <f>AVERAGE(S_plus!BG$2:'S_plus'!BG53)</f>
        <v>93.066225349732704</v>
      </c>
      <c r="BA53">
        <f>AVERAGE(S_plus!BH$2:'S_plus'!BH53)</f>
        <v>99.889156457165413</v>
      </c>
      <c r="BB53">
        <f>AVERAGE(S_plus!BI$2:'S_plus'!BI53)</f>
        <v>106.94241199203847</v>
      </c>
      <c r="BC53">
        <f>AVERAGE(S_plus!BJ$2:'S_plus'!BJ53)</f>
        <v>105.56380275509227</v>
      </c>
      <c r="BD53">
        <f>AVERAGE(S_plus!BK$2:'S_plus'!BK53)</f>
        <v>95.610348039573083</v>
      </c>
      <c r="BE53">
        <f>AVERAGE(S_plus!BL$2:'S_plus'!BL53)</f>
        <v>92.320957839567328</v>
      </c>
      <c r="BF53">
        <f>AVERAGE(S_plus!BM$2:'S_plus'!BM53)</f>
        <v>95.34244306570578</v>
      </c>
      <c r="BG53">
        <f>AVERAGE(S_plus!BN$2:'S_plus'!BN53)</f>
        <v>101.32870973376346</v>
      </c>
      <c r="BH53">
        <f>AVERAGE(S_plus!BO$2:'S_plus'!BO53)</f>
        <v>86.396998589623095</v>
      </c>
      <c r="BI53">
        <f>AVERAGE(S_plus!BP$2:'S_plus'!BP53)</f>
        <v>91.56177888894041</v>
      </c>
      <c r="BJ53">
        <f>AVERAGE(S_plus!BQ$2:'S_plus'!BQ53)</f>
        <v>89.353198458463424</v>
      </c>
      <c r="BK53">
        <f>AVERAGE(S_plus!BR$2:'S_plus'!BR53)</f>
        <v>105.39109191402693</v>
      </c>
      <c r="BL53">
        <f>AVERAGE(S_plus!BS$2:'S_plus'!BS53)</f>
        <v>104.39314576742885</v>
      </c>
      <c r="BM53">
        <f>AVERAGE(S_plus!BT$2:'S_plus'!BT53)</f>
        <v>110.09171607332692</v>
      </c>
      <c r="BN53">
        <f>AVERAGE(S_plus!BU$2:'S_plus'!BU53)</f>
        <v>103.42380188179807</v>
      </c>
      <c r="BO53">
        <f>AVERAGE(S_plus!BV$2:'S_plus'!BV53)</f>
        <v>93.921323136076907</v>
      </c>
      <c r="BP53">
        <f>AVERAGE(S_plus!BW$2:'S_plus'!BW53)</f>
        <v>91.914863348988447</v>
      </c>
      <c r="BQ53">
        <f>AVERAGE(S_plus!BX$2:'S_plus'!BX53)</f>
        <v>86.238564622878826</v>
      </c>
      <c r="BR53">
        <f>AVERAGE(S_plus!BY$2:'S_plus'!BY53)</f>
        <v>103.85673562468271</v>
      </c>
      <c r="BS53">
        <f>AVERAGE(S_plus!BZ$2:'S_plus'!BZ53)</f>
        <v>97.854245442484597</v>
      </c>
      <c r="BT53">
        <f>AVERAGE(S_plus!CA$2:'S_plus'!CA53)</f>
        <v>100.95625167417499</v>
      </c>
      <c r="BU53">
        <f>AVERAGE(S_plus!CB$2:'S_plus'!CB53)</f>
        <v>101.57983470591343</v>
      </c>
      <c r="BV53">
        <f>AVERAGE(S_plus!CC$2:'S_plus'!CC53)</f>
        <v>94.443951735301951</v>
      </c>
      <c r="BW53">
        <f>AVERAGE(S_plus!CD$2:'S_plus'!CD53)</f>
        <v>99.065500432709626</v>
      </c>
      <c r="BX53">
        <f>AVERAGE(S_plus!CE$2:'S_plus'!CE53)</f>
        <v>101.82782131739037</v>
      </c>
      <c r="BY53">
        <f>AVERAGE(S_plus!CF$2:'S_plus'!CF53)</f>
        <v>92.08049045332308</v>
      </c>
      <c r="BZ53">
        <f>AVERAGE(S_plus!CG$2:'S_plus'!CG53)</f>
        <v>93.883707766374997</v>
      </c>
      <c r="CA53">
        <f>AVERAGE(S_plus!CH$2:'S_plus'!CH53)</f>
        <v>114.56888611536536</v>
      </c>
      <c r="CB53">
        <f>AVERAGE(S_plus!CI$2:'S_plus'!CI53)</f>
        <v>99.116192651280784</v>
      </c>
      <c r="CC53">
        <f>AVERAGE(S_plus!CJ$2:'S_plus'!CJ53)</f>
        <v>100.08877418797114</v>
      </c>
      <c r="CD53">
        <f>AVERAGE(S_plus!CK$2:'S_plus'!CK53)</f>
        <v>92.951072955613441</v>
      </c>
      <c r="CE53">
        <f>AVERAGE(S_plus!CL$2:'S_plus'!CL53)</f>
        <v>89.15313667900773</v>
      </c>
      <c r="CF53">
        <f>AVERAGE(S_plus!CM$2:'S_plus'!CM53)</f>
        <v>99.542587208607728</v>
      </c>
      <c r="CG53">
        <f>AVERAGE(S_plus!CN$2:'S_plus'!CN53)</f>
        <v>95.057676321401914</v>
      </c>
      <c r="CH53">
        <f>AVERAGE(S_plus!CO$2:'S_plus'!CO53)</f>
        <v>116.88789082940387</v>
      </c>
      <c r="CI53">
        <f>AVERAGE(S_plus!CP$2:'S_plus'!CP53)</f>
        <v>96.857435786405773</v>
      </c>
      <c r="CJ53">
        <f>AVERAGE(S_plus!CQ$2:'S_plus'!CQ53)</f>
        <v>104.7495125782654</v>
      </c>
      <c r="CK53">
        <f>AVERAGE(S_plus!CR$2:'S_plus'!CR53)</f>
        <v>102.03008528846534</v>
      </c>
      <c r="CL53">
        <f>AVERAGE(S_plus!CS$2:'S_plus'!CS53)</f>
        <v>105.49226528363459</v>
      </c>
      <c r="CM53">
        <f>AVERAGE(S_plus!CT$2:'S_plus'!CT53)</f>
        <v>107.85375340037693</v>
      </c>
      <c r="CN53">
        <f>AVERAGE(S_plus!CU$2:'S_plus'!CU53)</f>
        <v>101.93694349057304</v>
      </c>
      <c r="CO53">
        <f>AVERAGE(S_plus!CV$2:'S_plus'!CV53)</f>
        <v>95.124729388009598</v>
      </c>
      <c r="CP53">
        <f>AVERAGE(S_plus!CW$2:'S_plus'!CW53)</f>
        <v>108.74169632380962</v>
      </c>
      <c r="CQ53">
        <f>AVERAGE(S_plus!CX$2:'S_plus'!CX53)</f>
        <v>112.28711474549232</v>
      </c>
      <c r="CR53">
        <f>AVERAGE(S_plus!CY$2:'S_plus'!CY53)</f>
        <v>102.16554127112884</v>
      </c>
      <c r="CS53">
        <f>AVERAGE(S_plus!CZ$2:'S_plus'!CZ53)</f>
        <v>104.81878012652305</v>
      </c>
      <c r="CT53">
        <f>AVERAGE(S_plus!DA$2:'S_plus'!DA53)</f>
        <v>110.27311712142308</v>
      </c>
      <c r="CU53">
        <f>AVERAGE(S_plus!DB$2:'S_plus'!DB53)</f>
        <v>90.372335134132683</v>
      </c>
      <c r="CV53">
        <f>AVERAGE(S_plus!DC$2:'S_plus'!DC53)</f>
        <v>100.68706926787885</v>
      </c>
      <c r="CW53">
        <f>AVERAGE(S_plus!DD$2:'S_plus'!DD53)</f>
        <v>92.282037336198087</v>
      </c>
      <c r="CX53">
        <f>AVERAGE(S_plus!DE$2:'S_plus'!DE53)</f>
        <v>104.7062744209653</v>
      </c>
      <c r="CY53">
        <f>AVERAGE(S_plus!DF$2:'S_plus'!DF53)</f>
        <v>91.831810692038488</v>
      </c>
      <c r="CZ53">
        <f>AVERAGE(S_plus!DG$2:'S_plus'!DG53)</f>
        <v>92.463893061042285</v>
      </c>
      <c r="DA53">
        <f>AVERAGE(S_plus!DH$2:'S_plus'!DH53)</f>
        <v>101.07584688118848</v>
      </c>
    </row>
    <row r="54" spans="5:105" x14ac:dyDescent="0.25">
      <c r="E54">
        <f>E53+Asian!dt</f>
        <v>0.52000000000000024</v>
      </c>
      <c r="F54">
        <f>AVERAGE(S_plus!M$2:'S_plus'!M54)</f>
        <v>91.01287978576039</v>
      </c>
      <c r="G54">
        <f>AVERAGE(S_plus!N$2:'S_plus'!N54)</f>
        <v>93.729014760062256</v>
      </c>
      <c r="H54">
        <f>AVERAGE(S_plus!O$2:'S_plus'!O54)</f>
        <v>106.14945282780947</v>
      </c>
      <c r="I54">
        <f>AVERAGE(S_plus!P$2:'S_plus'!P54)</f>
        <v>99.376392186571692</v>
      </c>
      <c r="J54">
        <f>AVERAGE(S_plus!Q$2:'S_plus'!Q54)</f>
        <v>89.495996442732093</v>
      </c>
      <c r="K54">
        <f>AVERAGE(S_plus!R$2:'S_plus'!R54)</f>
        <v>96.653246088247158</v>
      </c>
      <c r="L54">
        <f>AVERAGE(S_plus!S$2:'S_plus'!S54)</f>
        <v>115.29944328562262</v>
      </c>
      <c r="M54">
        <f>AVERAGE(S_plus!T$2:'S_plus'!T54)</f>
        <v>84.502943313766025</v>
      </c>
      <c r="N54">
        <f>AVERAGE(S_plus!U$2:'S_plus'!U54)</f>
        <v>113.01287100733963</v>
      </c>
      <c r="O54">
        <f>AVERAGE(S_plus!V$2:'S_plus'!V54)</f>
        <v>101.27804985139623</v>
      </c>
      <c r="P54">
        <f>AVERAGE(S_plus!W$2:'S_plus'!W54)</f>
        <v>102.79273312638301</v>
      </c>
      <c r="Q54">
        <f>AVERAGE(S_plus!X$2:'S_plus'!X54)</f>
        <v>109.74632359881136</v>
      </c>
      <c r="R54">
        <f>AVERAGE(S_plus!Y$2:'S_plus'!Y54)</f>
        <v>93.538574501775486</v>
      </c>
      <c r="S54">
        <f>AVERAGE(S_plus!Z$2:'S_plus'!Z54)</f>
        <v>107.12699296394904</v>
      </c>
      <c r="T54">
        <f>AVERAGE(S_plus!AA$2:'S_plus'!AA54)</f>
        <v>104.84845526290943</v>
      </c>
      <c r="U54">
        <f>AVERAGE(S_plus!AB$2:'S_plus'!AB54)</f>
        <v>95.373118172037778</v>
      </c>
      <c r="V54">
        <f>AVERAGE(S_plus!AC$2:'S_plus'!AC54)</f>
        <v>90.920491990992488</v>
      </c>
      <c r="W54">
        <f>AVERAGE(S_plus!AD$2:'S_plus'!AD54)</f>
        <v>96.463495754794366</v>
      </c>
      <c r="X54">
        <f>AVERAGE(S_plus!AE$2:'S_plus'!AE54)</f>
        <v>118.26323007757547</v>
      </c>
      <c r="Y54">
        <f>AVERAGE(S_plus!AF$2:'S_plus'!AF54)</f>
        <v>99.394565958964179</v>
      </c>
      <c r="Z54">
        <f>AVERAGE(S_plus!AG$2:'S_plus'!AG54)</f>
        <v>104.34018528979621</v>
      </c>
      <c r="AA54">
        <f>AVERAGE(S_plus!AH$2:'S_plus'!AH54)</f>
        <v>101.06315529303207</v>
      </c>
      <c r="AB54">
        <f>AVERAGE(S_plus!AI$2:'S_plus'!AI54)</f>
        <v>89.594870263439617</v>
      </c>
      <c r="AC54">
        <f>AVERAGE(S_plus!AJ$2:'S_plus'!AJ54)</f>
        <v>94.842030629367912</v>
      </c>
      <c r="AD54">
        <f>AVERAGE(S_plus!AK$2:'S_plus'!AK54)</f>
        <v>115.04591214781134</v>
      </c>
      <c r="AE54">
        <f>AVERAGE(S_plus!AL$2:'S_plus'!AL54)</f>
        <v>106.04879347709996</v>
      </c>
      <c r="AF54">
        <f>AVERAGE(S_plus!AM$2:'S_plus'!AM54)</f>
        <v>96.055881345399996</v>
      </c>
      <c r="AG54">
        <f>AVERAGE(S_plus!AN$2:'S_plus'!AN54)</f>
        <v>116.86915750209435</v>
      </c>
      <c r="AH54">
        <f>AVERAGE(S_plus!AO$2:'S_plus'!AO54)</f>
        <v>99.242610343273569</v>
      </c>
      <c r="AI54">
        <f>AVERAGE(S_plus!AP$2:'S_plus'!AP54)</f>
        <v>91.344438935067899</v>
      </c>
      <c r="AJ54">
        <f>AVERAGE(S_plus!AQ$2:'S_plus'!AQ54)</f>
        <v>101.19298121744528</v>
      </c>
      <c r="AK54">
        <f>AVERAGE(S_plus!AR$2:'S_plus'!AR54)</f>
        <v>100.71018636002643</v>
      </c>
      <c r="AL54">
        <f>AVERAGE(S_plus!AS$2:'S_plus'!AS54)</f>
        <v>113.3937300762321</v>
      </c>
      <c r="AM54">
        <f>AVERAGE(S_plus!AT$2:'S_plus'!AT54)</f>
        <v>94.192036589758501</v>
      </c>
      <c r="AN54">
        <f>AVERAGE(S_plus!AU$2:'S_plus'!AU54)</f>
        <v>96.484389408743411</v>
      </c>
      <c r="AO54">
        <f>AVERAGE(S_plus!AV$2:'S_plus'!AV54)</f>
        <v>101.60589047951694</v>
      </c>
      <c r="AP54">
        <f>AVERAGE(S_plus!AW$2:'S_plus'!AW54)</f>
        <v>114.78194266013205</v>
      </c>
      <c r="AQ54">
        <f>AVERAGE(S_plus!AX$2:'S_plus'!AX54)</f>
        <v>98.658406067330219</v>
      </c>
      <c r="AR54">
        <f>AVERAGE(S_plus!AY$2:'S_plus'!AY54)</f>
        <v>98.113973225639612</v>
      </c>
      <c r="AS54">
        <f>AVERAGE(S_plus!AZ$2:'S_plus'!AZ54)</f>
        <v>114.33586659347169</v>
      </c>
      <c r="AT54">
        <f>AVERAGE(S_plus!BA$2:'S_plus'!BA54)</f>
        <v>111.80245079249057</v>
      </c>
      <c r="AU54">
        <f>AVERAGE(S_plus!BB$2:'S_plus'!BB54)</f>
        <v>106.43364919137929</v>
      </c>
      <c r="AV54">
        <f>AVERAGE(S_plus!BC$2:'S_plus'!BC54)</f>
        <v>111.13846339004149</v>
      </c>
      <c r="AW54">
        <f>AVERAGE(S_plus!BD$2:'S_plus'!BD54)</f>
        <v>101.14200500543961</v>
      </c>
      <c r="AX54">
        <f>AVERAGE(S_plus!BE$2:'S_plus'!BE54)</f>
        <v>92.69628869103208</v>
      </c>
      <c r="AY54">
        <f>AVERAGE(S_plus!BF$2:'S_plus'!BF54)</f>
        <v>91.224154519839615</v>
      </c>
      <c r="AZ54">
        <f>AVERAGE(S_plus!BG$2:'S_plus'!BG54)</f>
        <v>93.13526219226415</v>
      </c>
      <c r="BA54">
        <f>AVERAGE(S_plus!BH$2:'S_plus'!BH54)</f>
        <v>100.02339244487928</v>
      </c>
      <c r="BB54">
        <f>AVERAGE(S_plus!BI$2:'S_plus'!BI54)</f>
        <v>106.87565808554719</v>
      </c>
      <c r="BC54">
        <f>AVERAGE(S_plus!BJ$2:'S_plus'!BJ54)</f>
        <v>105.53348707099619</v>
      </c>
      <c r="BD54">
        <f>AVERAGE(S_plus!BK$2:'S_plus'!BK54)</f>
        <v>95.679850018539611</v>
      </c>
      <c r="BE54">
        <f>AVERAGE(S_plus!BL$2:'S_plus'!BL54)</f>
        <v>92.195301808739629</v>
      </c>
      <c r="BF54">
        <f>AVERAGE(S_plus!BM$2:'S_plus'!BM54)</f>
        <v>95.344916410960394</v>
      </c>
      <c r="BG54">
        <f>AVERAGE(S_plus!BN$2:'S_plus'!BN54)</f>
        <v>101.37055897757925</v>
      </c>
      <c r="BH54">
        <f>AVERAGE(S_plus!BO$2:'S_plus'!BO54)</f>
        <v>86.433528650126448</v>
      </c>
      <c r="BI54">
        <f>AVERAGE(S_plus!BP$2:'S_plus'!BP54)</f>
        <v>91.425837540120781</v>
      </c>
      <c r="BJ54">
        <f>AVERAGE(S_plus!BQ$2:'S_plus'!BQ54)</f>
        <v>89.393725951447138</v>
      </c>
      <c r="BK54">
        <f>AVERAGE(S_plus!BR$2:'S_plus'!BR54)</f>
        <v>105.58074386536605</v>
      </c>
      <c r="BL54">
        <f>AVERAGE(S_plus!BS$2:'S_plus'!BS54)</f>
        <v>104.33647763098681</v>
      </c>
      <c r="BM54">
        <f>AVERAGE(S_plus!BT$2:'S_plus'!BT54)</f>
        <v>109.93192161232075</v>
      </c>
      <c r="BN54">
        <f>AVERAGE(S_plus!BU$2:'S_plus'!BU54)</f>
        <v>103.41747979685849</v>
      </c>
      <c r="BO54">
        <f>AVERAGE(S_plus!BV$2:'S_plus'!BV54)</f>
        <v>93.773627769007533</v>
      </c>
      <c r="BP54">
        <f>AVERAGE(S_plus!BW$2:'S_plus'!BW54)</f>
        <v>92.087135418781116</v>
      </c>
      <c r="BQ54">
        <f>AVERAGE(S_plus!BX$2:'S_plus'!BX54)</f>
        <v>86.033266023020744</v>
      </c>
      <c r="BR54">
        <f>AVERAGE(S_plus!BY$2:'S_plus'!BY54)</f>
        <v>103.74492801614153</v>
      </c>
      <c r="BS54">
        <f>AVERAGE(S_plus!BZ$2:'S_plus'!BZ54)</f>
        <v>98.166097158607528</v>
      </c>
      <c r="BT54">
        <f>AVERAGE(S_plus!CA$2:'S_plus'!CA54)</f>
        <v>100.83470048202263</v>
      </c>
      <c r="BU54">
        <f>AVERAGE(S_plus!CB$2:'S_plus'!CB54)</f>
        <v>101.44796695783958</v>
      </c>
      <c r="BV54">
        <f>AVERAGE(S_plus!CC$2:'S_plus'!CC54)</f>
        <v>94.203911395732092</v>
      </c>
      <c r="BW54">
        <f>AVERAGE(S_plus!CD$2:'S_plus'!CD54)</f>
        <v>99.005322602394358</v>
      </c>
      <c r="BX54">
        <f>AVERAGE(S_plus!CE$2:'S_plus'!CE54)</f>
        <v>101.66476822597357</v>
      </c>
      <c r="BY54">
        <f>AVERAGE(S_plus!CF$2:'S_plus'!CF54)</f>
        <v>91.977144248856604</v>
      </c>
      <c r="BZ54">
        <f>AVERAGE(S_plus!CG$2:'S_plus'!CG54)</f>
        <v>93.990686474545271</v>
      </c>
      <c r="CA54">
        <f>AVERAGE(S_plus!CH$2:'S_plus'!CH54)</f>
        <v>114.41424761509431</v>
      </c>
      <c r="CB54">
        <f>AVERAGE(S_plus!CI$2:'S_plus'!CI54)</f>
        <v>99.235319888747185</v>
      </c>
      <c r="CC54">
        <f>AVERAGE(S_plus!CJ$2:'S_plus'!CJ54)</f>
        <v>100.14673360423583</v>
      </c>
      <c r="CD54">
        <f>AVERAGE(S_plus!CK$2:'S_plus'!CK54)</f>
        <v>92.949116274441479</v>
      </c>
      <c r="CE54">
        <f>AVERAGE(S_plus!CL$2:'S_plus'!CL54)</f>
        <v>88.954793954281172</v>
      </c>
      <c r="CF54">
        <f>AVERAGE(S_plus!CM$2:'S_plus'!CM54)</f>
        <v>99.305021779903811</v>
      </c>
      <c r="CG54">
        <f>AVERAGE(S_plus!CN$2:'S_plus'!CN54)</f>
        <v>95.258768868922644</v>
      </c>
      <c r="CH54">
        <f>AVERAGE(S_plus!CO$2:'S_plus'!CO54)</f>
        <v>117.45034635416984</v>
      </c>
      <c r="CI54">
        <f>AVERAGE(S_plus!CP$2:'S_plus'!CP54)</f>
        <v>96.544542526815093</v>
      </c>
      <c r="CJ54">
        <f>AVERAGE(S_plus!CQ$2:'S_plus'!CQ54)</f>
        <v>104.63715574834529</v>
      </c>
      <c r="CK54">
        <f>AVERAGE(S_plus!CR$2:'S_plus'!CR54)</f>
        <v>101.97856891129994</v>
      </c>
      <c r="CL54">
        <f>AVERAGE(S_plus!CS$2:'S_plus'!CS54)</f>
        <v>105.49662487705659</v>
      </c>
      <c r="CM54">
        <f>AVERAGE(S_plus!CT$2:'S_plus'!CT54)</f>
        <v>108.03553526814341</v>
      </c>
      <c r="CN54">
        <f>AVERAGE(S_plus!CU$2:'S_plus'!CU54)</f>
        <v>101.89222185325846</v>
      </c>
      <c r="CO54">
        <f>AVERAGE(S_plus!CV$2:'S_plus'!CV54)</f>
        <v>95.20264040438677</v>
      </c>
      <c r="CP54">
        <f>AVERAGE(S_plus!CW$2:'S_plus'!CW54)</f>
        <v>108.8246747086434</v>
      </c>
      <c r="CQ54">
        <f>AVERAGE(S_plus!CX$2:'S_plus'!CX54)</f>
        <v>112.60802648620002</v>
      </c>
      <c r="CR54">
        <f>AVERAGE(S_plus!CY$2:'S_plus'!CY54)</f>
        <v>102.26870573320188</v>
      </c>
      <c r="CS54">
        <f>AVERAGE(S_plus!CZ$2:'S_plus'!CZ54)</f>
        <v>104.9756421887396</v>
      </c>
      <c r="CT54">
        <f>AVERAGE(S_plus!DA$2:'S_plus'!DA54)</f>
        <v>110.49218642192453</v>
      </c>
      <c r="CU54">
        <f>AVERAGE(S_plus!DB$2:'S_plus'!DB54)</f>
        <v>90.153182266339613</v>
      </c>
      <c r="CV54">
        <f>AVERAGE(S_plus!DC$2:'S_plus'!DC54)</f>
        <v>100.77618563395662</v>
      </c>
      <c r="CW54">
        <f>AVERAGE(S_plus!DD$2:'S_plus'!DD54)</f>
        <v>92.202616018605681</v>
      </c>
      <c r="CX54">
        <f>AVERAGE(S_plus!DE$2:'S_plus'!DE54)</f>
        <v>104.54458351102446</v>
      </c>
      <c r="CY54">
        <f>AVERAGE(S_plus!DF$2:'S_plus'!DF54)</f>
        <v>91.737314993656611</v>
      </c>
      <c r="CZ54">
        <f>AVERAGE(S_plus!DG$2:'S_plus'!DG54)</f>
        <v>92.320347906401864</v>
      </c>
      <c r="DA54">
        <f>AVERAGE(S_plus!DH$2:'S_plus'!DH54)</f>
        <v>101.05925536690192</v>
      </c>
    </row>
    <row r="55" spans="5:105" x14ac:dyDescent="0.25">
      <c r="E55">
        <f>E54+Asian!dt</f>
        <v>0.53000000000000025</v>
      </c>
      <c r="F55">
        <f>AVERAGE(S_plus!M$2:'S_plus'!M55)</f>
        <v>91.188481587727793</v>
      </c>
      <c r="G55">
        <f>AVERAGE(S_plus!N$2:'S_plus'!N55)</f>
        <v>93.60275863310369</v>
      </c>
      <c r="H55">
        <f>AVERAGE(S_plus!O$2:'S_plus'!O55)</f>
        <v>106.09068594190558</v>
      </c>
      <c r="I55">
        <f>AVERAGE(S_plus!P$2:'S_plus'!P55)</f>
        <v>99.19135815066295</v>
      </c>
      <c r="J55">
        <f>AVERAGE(S_plus!Q$2:'S_plus'!Q55)</f>
        <v>89.244946566890761</v>
      </c>
      <c r="K55">
        <f>AVERAGE(S_plus!R$2:'S_plus'!R55)</f>
        <v>96.493072338451839</v>
      </c>
      <c r="L55">
        <f>AVERAGE(S_plus!S$2:'S_plus'!S55)</f>
        <v>115.23682471085182</v>
      </c>
      <c r="M55">
        <f>AVERAGE(S_plus!T$2:'S_plus'!T55)</f>
        <v>84.349161203809246</v>
      </c>
      <c r="N55">
        <f>AVERAGE(S_plus!U$2:'S_plus'!U55)</f>
        <v>112.93021661703705</v>
      </c>
      <c r="O55">
        <f>AVERAGE(S_plus!V$2:'S_plus'!V55)</f>
        <v>101.44718148709261</v>
      </c>
      <c r="P55">
        <f>AVERAGE(S_plus!W$2:'S_plus'!W55)</f>
        <v>102.88341811682037</v>
      </c>
      <c r="Q55">
        <f>AVERAGE(S_plus!X$2:'S_plus'!X55)</f>
        <v>109.90853553237041</v>
      </c>
      <c r="R55">
        <f>AVERAGE(S_plus!Y$2:'S_plus'!Y55)</f>
        <v>93.49436590901297</v>
      </c>
      <c r="S55">
        <f>AVERAGE(S_plus!Z$2:'S_plus'!Z55)</f>
        <v>107.28469809343144</v>
      </c>
      <c r="T55">
        <f>AVERAGE(S_plus!AA$2:'S_plus'!AA55)</f>
        <v>104.9172990639111</v>
      </c>
      <c r="U55">
        <f>AVERAGE(S_plus!AB$2:'S_plus'!AB55)</f>
        <v>95.65174053229633</v>
      </c>
      <c r="V55">
        <f>AVERAGE(S_plus!AC$2:'S_plus'!AC55)</f>
        <v>90.736497011509286</v>
      </c>
      <c r="W55">
        <f>AVERAGE(S_plus!AD$2:'S_plus'!AD55)</f>
        <v>96.533472845390776</v>
      </c>
      <c r="X55">
        <f>AVERAGE(S_plus!AE$2:'S_plus'!AE55)</f>
        <v>118.51687951026851</v>
      </c>
      <c r="Y55">
        <f>AVERAGE(S_plus!AF$2:'S_plus'!AF55)</f>
        <v>99.703518577557432</v>
      </c>
      <c r="Z55">
        <f>AVERAGE(S_plus!AG$2:'S_plus'!AG55)</f>
        <v>104.39282353596666</v>
      </c>
      <c r="AA55">
        <f>AVERAGE(S_plus!AH$2:'S_plus'!AH55)</f>
        <v>101.32260018403147</v>
      </c>
      <c r="AB55">
        <f>AVERAGE(S_plus!AI$2:'S_plus'!AI55)</f>
        <v>89.653276453966669</v>
      </c>
      <c r="AC55">
        <f>AVERAGE(S_plus!AJ$2:'S_plus'!AJ55)</f>
        <v>94.670888088068509</v>
      </c>
      <c r="AD55">
        <f>AVERAGE(S_plus!AK$2:'S_plus'!AK55)</f>
        <v>115.03312888901854</v>
      </c>
      <c r="AE55">
        <f>AVERAGE(S_plus!AL$2:'S_plus'!AL55)</f>
        <v>106.09541337733884</v>
      </c>
      <c r="AF55">
        <f>AVERAGE(S_plus!AM$2:'S_plus'!AM55)</f>
        <v>96.003983862618512</v>
      </c>
      <c r="AG55">
        <f>AVERAGE(S_plus!AN$2:'S_plus'!AN55)</f>
        <v>116.73104468038891</v>
      </c>
      <c r="AH55">
        <f>AVERAGE(S_plus!AO$2:'S_plus'!AO55)</f>
        <v>99.138564384562955</v>
      </c>
      <c r="AI55">
        <f>AVERAGE(S_plus!AP$2:'S_plus'!AP55)</f>
        <v>91.262593972596278</v>
      </c>
      <c r="AJ55">
        <f>AVERAGE(S_plus!AQ$2:'S_plus'!AQ55)</f>
        <v>101.47739900969628</v>
      </c>
      <c r="AK55">
        <f>AVERAGE(S_plus!AR$2:'S_plus'!AR55)</f>
        <v>100.60940166963704</v>
      </c>
      <c r="AL55">
        <f>AVERAGE(S_plus!AS$2:'S_plus'!AS55)</f>
        <v>113.56394653000558</v>
      </c>
      <c r="AM55">
        <f>AVERAGE(S_plus!AT$2:'S_plus'!AT55)</f>
        <v>94.188082012007428</v>
      </c>
      <c r="AN55">
        <f>AVERAGE(S_plus!AU$2:'S_plus'!AU55)</f>
        <v>96.674140126785204</v>
      </c>
      <c r="AO55">
        <f>AVERAGE(S_plus!AV$2:'S_plus'!AV55)</f>
        <v>102.03976203122959</v>
      </c>
      <c r="AP55">
        <f>AVERAGE(S_plus!AW$2:'S_plus'!AW55)</f>
        <v>114.92246570261108</v>
      </c>
      <c r="AQ55">
        <f>AVERAGE(S_plus!AX$2:'S_plus'!AX55)</f>
        <v>98.772025437601883</v>
      </c>
      <c r="AR55">
        <f>AVERAGE(S_plus!AY$2:'S_plus'!AY55)</f>
        <v>98.114454207340728</v>
      </c>
      <c r="AS55">
        <f>AVERAGE(S_plus!AZ$2:'S_plus'!AZ55)</f>
        <v>114.54737642762963</v>
      </c>
      <c r="AT55">
        <f>AVERAGE(S_plus!BA$2:'S_plus'!BA55)</f>
        <v>111.95127225583335</v>
      </c>
      <c r="AU55">
        <f>AVERAGE(S_plus!BB$2:'S_plus'!BB55)</f>
        <v>106.26278264285375</v>
      </c>
      <c r="AV55">
        <f>AVERAGE(S_plus!BC$2:'S_plus'!BC55)</f>
        <v>111.35858853057776</v>
      </c>
      <c r="AW55">
        <f>AVERAGE(S_plus!BD$2:'S_plus'!BD55)</f>
        <v>101.20676721219073</v>
      </c>
      <c r="AX55">
        <f>AVERAGE(S_plus!BE$2:'S_plus'!BE55)</f>
        <v>92.974365359809255</v>
      </c>
      <c r="AY55">
        <f>AVERAGE(S_plus!BF$2:'S_plus'!BF55)</f>
        <v>91.225011115761106</v>
      </c>
      <c r="AZ55">
        <f>AVERAGE(S_plus!BG$2:'S_plus'!BG55)</f>
        <v>93.245091680609249</v>
      </c>
      <c r="BA55">
        <f>AVERAGE(S_plus!BH$2:'S_plus'!BH55)</f>
        <v>100.13412438223337</v>
      </c>
      <c r="BB55">
        <f>AVERAGE(S_plus!BI$2:'S_plus'!BI55)</f>
        <v>106.77347389933335</v>
      </c>
      <c r="BC55">
        <f>AVERAGE(S_plus!BJ$2:'S_plus'!BJ55)</f>
        <v>105.4672521354407</v>
      </c>
      <c r="BD55">
        <f>AVERAGE(S_plus!BK$2:'S_plus'!BK55)</f>
        <v>95.814687333751849</v>
      </c>
      <c r="BE55">
        <f>AVERAGE(S_plus!BL$2:'S_plus'!BL55)</f>
        <v>92.089064450124084</v>
      </c>
      <c r="BF55">
        <f>AVERAGE(S_plus!BM$2:'S_plus'!BM55)</f>
        <v>95.371765443064831</v>
      </c>
      <c r="BG55">
        <f>AVERAGE(S_plus!BN$2:'S_plus'!BN55)</f>
        <v>101.43099124236481</v>
      </c>
      <c r="BH55">
        <f>AVERAGE(S_plus!BO$2:'S_plus'!BO55)</f>
        <v>86.419098697479669</v>
      </c>
      <c r="BI55">
        <f>AVERAGE(S_plus!BP$2:'S_plus'!BP55)</f>
        <v>91.204352333416679</v>
      </c>
      <c r="BJ55">
        <f>AVERAGE(S_plus!BQ$2:'S_plus'!BQ55)</f>
        <v>89.403705310588862</v>
      </c>
      <c r="BK55">
        <f>AVERAGE(S_plus!BR$2:'S_plus'!BR55)</f>
        <v>105.73042350872964</v>
      </c>
      <c r="BL55">
        <f>AVERAGE(S_plus!BS$2:'S_plus'!BS55)</f>
        <v>104.32614160495001</v>
      </c>
      <c r="BM55">
        <f>AVERAGE(S_plus!BT$2:'S_plus'!BT55)</f>
        <v>109.73818253445555</v>
      </c>
      <c r="BN55">
        <f>AVERAGE(S_plus!BU$2:'S_plus'!BU55)</f>
        <v>103.34510326180555</v>
      </c>
      <c r="BO55">
        <f>AVERAGE(S_plus!BV$2:'S_plus'!BV55)</f>
        <v>93.56632583827961</v>
      </c>
      <c r="BP55">
        <f>AVERAGE(S_plus!BW$2:'S_plus'!BW55)</f>
        <v>92.255250365951824</v>
      </c>
      <c r="BQ55">
        <f>AVERAGE(S_plus!BX$2:'S_plus'!BX55)</f>
        <v>85.827190572575915</v>
      </c>
      <c r="BR55">
        <f>AVERAGE(S_plus!BY$2:'S_plus'!BY55)</f>
        <v>103.54715293008336</v>
      </c>
      <c r="BS55">
        <f>AVERAGE(S_plus!BZ$2:'S_plus'!BZ55)</f>
        <v>98.458123118151832</v>
      </c>
      <c r="BT55">
        <f>AVERAGE(S_plus!CA$2:'S_plus'!CA55)</f>
        <v>100.6986420146148</v>
      </c>
      <c r="BU55">
        <f>AVERAGE(S_plus!CB$2:'S_plus'!CB55)</f>
        <v>101.32623375489626</v>
      </c>
      <c r="BV55">
        <f>AVERAGE(S_plus!CC$2:'S_plus'!CC55)</f>
        <v>93.966717320727795</v>
      </c>
      <c r="BW55">
        <f>AVERAGE(S_plus!CD$2:'S_plus'!CD55)</f>
        <v>98.909182051761121</v>
      </c>
      <c r="BX55">
        <f>AVERAGE(S_plus!CE$2:'S_plus'!CE55)</f>
        <v>101.46917242788147</v>
      </c>
      <c r="BY55">
        <f>AVERAGE(S_plus!CF$2:'S_plus'!CF55)</f>
        <v>91.876802877955555</v>
      </c>
      <c r="BZ55">
        <f>AVERAGE(S_plus!CG$2:'S_plus'!CG55)</f>
        <v>94.050032553285178</v>
      </c>
      <c r="CA55">
        <f>AVERAGE(S_plus!CH$2:'S_plus'!CH55)</f>
        <v>114.30105076335184</v>
      </c>
      <c r="CB55">
        <f>AVERAGE(S_plus!CI$2:'S_plus'!CI55)</f>
        <v>99.370644399529652</v>
      </c>
      <c r="CC55">
        <f>AVERAGE(S_plus!CJ$2:'S_plus'!CJ55)</f>
        <v>100.21891984597221</v>
      </c>
      <c r="CD55">
        <f>AVERAGE(S_plus!CK$2:'S_plus'!CK55)</f>
        <v>92.928392104981469</v>
      </c>
      <c r="CE55">
        <f>AVERAGE(S_plus!CL$2:'S_plus'!CL55)</f>
        <v>88.757859070281512</v>
      </c>
      <c r="CF55">
        <f>AVERAGE(S_plus!CM$2:'S_plus'!CM55)</f>
        <v>99.048522321181522</v>
      </c>
      <c r="CG55">
        <f>AVERAGE(S_plus!CN$2:'S_plus'!CN55)</f>
        <v>95.468574369942587</v>
      </c>
      <c r="CH55">
        <f>AVERAGE(S_plus!CO$2:'S_plus'!CO55)</f>
        <v>117.95236596088891</v>
      </c>
      <c r="CI55">
        <f>AVERAGE(S_plus!CP$2:'S_plus'!CP55)</f>
        <v>96.225012936011098</v>
      </c>
      <c r="CJ55">
        <f>AVERAGE(S_plus!CQ$2:'S_plus'!CQ55)</f>
        <v>104.52176664194259</v>
      </c>
      <c r="CK55">
        <f>AVERAGE(S_plus!CR$2:'S_plus'!CR55)</f>
        <v>101.98293745846105</v>
      </c>
      <c r="CL55">
        <f>AVERAGE(S_plus!CS$2:'S_plus'!CS55)</f>
        <v>105.41523184453702</v>
      </c>
      <c r="CM55">
        <f>AVERAGE(S_plus!CT$2:'S_plus'!CT55)</f>
        <v>108.15319949230742</v>
      </c>
      <c r="CN55">
        <f>AVERAGE(S_plus!CU$2:'S_plus'!CU55)</f>
        <v>101.86937290910554</v>
      </c>
      <c r="CO55">
        <f>AVERAGE(S_plus!CV$2:'S_plus'!CV55)</f>
        <v>95.250172918762942</v>
      </c>
      <c r="CP55">
        <f>AVERAGE(S_plus!CW$2:'S_plus'!CW55)</f>
        <v>108.88890495203889</v>
      </c>
      <c r="CQ55">
        <f>AVERAGE(S_plus!CX$2:'S_plus'!CX55)</f>
        <v>112.94885919915929</v>
      </c>
      <c r="CR55">
        <f>AVERAGE(S_plus!CY$2:'S_plus'!CY55)</f>
        <v>102.3768862603463</v>
      </c>
      <c r="CS55">
        <f>AVERAGE(S_plus!CZ$2:'S_plus'!CZ55)</f>
        <v>105.18690897791109</v>
      </c>
      <c r="CT55">
        <f>AVERAGE(S_plus!DA$2:'S_plus'!DA55)</f>
        <v>110.72531282255557</v>
      </c>
      <c r="CU55">
        <f>AVERAGE(S_plus!DB$2:'S_plus'!DB55)</f>
        <v>89.919305446644444</v>
      </c>
      <c r="CV55">
        <f>AVERAGE(S_plus!DC$2:'S_plus'!DC55)</f>
        <v>100.84173999919815</v>
      </c>
      <c r="CW55">
        <f>AVERAGE(S_plus!DD$2:'S_plus'!DD55)</f>
        <v>92.107980799009269</v>
      </c>
      <c r="CX55">
        <f>AVERAGE(S_plus!DE$2:'S_plus'!DE55)</f>
        <v>104.400140015274</v>
      </c>
      <c r="CY55">
        <f>AVERAGE(S_plus!DF$2:'S_plus'!DF55)</f>
        <v>91.602142046144465</v>
      </c>
      <c r="CZ55">
        <f>AVERAGE(S_plus!DG$2:'S_plus'!DG55)</f>
        <v>92.136285749616647</v>
      </c>
      <c r="DA55">
        <f>AVERAGE(S_plus!DH$2:'S_plus'!DH55)</f>
        <v>101.03502630625559</v>
      </c>
    </row>
    <row r="56" spans="5:105" x14ac:dyDescent="0.25">
      <c r="E56">
        <f>E55+Asian!dt</f>
        <v>0.54000000000000026</v>
      </c>
      <c r="F56">
        <f>AVERAGE(S_plus!M$2:'S_plus'!M56)</f>
        <v>91.374202273405473</v>
      </c>
      <c r="G56">
        <f>AVERAGE(S_plus!N$2:'S_plus'!N56)</f>
        <v>93.513654294225447</v>
      </c>
      <c r="H56">
        <f>AVERAGE(S_plus!O$2:'S_plus'!O56)</f>
        <v>106.08437223678003</v>
      </c>
      <c r="I56">
        <f>AVERAGE(S_plus!P$2:'S_plus'!P56)</f>
        <v>99.037188737856354</v>
      </c>
      <c r="J56">
        <f>AVERAGE(S_plus!Q$2:'S_plus'!Q56)</f>
        <v>89.045843666910926</v>
      </c>
      <c r="K56">
        <f>AVERAGE(S_plus!R$2:'S_plus'!R56)</f>
        <v>96.313954087261806</v>
      </c>
      <c r="L56">
        <f>AVERAGE(S_plus!S$2:'S_plus'!S56)</f>
        <v>115.22769283689087</v>
      </c>
      <c r="M56">
        <f>AVERAGE(S_plus!T$2:'S_plus'!T56)</f>
        <v>84.20228134264363</v>
      </c>
      <c r="N56">
        <f>AVERAGE(S_plus!U$2:'S_plus'!U56)</f>
        <v>112.83608044725456</v>
      </c>
      <c r="O56">
        <f>AVERAGE(S_plus!V$2:'S_plus'!V56)</f>
        <v>101.61019159292728</v>
      </c>
      <c r="P56">
        <f>AVERAGE(S_plus!W$2:'S_plus'!W56)</f>
        <v>102.92799206853272</v>
      </c>
      <c r="Q56">
        <f>AVERAGE(S_plus!X$2:'S_plus'!X56)</f>
        <v>110.05242814318186</v>
      </c>
      <c r="R56">
        <f>AVERAGE(S_plus!Y$2:'S_plus'!Y56)</f>
        <v>93.452668942127275</v>
      </c>
      <c r="S56">
        <f>AVERAGE(S_plus!Z$2:'S_plus'!Z56)</f>
        <v>107.41396073907816</v>
      </c>
      <c r="T56">
        <f>AVERAGE(S_plus!AA$2:'S_plus'!AA56)</f>
        <v>104.97426691456725</v>
      </c>
      <c r="U56">
        <f>AVERAGE(S_plus!AB$2:'S_plus'!AB56)</f>
        <v>95.925193814200028</v>
      </c>
      <c r="V56">
        <f>AVERAGE(S_plus!AC$2:'S_plus'!AC56)</f>
        <v>90.53833184946366</v>
      </c>
      <c r="W56">
        <f>AVERAGE(S_plus!AD$2:'S_plus'!AD56)</f>
        <v>96.61456112709277</v>
      </c>
      <c r="X56">
        <f>AVERAGE(S_plus!AE$2:'S_plus'!AE56)</f>
        <v>118.76822576873636</v>
      </c>
      <c r="Y56">
        <f>AVERAGE(S_plus!AF$2:'S_plus'!AF56)</f>
        <v>100.01422309267458</v>
      </c>
      <c r="Z56">
        <f>AVERAGE(S_plus!AG$2:'S_plus'!AG56)</f>
        <v>104.46788069047636</v>
      </c>
      <c r="AA56">
        <f>AVERAGE(S_plus!AH$2:'S_plus'!AH56)</f>
        <v>101.6301632514309</v>
      </c>
      <c r="AB56">
        <f>AVERAGE(S_plus!AI$2:'S_plus'!AI56)</f>
        <v>89.745172562432742</v>
      </c>
      <c r="AC56">
        <f>AVERAGE(S_plus!AJ$2:'S_plus'!AJ56)</f>
        <v>94.436968477083624</v>
      </c>
      <c r="AD56">
        <f>AVERAGE(S_plus!AK$2:'S_plus'!AK56)</f>
        <v>115.0032361267273</v>
      </c>
      <c r="AE56">
        <f>AVERAGE(S_plus!AL$2:'S_plus'!AL56)</f>
        <v>106.13137224531451</v>
      </c>
      <c r="AF56">
        <f>AVERAGE(S_plus!AM$2:'S_plus'!AM56)</f>
        <v>95.974250224867276</v>
      </c>
      <c r="AG56">
        <f>AVERAGE(S_plus!AN$2:'S_plus'!AN56)</f>
        <v>116.62079082134548</v>
      </c>
      <c r="AH56">
        <f>AVERAGE(S_plus!AO$2:'S_plus'!AO56)</f>
        <v>99.047996369579991</v>
      </c>
      <c r="AI56">
        <f>AVERAGE(S_plus!AP$2:'S_plus'!AP56)</f>
        <v>91.245638545227251</v>
      </c>
      <c r="AJ56">
        <f>AVERAGE(S_plus!AQ$2:'S_plus'!AQ56)</f>
        <v>101.80295437481091</v>
      </c>
      <c r="AK56">
        <f>AVERAGE(S_plus!AR$2:'S_plus'!AR56)</f>
        <v>100.57748788691092</v>
      </c>
      <c r="AL56">
        <f>AVERAGE(S_plus!AS$2:'S_plus'!AS56)</f>
        <v>113.74882523884185</v>
      </c>
      <c r="AM56">
        <f>AVERAGE(S_plus!AT$2:'S_plus'!AT56)</f>
        <v>94.199213213723652</v>
      </c>
      <c r="AN56">
        <f>AVERAGE(S_plus!AU$2:'S_plus'!AU56)</f>
        <v>96.848636123225475</v>
      </c>
      <c r="AO56">
        <f>AVERAGE(S_plus!AV$2:'S_plus'!AV56)</f>
        <v>102.42029697842541</v>
      </c>
      <c r="AP56">
        <f>AVERAGE(S_plus!AW$2:'S_plus'!AW56)</f>
        <v>115.0886115187636</v>
      </c>
      <c r="AQ56">
        <f>AVERAGE(S_plus!AX$2:'S_plus'!AX56)</f>
        <v>98.868534484172756</v>
      </c>
      <c r="AR56">
        <f>AVERAGE(S_plus!AY$2:'S_plus'!AY56)</f>
        <v>98.154312930661817</v>
      </c>
      <c r="AS56">
        <f>AVERAGE(S_plus!AZ$2:'S_plus'!AZ56)</f>
        <v>114.69214209290909</v>
      </c>
      <c r="AT56">
        <f>AVERAGE(S_plus!BA$2:'S_plus'!BA56)</f>
        <v>112.11017395850909</v>
      </c>
      <c r="AU56">
        <f>AVERAGE(S_plus!BB$2:'S_plus'!BB56)</f>
        <v>106.12300644515642</v>
      </c>
      <c r="AV56">
        <f>AVERAGE(S_plus!BC$2:'S_plus'!BC56)</f>
        <v>111.51322769660361</v>
      </c>
      <c r="AW56">
        <f>AVERAGE(S_plus!BD$2:'S_plus'!BD56)</f>
        <v>101.30612799513273</v>
      </c>
      <c r="AX56">
        <f>AVERAGE(S_plus!BE$2:'S_plus'!BE56)</f>
        <v>93.177733082794546</v>
      </c>
      <c r="AY56">
        <f>AVERAGE(S_plus!BF$2:'S_plus'!BF56)</f>
        <v>91.211610228492717</v>
      </c>
      <c r="AZ56">
        <f>AVERAGE(S_plus!BG$2:'S_plus'!BG56)</f>
        <v>93.403035130034539</v>
      </c>
      <c r="BA56">
        <f>AVERAGE(S_plus!BH$2:'S_plus'!BH56)</f>
        <v>100.32074899882912</v>
      </c>
      <c r="BB56">
        <f>AVERAGE(S_plus!BI$2:'S_plus'!BI56)</f>
        <v>106.72862501390911</v>
      </c>
      <c r="BC56">
        <f>AVERAGE(S_plus!BJ$2:'S_plus'!BJ56)</f>
        <v>105.42160865534179</v>
      </c>
      <c r="BD56">
        <f>AVERAGE(S_plus!BK$2:'S_plus'!BK56)</f>
        <v>95.95993674831999</v>
      </c>
      <c r="BE56">
        <f>AVERAGE(S_plus!BL$2:'S_plus'!BL56)</f>
        <v>91.995598135420011</v>
      </c>
      <c r="BF56">
        <f>AVERAGE(S_plus!BM$2:'S_plus'!BM56)</f>
        <v>95.44054338808364</v>
      </c>
      <c r="BG56">
        <f>AVERAGE(S_plus!BN$2:'S_plus'!BN56)</f>
        <v>101.47411647204909</v>
      </c>
      <c r="BH56">
        <f>AVERAGE(S_plus!BO$2:'S_plus'!BO56)</f>
        <v>86.38727431388368</v>
      </c>
      <c r="BI56">
        <f>AVERAGE(S_plus!BP$2:'S_plus'!BP56)</f>
        <v>90.998089457096384</v>
      </c>
      <c r="BJ56">
        <f>AVERAGE(S_plus!BQ$2:'S_plus'!BQ56)</f>
        <v>89.399290589805418</v>
      </c>
      <c r="BK56">
        <f>AVERAGE(S_plus!BR$2:'S_plus'!BR56)</f>
        <v>105.87797753335273</v>
      </c>
      <c r="BL56">
        <f>AVERAGE(S_plus!BS$2:'S_plus'!BS56)</f>
        <v>104.29893917555091</v>
      </c>
      <c r="BM56">
        <f>AVERAGE(S_plus!BT$2:'S_plus'!BT56)</f>
        <v>109.58444753330181</v>
      </c>
      <c r="BN56">
        <f>AVERAGE(S_plus!BU$2:'S_plus'!BU56)</f>
        <v>103.33144975431817</v>
      </c>
      <c r="BO56">
        <f>AVERAGE(S_plus!BV$2:'S_plus'!BV56)</f>
        <v>93.388124740072712</v>
      </c>
      <c r="BP56">
        <f>AVERAGE(S_plus!BW$2:'S_plus'!BW56)</f>
        <v>92.452949128770882</v>
      </c>
      <c r="BQ56">
        <f>AVERAGE(S_plus!BX$2:'S_plus'!BX56)</f>
        <v>85.647157984469089</v>
      </c>
      <c r="BR56">
        <f>AVERAGE(S_plus!BY$2:'S_plus'!BY56)</f>
        <v>103.29103443040547</v>
      </c>
      <c r="BS56">
        <f>AVERAGE(S_plus!BZ$2:'S_plus'!BZ56)</f>
        <v>98.731808471367245</v>
      </c>
      <c r="BT56">
        <f>AVERAGE(S_plus!CA$2:'S_plus'!CA56)</f>
        <v>100.52433108760546</v>
      </c>
      <c r="BU56">
        <f>AVERAGE(S_plus!CB$2:'S_plus'!CB56)</f>
        <v>101.22869835980906</v>
      </c>
      <c r="BV56">
        <f>AVERAGE(S_plus!CC$2:'S_plus'!CC56)</f>
        <v>93.752373383709099</v>
      </c>
      <c r="BW56">
        <f>AVERAGE(S_plus!CD$2:'S_plus'!CD56)</f>
        <v>98.757280382329085</v>
      </c>
      <c r="BX56">
        <f>AVERAGE(S_plus!CE$2:'S_plus'!CE56)</f>
        <v>101.23957592320727</v>
      </c>
      <c r="BY56">
        <f>AVERAGE(S_plus!CF$2:'S_plus'!CF56)</f>
        <v>91.758390200470899</v>
      </c>
      <c r="BZ56">
        <f>AVERAGE(S_plus!CG$2:'S_plus'!CG56)</f>
        <v>94.103831250900001</v>
      </c>
      <c r="CA56">
        <f>AVERAGE(S_plus!CH$2:'S_plus'!CH56)</f>
        <v>114.18857545661817</v>
      </c>
      <c r="CB56">
        <f>AVERAGE(S_plus!CI$2:'S_plus'!CI56)</f>
        <v>99.488229044938208</v>
      </c>
      <c r="CC56">
        <f>AVERAGE(S_plus!CJ$2:'S_plus'!CJ56)</f>
        <v>100.34632678646362</v>
      </c>
      <c r="CD56">
        <f>AVERAGE(S_plus!CK$2:'S_plus'!CK56)</f>
        <v>92.87805046644543</v>
      </c>
      <c r="CE56">
        <f>AVERAGE(S_plus!CL$2:'S_plus'!CL56)</f>
        <v>88.628795248785494</v>
      </c>
      <c r="CF56">
        <f>AVERAGE(S_plus!CM$2:'S_plus'!CM56)</f>
        <v>98.764585695180031</v>
      </c>
      <c r="CG56">
        <f>AVERAGE(S_plus!CN$2:'S_plus'!CN56)</f>
        <v>95.657845643689072</v>
      </c>
      <c r="CH56">
        <f>AVERAGE(S_plus!CO$2:'S_plus'!CO56)</f>
        <v>118.37265299158184</v>
      </c>
      <c r="CI56">
        <f>AVERAGE(S_plus!CP$2:'S_plus'!CP56)</f>
        <v>95.937429894030899</v>
      </c>
      <c r="CJ56">
        <f>AVERAGE(S_plus!CQ$2:'S_plus'!CQ56)</f>
        <v>104.38537388101636</v>
      </c>
      <c r="CK56">
        <f>AVERAGE(S_plus!CR$2:'S_plus'!CR56)</f>
        <v>102.02171848679812</v>
      </c>
      <c r="CL56">
        <f>AVERAGE(S_plus!CS$2:'S_plus'!CS56)</f>
        <v>105.28991160451453</v>
      </c>
      <c r="CM56">
        <f>AVERAGE(S_plus!CT$2:'S_plus'!CT56)</f>
        <v>108.31397426266547</v>
      </c>
      <c r="CN56">
        <f>AVERAGE(S_plus!CU$2:'S_plus'!CU56)</f>
        <v>101.83401396301271</v>
      </c>
      <c r="CO56">
        <f>AVERAGE(S_plus!CV$2:'S_plus'!CV56)</f>
        <v>95.282615742372712</v>
      </c>
      <c r="CP56">
        <f>AVERAGE(S_plus!CW$2:'S_plus'!CW56)</f>
        <v>108.89011225342</v>
      </c>
      <c r="CQ56">
        <f>AVERAGE(S_plus!CX$2:'S_plus'!CX56)</f>
        <v>113.24649864692003</v>
      </c>
      <c r="CR56">
        <f>AVERAGE(S_plus!CY$2:'S_plus'!CY56)</f>
        <v>102.46846919024908</v>
      </c>
      <c r="CS56">
        <f>AVERAGE(S_plus!CZ$2:'S_plus'!CZ56)</f>
        <v>105.33266703300362</v>
      </c>
      <c r="CT56">
        <f>AVERAGE(S_plus!DA$2:'S_plus'!DA56)</f>
        <v>111.01369127465455</v>
      </c>
      <c r="CU56">
        <f>AVERAGE(S_plus!DB$2:'S_plus'!DB56)</f>
        <v>89.711569725707278</v>
      </c>
      <c r="CV56">
        <f>AVERAGE(S_plus!DC$2:'S_plus'!DC56)</f>
        <v>100.90961549790364</v>
      </c>
      <c r="CW56">
        <f>AVERAGE(S_plus!DD$2:'S_plus'!DD56)</f>
        <v>92.075132026667276</v>
      </c>
      <c r="CX56">
        <f>AVERAGE(S_plus!DE$2:'S_plus'!DE56)</f>
        <v>104.2876142761163</v>
      </c>
      <c r="CY56">
        <f>AVERAGE(S_plus!DF$2:'S_plus'!DF56)</f>
        <v>91.462270759523648</v>
      </c>
      <c r="CZ56">
        <f>AVERAGE(S_plus!DG$2:'S_plus'!DG56)</f>
        <v>92.000138421919971</v>
      </c>
      <c r="DA56">
        <f>AVERAGE(S_plus!DH$2:'S_plus'!DH56)</f>
        <v>101.00525213168184</v>
      </c>
    </row>
    <row r="57" spans="5:105" x14ac:dyDescent="0.25">
      <c r="E57">
        <f>E56+Asian!dt</f>
        <v>0.55000000000000027</v>
      </c>
      <c r="F57">
        <f>AVERAGE(S_plus!M$2:'S_plus'!M57)</f>
        <v>91.533339730380376</v>
      </c>
      <c r="G57">
        <f>AVERAGE(S_plus!N$2:'S_plus'!N57)</f>
        <v>93.420402088155342</v>
      </c>
      <c r="H57">
        <f>AVERAGE(S_plus!O$2:'S_plus'!O57)</f>
        <v>106.11312535867681</v>
      </c>
      <c r="I57">
        <f>AVERAGE(S_plus!P$2:'S_plus'!P57)</f>
        <v>98.867054933728568</v>
      </c>
      <c r="J57">
        <f>AVERAGE(S_plus!Q$2:'S_plus'!Q57)</f>
        <v>88.845518695660729</v>
      </c>
      <c r="K57">
        <f>AVERAGE(S_plus!R$2:'S_plus'!R57)</f>
        <v>96.141154527153574</v>
      </c>
      <c r="L57">
        <f>AVERAGE(S_plus!S$2:'S_plus'!S57)</f>
        <v>115.18423890517853</v>
      </c>
      <c r="M57">
        <f>AVERAGE(S_plus!T$2:'S_plus'!T57)</f>
        <v>84.041866092153569</v>
      </c>
      <c r="N57">
        <f>AVERAGE(S_plus!U$2:'S_plus'!U57)</f>
        <v>112.72174460717859</v>
      </c>
      <c r="O57">
        <f>AVERAGE(S_plus!V$2:'S_plus'!V57)</f>
        <v>101.76982257541071</v>
      </c>
      <c r="P57">
        <f>AVERAGE(S_plus!W$2:'S_plus'!W57)</f>
        <v>102.93718539882677</v>
      </c>
      <c r="Q57">
        <f>AVERAGE(S_plus!X$2:'S_plus'!X57)</f>
        <v>110.18155030060719</v>
      </c>
      <c r="R57">
        <f>AVERAGE(S_plus!Y$2:'S_plus'!Y57)</f>
        <v>93.387874114823219</v>
      </c>
      <c r="S57">
        <f>AVERAGE(S_plus!Z$2:'S_plus'!Z57)</f>
        <v>107.50320441523748</v>
      </c>
      <c r="T57">
        <f>AVERAGE(S_plus!AA$2:'S_plus'!AA57)</f>
        <v>105.01916282775356</v>
      </c>
      <c r="U57">
        <f>AVERAGE(S_plus!AB$2:'S_plus'!AB57)</f>
        <v>96.193651061285749</v>
      </c>
      <c r="V57">
        <f>AVERAGE(S_plus!AC$2:'S_plus'!AC57)</f>
        <v>90.32383377727146</v>
      </c>
      <c r="W57">
        <f>AVERAGE(S_plus!AD$2:'S_plus'!AD57)</f>
        <v>96.684046281287536</v>
      </c>
      <c r="X57">
        <f>AVERAGE(S_plus!AE$2:'S_plus'!AE57)</f>
        <v>119.07914607954464</v>
      </c>
      <c r="Y57">
        <f>AVERAGE(S_plus!AF$2:'S_plus'!AF57)</f>
        <v>100.35083397973396</v>
      </c>
      <c r="Z57">
        <f>AVERAGE(S_plus!AG$2:'S_plus'!AG57)</f>
        <v>104.52520902259286</v>
      </c>
      <c r="AA57">
        <f>AVERAGE(S_plus!AH$2:'S_plus'!AH57)</f>
        <v>101.94608779324463</v>
      </c>
      <c r="AB57">
        <f>AVERAGE(S_plus!AI$2:'S_plus'!AI57)</f>
        <v>89.821987479066095</v>
      </c>
      <c r="AC57">
        <f>AVERAGE(S_plus!AJ$2:'S_plus'!AJ57)</f>
        <v>94.207121292087479</v>
      </c>
      <c r="AD57">
        <f>AVERAGE(S_plus!AK$2:'S_plus'!AK57)</f>
        <v>114.96825443875002</v>
      </c>
      <c r="AE57">
        <f>AVERAGE(S_plus!AL$2:'S_plus'!AL57)</f>
        <v>106.15842528573747</v>
      </c>
      <c r="AF57">
        <f>AVERAGE(S_plus!AM$2:'S_plus'!AM57)</f>
        <v>95.95076238373214</v>
      </c>
      <c r="AG57">
        <f>AVERAGE(S_plus!AN$2:'S_plus'!AN57)</f>
        <v>116.48419118614288</v>
      </c>
      <c r="AH57">
        <f>AVERAGE(S_plus!AO$2:'S_plus'!AO57)</f>
        <v>98.970727676641076</v>
      </c>
      <c r="AI57">
        <f>AVERAGE(S_plus!AP$2:'S_plus'!AP57)</f>
        <v>91.184925453382121</v>
      </c>
      <c r="AJ57">
        <f>AVERAGE(S_plus!AQ$2:'S_plus'!AQ57)</f>
        <v>102.13539311133215</v>
      </c>
      <c r="AK57">
        <f>AVERAGE(S_plus!AR$2:'S_plus'!AR57)</f>
        <v>100.48144482747144</v>
      </c>
      <c r="AL57">
        <f>AVERAGE(S_plus!AS$2:'S_plus'!AS57)</f>
        <v>113.90138237875537</v>
      </c>
      <c r="AM57">
        <f>AVERAGE(S_plus!AT$2:'S_plus'!AT57)</f>
        <v>94.214886082610732</v>
      </c>
      <c r="AN57">
        <f>AVERAGE(S_plus!AU$2:'S_plus'!AU57)</f>
        <v>97.088814616453604</v>
      </c>
      <c r="AO57">
        <f>AVERAGE(S_plus!AV$2:'S_plus'!AV57)</f>
        <v>102.83453943068568</v>
      </c>
      <c r="AP57">
        <f>AVERAGE(S_plus!AW$2:'S_plus'!AW57)</f>
        <v>115.25171580724997</v>
      </c>
      <c r="AQ57">
        <f>AVERAGE(S_plus!AX$2:'S_plus'!AX57)</f>
        <v>98.971575383705385</v>
      </c>
      <c r="AR57">
        <f>AVERAGE(S_plus!AY$2:'S_plus'!AY57)</f>
        <v>98.236987118042848</v>
      </c>
      <c r="AS57">
        <f>AVERAGE(S_plus!AZ$2:'S_plus'!AZ57)</f>
        <v>114.83453623803572</v>
      </c>
      <c r="AT57">
        <f>AVERAGE(S_plus!BA$2:'S_plus'!BA57)</f>
        <v>112.17799996110715</v>
      </c>
      <c r="AU57">
        <f>AVERAGE(S_plus!BB$2:'S_plus'!BB57)</f>
        <v>105.99441604668398</v>
      </c>
      <c r="AV57">
        <f>AVERAGE(S_plus!BC$2:'S_plus'!BC57)</f>
        <v>111.56234713619997</v>
      </c>
      <c r="AW57">
        <f>AVERAGE(S_plus!BD$2:'S_plus'!BD57)</f>
        <v>101.3145966966125</v>
      </c>
      <c r="AX57">
        <f>AVERAGE(S_plus!BE$2:'S_plus'!BE57)</f>
        <v>93.426689819851774</v>
      </c>
      <c r="AY57">
        <f>AVERAGE(S_plus!BF$2:'S_plus'!BF57)</f>
        <v>91.106884504432131</v>
      </c>
      <c r="AZ57">
        <f>AVERAGE(S_plus!BG$2:'S_plus'!BG57)</f>
        <v>93.512904856648206</v>
      </c>
      <c r="BA57">
        <f>AVERAGE(S_plus!BH$2:'S_plus'!BH57)</f>
        <v>100.42883632008217</v>
      </c>
      <c r="BB57">
        <f>AVERAGE(S_plus!BI$2:'S_plus'!BI57)</f>
        <v>106.68232027717859</v>
      </c>
      <c r="BC57">
        <f>AVERAGE(S_plus!BJ$2:'S_plus'!BJ57)</f>
        <v>105.37897796492496</v>
      </c>
      <c r="BD57">
        <f>AVERAGE(S_plus!BK$2:'S_plus'!BK57)</f>
        <v>96.122348817903557</v>
      </c>
      <c r="BE57">
        <f>AVERAGE(S_plus!BL$2:'S_plus'!BL57)</f>
        <v>91.891975115851793</v>
      </c>
      <c r="BF57">
        <f>AVERAGE(S_plus!BM$2:'S_plus'!BM57)</f>
        <v>95.531408585617868</v>
      </c>
      <c r="BG57">
        <f>AVERAGE(S_plus!BN$2:'S_plus'!BN57)</f>
        <v>101.45152573422679</v>
      </c>
      <c r="BH57">
        <f>AVERAGE(S_plus!BO$2:'S_plus'!BO57)</f>
        <v>86.372038076392897</v>
      </c>
      <c r="BI57">
        <f>AVERAGE(S_plus!BP$2:'S_plus'!BP57)</f>
        <v>90.827709552673241</v>
      </c>
      <c r="BJ57">
        <f>AVERAGE(S_plus!BQ$2:'S_plus'!BQ57)</f>
        <v>89.414475259910674</v>
      </c>
      <c r="BK57">
        <f>AVERAGE(S_plus!BR$2:'S_plus'!BR57)</f>
        <v>106.01919118847142</v>
      </c>
      <c r="BL57">
        <f>AVERAGE(S_plus!BS$2:'S_plus'!BS57)</f>
        <v>104.28935013034466</v>
      </c>
      <c r="BM57">
        <f>AVERAGE(S_plus!BT$2:'S_plus'!BT57)</f>
        <v>109.47622532304642</v>
      </c>
      <c r="BN57">
        <f>AVERAGE(S_plus!BU$2:'S_plus'!BU57)</f>
        <v>103.28338076749105</v>
      </c>
      <c r="BO57">
        <f>AVERAGE(S_plus!BV$2:'S_plus'!BV57)</f>
        <v>93.167916432412497</v>
      </c>
      <c r="BP57">
        <f>AVERAGE(S_plus!BW$2:'S_plus'!BW57)</f>
        <v>92.725340354560686</v>
      </c>
      <c r="BQ57">
        <f>AVERAGE(S_plus!BX$2:'S_plus'!BX57)</f>
        <v>85.453467198864274</v>
      </c>
      <c r="BR57">
        <f>AVERAGE(S_plus!BY$2:'S_plus'!BY57)</f>
        <v>103.04860748592323</v>
      </c>
      <c r="BS57">
        <f>AVERAGE(S_plus!BZ$2:'S_plus'!BZ57)</f>
        <v>99.043705030110686</v>
      </c>
      <c r="BT57">
        <f>AVERAGE(S_plus!CA$2:'S_plus'!CA57)</f>
        <v>100.34931834751787</v>
      </c>
      <c r="BU57">
        <f>AVERAGE(S_plus!CB$2:'S_plus'!CB57)</f>
        <v>101.10886864495355</v>
      </c>
      <c r="BV57">
        <f>AVERAGE(S_plus!CC$2:'S_plus'!CC57)</f>
        <v>93.496446053091077</v>
      </c>
      <c r="BW57">
        <f>AVERAGE(S_plus!CD$2:'S_plus'!CD57)</f>
        <v>98.635385960241067</v>
      </c>
      <c r="BX57">
        <f>AVERAGE(S_plus!CE$2:'S_plus'!CE57)</f>
        <v>100.972896997425</v>
      </c>
      <c r="BY57">
        <f>AVERAGE(S_plus!CF$2:'S_plus'!CF57)</f>
        <v>91.653053748599987</v>
      </c>
      <c r="BZ57">
        <f>AVERAGE(S_plus!CG$2:'S_plus'!CG57)</f>
        <v>94.187719640978571</v>
      </c>
      <c r="CA57">
        <f>AVERAGE(S_plus!CH$2:'S_plus'!CH57)</f>
        <v>114.13609286283926</v>
      </c>
      <c r="CB57">
        <f>AVERAGE(S_plus!CI$2:'S_plus'!CI57)</f>
        <v>99.540232636492874</v>
      </c>
      <c r="CC57">
        <f>AVERAGE(S_plus!CJ$2:'S_plus'!CJ57)</f>
        <v>100.53781607977677</v>
      </c>
      <c r="CD57">
        <f>AVERAGE(S_plus!CK$2:'S_plus'!CK57)</f>
        <v>92.852713150735681</v>
      </c>
      <c r="CE57">
        <f>AVERAGE(S_plus!CL$2:'S_plus'!CL57)</f>
        <v>88.499896852605389</v>
      </c>
      <c r="CF57">
        <f>AVERAGE(S_plus!CM$2:'S_plus'!CM57)</f>
        <v>98.433679279155385</v>
      </c>
      <c r="CG57">
        <f>AVERAGE(S_plus!CN$2:'S_plus'!CN57)</f>
        <v>95.853187176087474</v>
      </c>
      <c r="CH57">
        <f>AVERAGE(S_plus!CO$2:'S_plus'!CO57)</f>
        <v>118.77382854876787</v>
      </c>
      <c r="CI57">
        <f>AVERAGE(S_plus!CP$2:'S_plus'!CP57)</f>
        <v>95.673580522880343</v>
      </c>
      <c r="CJ57">
        <f>AVERAGE(S_plus!CQ$2:'S_plus'!CQ57)</f>
        <v>104.21400398733215</v>
      </c>
      <c r="CK57">
        <f>AVERAGE(S_plus!CR$2:'S_plus'!CR57)</f>
        <v>102.01660963364101</v>
      </c>
      <c r="CL57">
        <f>AVERAGE(S_plus!CS$2:'S_plus'!CS57)</f>
        <v>105.20080037798748</v>
      </c>
      <c r="CM57">
        <f>AVERAGE(S_plus!CT$2:'S_plus'!CT57)</f>
        <v>108.51199866910001</v>
      </c>
      <c r="CN57">
        <f>AVERAGE(S_plus!CU$2:'S_plus'!CU57)</f>
        <v>101.87311485528035</v>
      </c>
      <c r="CO57">
        <f>AVERAGE(S_plus!CV$2:'S_plus'!CV57)</f>
        <v>95.284633871224983</v>
      </c>
      <c r="CP57">
        <f>AVERAGE(S_plus!CW$2:'S_plus'!CW57)</f>
        <v>108.79644888223392</v>
      </c>
      <c r="CQ57">
        <f>AVERAGE(S_plus!CX$2:'S_plus'!CX57)</f>
        <v>113.57048819510003</v>
      </c>
      <c r="CR57">
        <f>AVERAGE(S_plus!CY$2:'S_plus'!CY57)</f>
        <v>102.63443566983392</v>
      </c>
      <c r="CS57">
        <f>AVERAGE(S_plus!CZ$2:'S_plus'!CZ57)</f>
        <v>105.55229909866428</v>
      </c>
      <c r="CT57">
        <f>AVERAGE(S_plus!DA$2:'S_plus'!DA57)</f>
        <v>111.25843685998214</v>
      </c>
      <c r="CU57">
        <f>AVERAGE(S_plus!DB$2:'S_plus'!DB57)</f>
        <v>89.512720633258937</v>
      </c>
      <c r="CV57">
        <f>AVERAGE(S_plus!DC$2:'S_plus'!DC57)</f>
        <v>100.94935270676251</v>
      </c>
      <c r="CW57">
        <f>AVERAGE(S_plus!DD$2:'S_plus'!DD57)</f>
        <v>92.079544533466091</v>
      </c>
      <c r="CX57">
        <f>AVERAGE(S_plus!DE$2:'S_plus'!DE57)</f>
        <v>104.22974395220352</v>
      </c>
      <c r="CY57">
        <f>AVERAGE(S_plus!DF$2:'S_plus'!DF57)</f>
        <v>91.306972000076797</v>
      </c>
      <c r="CZ57">
        <f>AVERAGE(S_plus!DG$2:'S_plus'!DG57)</f>
        <v>91.90431090717496</v>
      </c>
      <c r="DA57">
        <f>AVERAGE(S_plus!DH$2:'S_plus'!DH57)</f>
        <v>100.96303578990181</v>
      </c>
    </row>
    <row r="58" spans="5:105" x14ac:dyDescent="0.25">
      <c r="E58">
        <f>E57+Asian!dt</f>
        <v>0.56000000000000028</v>
      </c>
      <c r="F58">
        <f>AVERAGE(S_plus!M$2:'S_plus'!M58)</f>
        <v>91.656467222015806</v>
      </c>
      <c r="G58">
        <f>AVERAGE(S_plus!N$2:'S_plus'!N58)</f>
        <v>93.403052526898236</v>
      </c>
      <c r="H58">
        <f>AVERAGE(S_plus!O$2:'S_plus'!O58)</f>
        <v>106.10812764127898</v>
      </c>
      <c r="I58">
        <f>AVERAGE(S_plus!P$2:'S_plus'!P58)</f>
        <v>98.746110250615772</v>
      </c>
      <c r="J58">
        <f>AVERAGE(S_plus!Q$2:'S_plus'!Q58)</f>
        <v>88.62929442651054</v>
      </c>
      <c r="K58">
        <f>AVERAGE(S_plus!R$2:'S_plus'!R58)</f>
        <v>96.012303182263153</v>
      </c>
      <c r="L58">
        <f>AVERAGE(S_plus!S$2:'S_plus'!S58)</f>
        <v>115.14866907270171</v>
      </c>
      <c r="M58">
        <f>AVERAGE(S_plus!T$2:'S_plus'!T58)</f>
        <v>83.864084331157898</v>
      </c>
      <c r="N58">
        <f>AVERAGE(S_plus!U$2:'S_plus'!U58)</f>
        <v>112.62800294284212</v>
      </c>
      <c r="O58">
        <f>AVERAGE(S_plus!V$2:'S_plus'!V58)</f>
        <v>101.91351471824562</v>
      </c>
      <c r="P58">
        <f>AVERAGE(S_plus!W$2:'S_plus'!W58)</f>
        <v>102.89224006249648</v>
      </c>
      <c r="Q58">
        <f>AVERAGE(S_plus!X$2:'S_plus'!X58)</f>
        <v>110.27837928473687</v>
      </c>
      <c r="R58">
        <f>AVERAGE(S_plus!Y$2:'S_plus'!Y58)</f>
        <v>93.338414242596485</v>
      </c>
      <c r="S58">
        <f>AVERAGE(S_plus!Z$2:'S_plus'!Z58)</f>
        <v>107.57355719572453</v>
      </c>
      <c r="T58">
        <f>AVERAGE(S_plus!AA$2:'S_plus'!AA58)</f>
        <v>105.05596480231929</v>
      </c>
      <c r="U58">
        <f>AVERAGE(S_plus!AB$2:'S_plus'!AB58)</f>
        <v>96.45584849291231</v>
      </c>
      <c r="V58">
        <f>AVERAGE(S_plus!AC$2:'S_plus'!AC58)</f>
        <v>90.098805939045647</v>
      </c>
      <c r="W58">
        <f>AVERAGE(S_plus!AD$2:'S_plus'!AD58)</f>
        <v>96.699619950636873</v>
      </c>
      <c r="X58">
        <f>AVERAGE(S_plus!AE$2:'S_plus'!AE58)</f>
        <v>119.42889159313158</v>
      </c>
      <c r="Y58">
        <f>AVERAGE(S_plus!AF$2:'S_plus'!AF58)</f>
        <v>100.79785592014214</v>
      </c>
      <c r="Z58">
        <f>AVERAGE(S_plus!AG$2:'S_plus'!AG58)</f>
        <v>104.64071905814386</v>
      </c>
      <c r="AA58">
        <f>AVERAGE(S_plus!AH$2:'S_plus'!AH58)</f>
        <v>102.32501179239823</v>
      </c>
      <c r="AB58">
        <f>AVERAGE(S_plus!AI$2:'S_plus'!AI58)</f>
        <v>89.857306000689491</v>
      </c>
      <c r="AC58">
        <f>AVERAGE(S_plus!AJ$2:'S_plus'!AJ58)</f>
        <v>93.973336387085951</v>
      </c>
      <c r="AD58">
        <f>AVERAGE(S_plus!AK$2:'S_plus'!AK58)</f>
        <v>114.94579100238599</v>
      </c>
      <c r="AE58">
        <f>AVERAGE(S_plus!AL$2:'S_plus'!AL58)</f>
        <v>106.06669359128593</v>
      </c>
      <c r="AF58">
        <f>AVERAGE(S_plus!AM$2:'S_plus'!AM58)</f>
        <v>95.903709882028082</v>
      </c>
      <c r="AG58">
        <f>AVERAGE(S_plus!AN$2:'S_plus'!AN58)</f>
        <v>116.35159219243863</v>
      </c>
      <c r="AH58">
        <f>AVERAGE(S_plus!AO$2:'S_plus'!AO58)</f>
        <v>98.888274932603522</v>
      </c>
      <c r="AI58">
        <f>AVERAGE(S_plus!AP$2:'S_plus'!AP58)</f>
        <v>91.128464734142085</v>
      </c>
      <c r="AJ58">
        <f>AVERAGE(S_plus!AQ$2:'S_plus'!AQ58)</f>
        <v>102.51501700234387</v>
      </c>
      <c r="AK58">
        <f>AVERAGE(S_plus!AR$2:'S_plus'!AR58)</f>
        <v>100.37110336000175</v>
      </c>
      <c r="AL58">
        <f>AVERAGE(S_plus!AS$2:'S_plus'!AS58)</f>
        <v>114.04084340486494</v>
      </c>
      <c r="AM58">
        <f>AVERAGE(S_plus!AT$2:'S_plus'!AT58)</f>
        <v>94.230544953173705</v>
      </c>
      <c r="AN58">
        <f>AVERAGE(S_plus!AU$2:'S_plus'!AU58)</f>
        <v>97.354833710796527</v>
      </c>
      <c r="AO58">
        <f>AVERAGE(S_plus!AV$2:'S_plus'!AV58)</f>
        <v>103.1506683914982</v>
      </c>
      <c r="AP58">
        <f>AVERAGE(S_plus!AW$2:'S_plus'!AW58)</f>
        <v>115.40664950491225</v>
      </c>
      <c r="AQ58">
        <f>AVERAGE(S_plus!AX$2:'S_plus'!AX58)</f>
        <v>98.982782041163176</v>
      </c>
      <c r="AR58">
        <f>AVERAGE(S_plus!AY$2:'S_plus'!AY58)</f>
        <v>98.316372279919293</v>
      </c>
      <c r="AS58">
        <f>AVERAGE(S_plus!AZ$2:'S_plus'!AZ58)</f>
        <v>114.99883855282457</v>
      </c>
      <c r="AT58">
        <f>AVERAGE(S_plus!BA$2:'S_plus'!BA58)</f>
        <v>112.23963113268421</v>
      </c>
      <c r="AU58">
        <f>AVERAGE(S_plus!BB$2:'S_plus'!BB58)</f>
        <v>105.8129938218018</v>
      </c>
      <c r="AV58">
        <f>AVERAGE(S_plus!BC$2:'S_plus'!BC58)</f>
        <v>111.55935248807366</v>
      </c>
      <c r="AW58">
        <f>AVERAGE(S_plus!BD$2:'S_plus'!BD58)</f>
        <v>101.39310556651404</v>
      </c>
      <c r="AX58">
        <f>AVERAGE(S_plus!BE$2:'S_plus'!BE58)</f>
        <v>93.614268386889464</v>
      </c>
      <c r="AY58">
        <f>AVERAGE(S_plus!BF$2:'S_plus'!BF58)</f>
        <v>91.065348002107001</v>
      </c>
      <c r="AZ58">
        <f>AVERAGE(S_plus!BG$2:'S_plus'!BG58)</f>
        <v>93.576946135166651</v>
      </c>
      <c r="BA58">
        <f>AVERAGE(S_plus!BH$2:'S_plus'!BH58)</f>
        <v>100.48123100301055</v>
      </c>
      <c r="BB58">
        <f>AVERAGE(S_plus!BI$2:'S_plus'!BI58)</f>
        <v>106.60628075422808</v>
      </c>
      <c r="BC58">
        <f>AVERAGE(S_plus!BJ$2:'S_plus'!BJ58)</f>
        <v>105.35407444841751</v>
      </c>
      <c r="BD58">
        <f>AVERAGE(S_plus!BK$2:'S_plus'!BK58)</f>
        <v>96.234136251273668</v>
      </c>
      <c r="BE58">
        <f>AVERAGE(S_plus!BL$2:'S_plus'!BL58)</f>
        <v>91.83423379414036</v>
      </c>
      <c r="BF58">
        <f>AVERAGE(S_plus!BM$2:'S_plus'!BM58)</f>
        <v>95.648724709817543</v>
      </c>
      <c r="BG58">
        <f>AVERAGE(S_plus!BN$2:'S_plus'!BN58)</f>
        <v>101.4693427271</v>
      </c>
      <c r="BH58">
        <f>AVERAGE(S_plus!BO$2:'S_plus'!BO58)</f>
        <v>86.384731962933373</v>
      </c>
      <c r="BI58">
        <f>AVERAGE(S_plus!BP$2:'S_plus'!BP58)</f>
        <v>90.640731171477213</v>
      </c>
      <c r="BJ58">
        <f>AVERAGE(S_plus!BQ$2:'S_plus'!BQ58)</f>
        <v>89.473777085592943</v>
      </c>
      <c r="BK58">
        <f>AVERAGE(S_plus!BR$2:'S_plus'!BR58)</f>
        <v>106.15418620200701</v>
      </c>
      <c r="BL58">
        <f>AVERAGE(S_plus!BS$2:'S_plus'!BS58)</f>
        <v>104.31317370470703</v>
      </c>
      <c r="BM58">
        <f>AVERAGE(S_plus!BT$2:'S_plus'!BT58)</f>
        <v>109.39309026485263</v>
      </c>
      <c r="BN58">
        <f>AVERAGE(S_plus!BU$2:'S_plus'!BU58)</f>
        <v>103.22869703821928</v>
      </c>
      <c r="BO58">
        <f>AVERAGE(S_plus!BV$2:'S_plus'!BV58)</f>
        <v>92.98466532872456</v>
      </c>
      <c r="BP58">
        <f>AVERAGE(S_plus!BW$2:'S_plus'!BW58)</f>
        <v>92.953888506621027</v>
      </c>
      <c r="BQ58">
        <f>AVERAGE(S_plus!BX$2:'S_plus'!BX58)</f>
        <v>85.262070216633333</v>
      </c>
      <c r="BR58">
        <f>AVERAGE(S_plus!BY$2:'S_plus'!BY58)</f>
        <v>102.83169111101756</v>
      </c>
      <c r="BS58">
        <f>AVERAGE(S_plus!BZ$2:'S_plus'!BZ58)</f>
        <v>99.348418609442078</v>
      </c>
      <c r="BT58">
        <f>AVERAGE(S_plus!CA$2:'S_plus'!CA58)</f>
        <v>100.23739398540877</v>
      </c>
      <c r="BU58">
        <f>AVERAGE(S_plus!CB$2:'S_plus'!CB58)</f>
        <v>101.04728042777718</v>
      </c>
      <c r="BV58">
        <f>AVERAGE(S_plus!CC$2:'S_plus'!CC58)</f>
        <v>93.221366863398259</v>
      </c>
      <c r="BW58">
        <f>AVERAGE(S_plus!CD$2:'S_plus'!CD58)</f>
        <v>98.520556859501752</v>
      </c>
      <c r="BX58">
        <f>AVERAGE(S_plus!CE$2:'S_plus'!CE58)</f>
        <v>100.72847594062631</v>
      </c>
      <c r="BY58">
        <f>AVERAGE(S_plus!CF$2:'S_plus'!CF58)</f>
        <v>91.510614476682449</v>
      </c>
      <c r="BZ58">
        <f>AVERAGE(S_plus!CG$2:'S_plus'!CG58)</f>
        <v>94.307981378505261</v>
      </c>
      <c r="CA58">
        <f>AVERAGE(S_plus!CH$2:'S_plus'!CH58)</f>
        <v>114.09904818891225</v>
      </c>
      <c r="CB58">
        <f>AVERAGE(S_plus!CI$2:'S_plus'!CI58)</f>
        <v>99.567156358835106</v>
      </c>
      <c r="CC58">
        <f>AVERAGE(S_plus!CJ$2:'S_plus'!CJ58)</f>
        <v>100.7332844941842</v>
      </c>
      <c r="CD58">
        <f>AVERAGE(S_plus!CK$2:'S_plus'!CK58)</f>
        <v>92.829980726761377</v>
      </c>
      <c r="CE58">
        <f>AVERAGE(S_plus!CL$2:'S_plus'!CL58)</f>
        <v>88.38429790574915</v>
      </c>
      <c r="CF58">
        <f>AVERAGE(S_plus!CM$2:'S_plus'!CM58)</f>
        <v>98.170230202236866</v>
      </c>
      <c r="CG58">
        <f>AVERAGE(S_plus!CN$2:'S_plus'!CN58)</f>
        <v>95.999619976208749</v>
      </c>
      <c r="CH58">
        <f>AVERAGE(S_plus!CO$2:'S_plus'!CO58)</f>
        <v>119.15347948029826</v>
      </c>
      <c r="CI58">
        <f>AVERAGE(S_plus!CP$2:'S_plus'!CP58)</f>
        <v>95.437602200705257</v>
      </c>
      <c r="CJ58">
        <f>AVERAGE(S_plus!CQ$2:'S_plus'!CQ58)</f>
        <v>104.01335341286492</v>
      </c>
      <c r="CK58">
        <f>AVERAGE(S_plus!CR$2:'S_plus'!CR58)</f>
        <v>102.01027256354205</v>
      </c>
      <c r="CL58">
        <f>AVERAGE(S_plus!CS$2:'S_plus'!CS58)</f>
        <v>105.10545525142103</v>
      </c>
      <c r="CM58">
        <f>AVERAGE(S_plus!CT$2:'S_plus'!CT58)</f>
        <v>108.72324379297545</v>
      </c>
      <c r="CN58">
        <f>AVERAGE(S_plus!CU$2:'S_plus'!CU58)</f>
        <v>101.91992120881929</v>
      </c>
      <c r="CO58">
        <f>AVERAGE(S_plus!CV$2:'S_plus'!CV58)</f>
        <v>95.232655110173667</v>
      </c>
      <c r="CP58">
        <f>AVERAGE(S_plus!CW$2:'S_plus'!CW58)</f>
        <v>108.73430105591403</v>
      </c>
      <c r="CQ58">
        <f>AVERAGE(S_plus!CX$2:'S_plus'!CX58)</f>
        <v>113.87382321462459</v>
      </c>
      <c r="CR58">
        <f>AVERAGE(S_plus!CY$2:'S_plus'!CY58)</f>
        <v>102.76794464827543</v>
      </c>
      <c r="CS58">
        <f>AVERAGE(S_plus!CZ$2:'S_plus'!CZ58)</f>
        <v>105.85241079545965</v>
      </c>
      <c r="CT58">
        <f>AVERAGE(S_plus!DA$2:'S_plus'!DA58)</f>
        <v>111.49105451089473</v>
      </c>
      <c r="CU58">
        <f>AVERAGE(S_plus!DB$2:'S_plus'!DB58)</f>
        <v>89.330854884975452</v>
      </c>
      <c r="CV58">
        <f>AVERAGE(S_plus!DC$2:'S_plus'!DC58)</f>
        <v>101.00228222722282</v>
      </c>
      <c r="CW58">
        <f>AVERAGE(S_plus!DD$2:'S_plus'!DD58)</f>
        <v>92.099041697831595</v>
      </c>
      <c r="CX58">
        <f>AVERAGE(S_plus!DE$2:'S_plus'!DE58)</f>
        <v>104.09883315524205</v>
      </c>
      <c r="CY58">
        <f>AVERAGE(S_plus!DF$2:'S_plus'!DF58)</f>
        <v>91.155028499736844</v>
      </c>
      <c r="CZ58">
        <f>AVERAGE(S_plus!DG$2:'S_plus'!DG58)</f>
        <v>91.813123315705226</v>
      </c>
      <c r="DA58">
        <f>AVERAGE(S_plus!DH$2:'S_plus'!DH58)</f>
        <v>100.92278928082985</v>
      </c>
    </row>
    <row r="59" spans="5:105" x14ac:dyDescent="0.25">
      <c r="E59">
        <f>E58+Asian!dt</f>
        <v>0.57000000000000028</v>
      </c>
      <c r="F59">
        <f>AVERAGE(S_plus!M$2:'S_plus'!M59)</f>
        <v>91.71691666561037</v>
      </c>
      <c r="G59">
        <f>AVERAGE(S_plus!N$2:'S_plus'!N59)</f>
        <v>93.404954469974115</v>
      </c>
      <c r="H59">
        <f>AVERAGE(S_plus!O$2:'S_plus'!O59)</f>
        <v>106.09286808098108</v>
      </c>
      <c r="I59">
        <f>AVERAGE(S_plus!P$2:'S_plus'!P59)</f>
        <v>98.637578068901703</v>
      </c>
      <c r="J59">
        <f>AVERAGE(S_plus!Q$2:'S_plus'!Q59)</f>
        <v>88.428443374131049</v>
      </c>
      <c r="K59">
        <f>AVERAGE(S_plus!R$2:'S_plus'!R59)</f>
        <v>95.867727566405179</v>
      </c>
      <c r="L59">
        <f>AVERAGE(S_plus!S$2:'S_plus'!S59)</f>
        <v>115.04744139174134</v>
      </c>
      <c r="M59">
        <f>AVERAGE(S_plus!T$2:'S_plus'!T59)</f>
        <v>83.703967869953445</v>
      </c>
      <c r="N59">
        <f>AVERAGE(S_plus!U$2:'S_plus'!U59)</f>
        <v>112.48107618681036</v>
      </c>
      <c r="O59">
        <f>AVERAGE(S_plus!V$2:'S_plus'!V59)</f>
        <v>102.08259276867241</v>
      </c>
      <c r="P59">
        <f>AVERAGE(S_plus!W$2:'S_plus'!W59)</f>
        <v>102.86241711309138</v>
      </c>
      <c r="Q59">
        <f>AVERAGE(S_plus!X$2:'S_plus'!X59)</f>
        <v>110.39500042646554</v>
      </c>
      <c r="R59">
        <f>AVERAGE(S_plus!Y$2:'S_plus'!Y59)</f>
        <v>93.324548202236201</v>
      </c>
      <c r="S59">
        <f>AVERAGE(S_plus!Z$2:'S_plus'!Z59)</f>
        <v>107.66329703612583</v>
      </c>
      <c r="T59">
        <f>AVERAGE(S_plus!AA$2:'S_plus'!AA59)</f>
        <v>105.15402044152069</v>
      </c>
      <c r="U59">
        <f>AVERAGE(S_plus!AB$2:'S_plus'!AB59)</f>
        <v>96.700093860862097</v>
      </c>
      <c r="V59">
        <f>AVERAGE(S_plus!AC$2:'S_plus'!AC59)</f>
        <v>89.83720983812762</v>
      </c>
      <c r="W59">
        <f>AVERAGE(S_plus!AD$2:'S_plus'!AD59)</f>
        <v>96.743303052610372</v>
      </c>
      <c r="X59">
        <f>AVERAGE(S_plus!AE$2:'S_plus'!AE59)</f>
        <v>119.78130204149137</v>
      </c>
      <c r="Y59">
        <f>AVERAGE(S_plus!AF$2:'S_plus'!AF59)</f>
        <v>101.23477796850176</v>
      </c>
      <c r="Z59">
        <f>AVERAGE(S_plus!AG$2:'S_plus'!AG59)</f>
        <v>104.75303469064137</v>
      </c>
      <c r="AA59">
        <f>AVERAGE(S_plus!AH$2:'S_plus'!AH59)</f>
        <v>102.70519297575343</v>
      </c>
      <c r="AB59">
        <f>AVERAGE(S_plus!AI$2:'S_plus'!AI59)</f>
        <v>89.91361199837759</v>
      </c>
      <c r="AC59">
        <f>AVERAGE(S_plus!AJ$2:'S_plus'!AJ59)</f>
        <v>93.789552092220674</v>
      </c>
      <c r="AD59">
        <f>AVERAGE(S_plus!AK$2:'S_plus'!AK59)</f>
        <v>114.88228448753452</v>
      </c>
      <c r="AE59">
        <f>AVERAGE(S_plus!AL$2:'S_plus'!AL59)</f>
        <v>106.02671340369479</v>
      </c>
      <c r="AF59">
        <f>AVERAGE(S_plus!AM$2:'S_plus'!AM59)</f>
        <v>95.813146012379306</v>
      </c>
      <c r="AG59">
        <f>AVERAGE(S_plus!AN$2:'S_plus'!AN59)</f>
        <v>116.15980533317244</v>
      </c>
      <c r="AH59">
        <f>AVERAGE(S_plus!AO$2:'S_plus'!AO59)</f>
        <v>98.799824650627585</v>
      </c>
      <c r="AI59">
        <f>AVERAGE(S_plus!AP$2:'S_plus'!AP59)</f>
        <v>91.038351561379287</v>
      </c>
      <c r="AJ59">
        <f>AVERAGE(S_plus!AQ$2:'S_plus'!AQ59)</f>
        <v>102.86967322201035</v>
      </c>
      <c r="AK59">
        <f>AVERAGE(S_plus!AR$2:'S_plus'!AR59)</f>
        <v>100.30756587938447</v>
      </c>
      <c r="AL59">
        <f>AVERAGE(S_plus!AS$2:'S_plus'!AS59)</f>
        <v>114.27592363486727</v>
      </c>
      <c r="AM59">
        <f>AVERAGE(S_plus!AT$2:'S_plus'!AT59)</f>
        <v>94.176125832213813</v>
      </c>
      <c r="AN59">
        <f>AVERAGE(S_plus!AU$2:'S_plus'!AU59)</f>
        <v>97.610874828127621</v>
      </c>
      <c r="AO59">
        <f>AVERAGE(S_plus!AV$2:'S_plus'!AV59)</f>
        <v>103.50408926178272</v>
      </c>
      <c r="AP59">
        <f>AVERAGE(S_plus!AW$2:'S_plus'!AW59)</f>
        <v>115.51403568962066</v>
      </c>
      <c r="AQ59">
        <f>AVERAGE(S_plus!AX$2:'S_plus'!AX59)</f>
        <v>98.994186798810361</v>
      </c>
      <c r="AR59">
        <f>AVERAGE(S_plus!AY$2:'S_plus'!AY59)</f>
        <v>98.40483245700689</v>
      </c>
      <c r="AS59">
        <f>AVERAGE(S_plus!AZ$2:'S_plus'!AZ59)</f>
        <v>115.17154240263793</v>
      </c>
      <c r="AT59">
        <f>AVERAGE(S_plus!BA$2:'S_plus'!BA59)</f>
        <v>112.33459377753448</v>
      </c>
      <c r="AU59">
        <f>AVERAGE(S_plus!BB$2:'S_plus'!BB59)</f>
        <v>105.72250096808106</v>
      </c>
      <c r="AV59">
        <f>AVERAGE(S_plus!BC$2:'S_plus'!BC59)</f>
        <v>111.61543128048618</v>
      </c>
      <c r="AW59">
        <f>AVERAGE(S_plus!BD$2:'S_plus'!BD59)</f>
        <v>101.44286046941896</v>
      </c>
      <c r="AX59">
        <f>AVERAGE(S_plus!BE$2:'S_plus'!BE59)</f>
        <v>93.817554500339639</v>
      </c>
      <c r="AY59">
        <f>AVERAGE(S_plus!BF$2:'S_plus'!BF59)</f>
        <v>91.068451049082753</v>
      </c>
      <c r="AZ59">
        <f>AVERAGE(S_plus!BG$2:'S_plus'!BG59)</f>
        <v>93.656561838213776</v>
      </c>
      <c r="BA59">
        <f>AVERAGE(S_plus!BH$2:'S_plus'!BH59)</f>
        <v>100.49306954228622</v>
      </c>
      <c r="BB59">
        <f>AVERAGE(S_plus!BI$2:'S_plus'!BI59)</f>
        <v>106.5453520751207</v>
      </c>
      <c r="BC59">
        <f>AVERAGE(S_plus!BJ$2:'S_plus'!BJ59)</f>
        <v>105.36408034434135</v>
      </c>
      <c r="BD59">
        <f>AVERAGE(S_plus!BK$2:'S_plus'!BK59)</f>
        <v>96.321340082544808</v>
      </c>
      <c r="BE59">
        <f>AVERAGE(S_plus!BL$2:'S_plus'!BL59)</f>
        <v>91.79538710622414</v>
      </c>
      <c r="BF59">
        <f>AVERAGE(S_plus!BM$2:'S_plus'!BM59)</f>
        <v>95.822164998665514</v>
      </c>
      <c r="BG59">
        <f>AVERAGE(S_plus!BN$2:'S_plus'!BN59)</f>
        <v>101.48011160446035</v>
      </c>
      <c r="BH59">
        <f>AVERAGE(S_plus!BO$2:'S_plus'!BO59)</f>
        <v>86.408732100220732</v>
      </c>
      <c r="BI59">
        <f>AVERAGE(S_plus!BP$2:'S_plus'!BP59)</f>
        <v>90.477293528303463</v>
      </c>
      <c r="BJ59">
        <f>AVERAGE(S_plus!BQ$2:'S_plus'!BQ59)</f>
        <v>89.551791705468929</v>
      </c>
      <c r="BK59">
        <f>AVERAGE(S_plus!BR$2:'S_plus'!BR59)</f>
        <v>106.26297946131723</v>
      </c>
      <c r="BL59">
        <f>AVERAGE(S_plus!BS$2:'S_plus'!BS59)</f>
        <v>104.40954092495346</v>
      </c>
      <c r="BM59">
        <f>AVERAGE(S_plus!BT$2:'S_plus'!BT59)</f>
        <v>109.31491573280346</v>
      </c>
      <c r="BN59">
        <f>AVERAGE(S_plus!BU$2:'S_plus'!BU59)</f>
        <v>103.14852622829655</v>
      </c>
      <c r="BO59">
        <f>AVERAGE(S_plus!BV$2:'S_plus'!BV59)</f>
        <v>92.807953583312056</v>
      </c>
      <c r="BP59">
        <f>AVERAGE(S_plus!BW$2:'S_plus'!BW59)</f>
        <v>93.154179803437898</v>
      </c>
      <c r="BQ59">
        <f>AVERAGE(S_plus!BX$2:'S_plus'!BX59)</f>
        <v>85.069247514396551</v>
      </c>
      <c r="BR59">
        <f>AVERAGE(S_plus!BY$2:'S_plus'!BY59)</f>
        <v>102.60606127707588</v>
      </c>
      <c r="BS59">
        <f>AVERAGE(S_plus!BZ$2:'S_plus'!BZ59)</f>
        <v>99.665602149555156</v>
      </c>
      <c r="BT59">
        <f>AVERAGE(S_plus!CA$2:'S_plus'!CA59)</f>
        <v>100.10409705085344</v>
      </c>
      <c r="BU59">
        <f>AVERAGE(S_plus!CB$2:'S_plus'!CB59)</f>
        <v>100.97433897307413</v>
      </c>
      <c r="BV59">
        <f>AVERAGE(S_plus!CC$2:'S_plus'!CC59)</f>
        <v>92.975249334500006</v>
      </c>
      <c r="BW59">
        <f>AVERAGE(S_plus!CD$2:'S_plus'!CD59)</f>
        <v>98.422202660636216</v>
      </c>
      <c r="BX59">
        <f>AVERAGE(S_plus!CE$2:'S_plus'!CE59)</f>
        <v>100.46552870075861</v>
      </c>
      <c r="BY59">
        <f>AVERAGE(S_plus!CF$2:'S_plus'!CF59)</f>
        <v>91.352888917703439</v>
      </c>
      <c r="BZ59">
        <f>AVERAGE(S_plus!CG$2:'S_plus'!CG59)</f>
        <v>94.381407826996551</v>
      </c>
      <c r="CA59">
        <f>AVERAGE(S_plus!CH$2:'S_plus'!CH59)</f>
        <v>113.98943416144824</v>
      </c>
      <c r="CB59">
        <f>AVERAGE(S_plus!CI$2:'S_plus'!CI59)</f>
        <v>99.561251109039674</v>
      </c>
      <c r="CC59">
        <f>AVERAGE(S_plus!CJ$2:'S_plus'!CJ59)</f>
        <v>100.88185035699138</v>
      </c>
      <c r="CD59">
        <f>AVERAGE(S_plus!CK$2:'S_plus'!CK59)</f>
        <v>92.866741446781006</v>
      </c>
      <c r="CE59">
        <f>AVERAGE(S_plus!CL$2:'S_plus'!CL59)</f>
        <v>88.272742881336242</v>
      </c>
      <c r="CF59">
        <f>AVERAGE(S_plus!CM$2:'S_plus'!CM59)</f>
        <v>97.967073697884501</v>
      </c>
      <c r="CG59">
        <f>AVERAGE(S_plus!CN$2:'S_plus'!CN59)</f>
        <v>96.169559113946534</v>
      </c>
      <c r="CH59">
        <f>AVERAGE(S_plus!CO$2:'S_plus'!CO59)</f>
        <v>119.60183005286207</v>
      </c>
      <c r="CI59">
        <f>AVERAGE(S_plus!CP$2:'S_plus'!CP59)</f>
        <v>95.203596721163777</v>
      </c>
      <c r="CJ59">
        <f>AVERAGE(S_plus!CQ$2:'S_plus'!CQ59)</f>
        <v>103.79586546637933</v>
      </c>
      <c r="CK59">
        <f>AVERAGE(S_plus!CR$2:'S_plus'!CR59)</f>
        <v>102.02018406086029</v>
      </c>
      <c r="CL59">
        <f>AVERAGE(S_plus!CS$2:'S_plus'!CS59)</f>
        <v>105.03932114393102</v>
      </c>
      <c r="CM59">
        <f>AVERAGE(S_plus!CT$2:'S_plus'!CT59)</f>
        <v>109.01830491437244</v>
      </c>
      <c r="CN59">
        <f>AVERAGE(S_plus!CU$2:'S_plus'!CU59)</f>
        <v>101.94881670842585</v>
      </c>
      <c r="CO59">
        <f>AVERAGE(S_plus!CV$2:'S_plus'!CV59)</f>
        <v>95.153207459610343</v>
      </c>
      <c r="CP59">
        <f>AVERAGE(S_plus!CW$2:'S_plus'!CW59)</f>
        <v>108.69287864307067</v>
      </c>
      <c r="CQ59">
        <f>AVERAGE(S_plus!CX$2:'S_plus'!CX59)</f>
        <v>114.1297922023552</v>
      </c>
      <c r="CR59">
        <f>AVERAGE(S_plus!CY$2:'S_plus'!CY59)</f>
        <v>102.95573210939138</v>
      </c>
      <c r="CS59">
        <f>AVERAGE(S_plus!CZ$2:'S_plus'!CZ59)</f>
        <v>106.04603096553792</v>
      </c>
      <c r="CT59">
        <f>AVERAGE(S_plus!DA$2:'S_plus'!DA59)</f>
        <v>111.75972274034483</v>
      </c>
      <c r="CU59">
        <f>AVERAGE(S_plus!DB$2:'S_plus'!DB59)</f>
        <v>89.159260144212084</v>
      </c>
      <c r="CV59">
        <f>AVERAGE(S_plus!DC$2:'S_plus'!DC59)</f>
        <v>101.0661957841845</v>
      </c>
      <c r="CW59">
        <f>AVERAGE(S_plus!DD$2:'S_plus'!DD59)</f>
        <v>92.137344922337931</v>
      </c>
      <c r="CX59">
        <f>AVERAGE(S_plus!DE$2:'S_plus'!DE59)</f>
        <v>103.98291639028788</v>
      </c>
      <c r="CY59">
        <f>AVERAGE(S_plus!DF$2:'S_plus'!DF59)</f>
        <v>91.037619674325867</v>
      </c>
      <c r="CZ59">
        <f>AVERAGE(S_plus!DG$2:'S_plus'!DG59)</f>
        <v>91.67801846979134</v>
      </c>
      <c r="DA59">
        <f>AVERAGE(S_plus!DH$2:'S_plus'!DH59)</f>
        <v>100.85620138126555</v>
      </c>
    </row>
    <row r="60" spans="5:105" x14ac:dyDescent="0.25">
      <c r="E60">
        <f>E59+Asian!dt</f>
        <v>0.58000000000000029</v>
      </c>
      <c r="F60">
        <f>AVERAGE(S_plus!M$2:'S_plus'!M60)</f>
        <v>91.701448563801719</v>
      </c>
      <c r="G60">
        <f>AVERAGE(S_plus!N$2:'S_plus'!N60)</f>
        <v>93.40855713298474</v>
      </c>
      <c r="H60">
        <f>AVERAGE(S_plus!O$2:'S_plus'!O60)</f>
        <v>106.0814613676085</v>
      </c>
      <c r="I60">
        <f>AVERAGE(S_plus!P$2:'S_plus'!P60)</f>
        <v>98.576214847974555</v>
      </c>
      <c r="J60">
        <f>AVERAGE(S_plus!Q$2:'S_plus'!Q60)</f>
        <v>88.207504048154249</v>
      </c>
      <c r="K60">
        <f>AVERAGE(S_plus!R$2:'S_plus'!R60)</f>
        <v>95.733676648571191</v>
      </c>
      <c r="L60">
        <f>AVERAGE(S_plus!S$2:'S_plus'!S60)</f>
        <v>114.90167118011861</v>
      </c>
      <c r="M60">
        <f>AVERAGE(S_plus!T$2:'S_plus'!T60)</f>
        <v>83.552506311679664</v>
      </c>
      <c r="N60">
        <f>AVERAGE(S_plus!U$2:'S_plus'!U60)</f>
        <v>112.31049788628813</v>
      </c>
      <c r="O60">
        <f>AVERAGE(S_plus!V$2:'S_plus'!V60)</f>
        <v>102.29811099837288</v>
      </c>
      <c r="P60">
        <f>AVERAGE(S_plus!W$2:'S_plus'!W60)</f>
        <v>102.85222624841187</v>
      </c>
      <c r="Q60">
        <f>AVERAGE(S_plus!X$2:'S_plus'!X60)</f>
        <v>110.45433777705088</v>
      </c>
      <c r="R60">
        <f>AVERAGE(S_plus!Y$2:'S_plus'!Y60)</f>
        <v>93.296134550361018</v>
      </c>
      <c r="S60">
        <f>AVERAGE(S_plus!Z$2:'S_plus'!Z60)</f>
        <v>107.74149223710675</v>
      </c>
      <c r="T60">
        <f>AVERAGE(S_plus!AA$2:'S_plus'!AA60)</f>
        <v>105.16111462796948</v>
      </c>
      <c r="U60">
        <f>AVERAGE(S_plus!AB$2:'S_plus'!AB60)</f>
        <v>96.928731656220364</v>
      </c>
      <c r="V60">
        <f>AVERAGE(S_plus!AC$2:'S_plus'!AC60)</f>
        <v>89.617170389893246</v>
      </c>
      <c r="W60">
        <f>AVERAGE(S_plus!AD$2:'S_plus'!AD60)</f>
        <v>96.817181408023743</v>
      </c>
      <c r="X60">
        <f>AVERAGE(S_plus!AE$2:'S_plus'!AE60)</f>
        <v>120.16459086087288</v>
      </c>
      <c r="Y60">
        <f>AVERAGE(S_plus!AF$2:'S_plus'!AF60)</f>
        <v>101.74747774083224</v>
      </c>
      <c r="Z60">
        <f>AVERAGE(S_plus!AG$2:'S_plus'!AG60)</f>
        <v>104.77966000308813</v>
      </c>
      <c r="AA60">
        <f>AVERAGE(S_plus!AH$2:'S_plus'!AH60)</f>
        <v>103.04944122584236</v>
      </c>
      <c r="AB60">
        <f>AVERAGE(S_plus!AI$2:'S_plus'!AI60)</f>
        <v>89.925775871955935</v>
      </c>
      <c r="AC60">
        <f>AVERAGE(S_plus!AJ$2:'S_plus'!AJ60)</f>
        <v>93.607350132883042</v>
      </c>
      <c r="AD60">
        <f>AVERAGE(S_plus!AK$2:'S_plus'!AK60)</f>
        <v>114.84430737400002</v>
      </c>
      <c r="AE60">
        <f>AVERAGE(S_plus!AL$2:'S_plus'!AL60)</f>
        <v>106.01891277120845</v>
      </c>
      <c r="AF60">
        <f>AVERAGE(S_plus!AM$2:'S_plus'!AM60)</f>
        <v>95.681275096703388</v>
      </c>
      <c r="AG60">
        <f>AVERAGE(S_plus!AN$2:'S_plus'!AN60)</f>
        <v>115.92252901027122</v>
      </c>
      <c r="AH60">
        <f>AVERAGE(S_plus!AO$2:'S_plus'!AO60)</f>
        <v>98.778078903671187</v>
      </c>
      <c r="AI60">
        <f>AVERAGE(S_plus!AP$2:'S_plus'!AP60)</f>
        <v>90.921528472964383</v>
      </c>
      <c r="AJ60">
        <f>AVERAGE(S_plus!AQ$2:'S_plus'!AQ60)</f>
        <v>103.25102770923051</v>
      </c>
      <c r="AK60">
        <f>AVERAGE(S_plus!AR$2:'S_plus'!AR60)</f>
        <v>100.26342839159661</v>
      </c>
      <c r="AL60">
        <f>AVERAGE(S_plus!AS$2:'S_plus'!AS60)</f>
        <v>114.48237045478477</v>
      </c>
      <c r="AM60">
        <f>AVERAGE(S_plus!AT$2:'S_plus'!AT60)</f>
        <v>94.09354065903392</v>
      </c>
      <c r="AN60">
        <f>AVERAGE(S_plus!AU$2:'S_plus'!AU60)</f>
        <v>97.830670432633937</v>
      </c>
      <c r="AO60">
        <f>AVERAGE(S_plus!AV$2:'S_plus'!AV60)</f>
        <v>103.85176863444742</v>
      </c>
      <c r="AP60">
        <f>AVERAGE(S_plus!AW$2:'S_plus'!AW60)</f>
        <v>115.61983024401691</v>
      </c>
      <c r="AQ60">
        <f>AVERAGE(S_plus!AX$2:'S_plus'!AX60)</f>
        <v>99.032424709457658</v>
      </c>
      <c r="AR60">
        <f>AVERAGE(S_plus!AY$2:'S_plus'!AY60)</f>
        <v>98.470228240142376</v>
      </c>
      <c r="AS60">
        <f>AVERAGE(S_plus!AZ$2:'S_plus'!AZ60)</f>
        <v>115.38877883772881</v>
      </c>
      <c r="AT60">
        <f>AVERAGE(S_plus!BA$2:'S_plus'!BA60)</f>
        <v>112.512858958</v>
      </c>
      <c r="AU60">
        <f>AVERAGE(S_plus!BB$2:'S_plus'!BB60)</f>
        <v>105.70008082531697</v>
      </c>
      <c r="AV60">
        <f>AVERAGE(S_plus!BC$2:'S_plus'!BC60)</f>
        <v>111.66701736363048</v>
      </c>
      <c r="AW60">
        <f>AVERAGE(S_plus!BD$2:'S_plus'!BD60)</f>
        <v>101.49272042169999</v>
      </c>
      <c r="AX60">
        <f>AVERAGE(S_plus!BE$2:'S_plus'!BE60)</f>
        <v>94.018196462435583</v>
      </c>
      <c r="AY60">
        <f>AVERAGE(S_plus!BF$2:'S_plus'!BF60)</f>
        <v>91.053254761696593</v>
      </c>
      <c r="AZ60">
        <f>AVERAGE(S_plus!BG$2:'S_plus'!BG60)</f>
        <v>93.690351952371174</v>
      </c>
      <c r="BA60">
        <f>AVERAGE(S_plus!BH$2:'S_plus'!BH60)</f>
        <v>100.49916992045087</v>
      </c>
      <c r="BB60">
        <f>AVERAGE(S_plus!BI$2:'S_plus'!BI60)</f>
        <v>106.49492631650848</v>
      </c>
      <c r="BC60">
        <f>AVERAGE(S_plus!BJ$2:'S_plus'!BJ60)</f>
        <v>105.39387111279319</v>
      </c>
      <c r="BD60">
        <f>AVERAGE(S_plus!BK$2:'S_plus'!BK60)</f>
        <v>96.453979618874556</v>
      </c>
      <c r="BE60">
        <f>AVERAGE(S_plus!BL$2:'S_plus'!BL60)</f>
        <v>91.651951648061015</v>
      </c>
      <c r="BF60">
        <f>AVERAGE(S_plus!BM$2:'S_plus'!BM60)</f>
        <v>95.979006724552534</v>
      </c>
      <c r="BG60">
        <f>AVERAGE(S_plus!BN$2:'S_plus'!BN60)</f>
        <v>101.49993312152034</v>
      </c>
      <c r="BH60">
        <f>AVERAGE(S_plus!BO$2:'S_plus'!BO60)</f>
        <v>86.476650382974611</v>
      </c>
      <c r="BI60">
        <f>AVERAGE(S_plus!BP$2:'S_plus'!BP60)</f>
        <v>90.345838737754264</v>
      </c>
      <c r="BJ60">
        <f>AVERAGE(S_plus!BQ$2:'S_plus'!BQ60)</f>
        <v>89.62856015718809</v>
      </c>
      <c r="BK60">
        <f>AVERAGE(S_plus!BR$2:'S_plus'!BR60)</f>
        <v>106.3393380224644</v>
      </c>
      <c r="BL60">
        <f>AVERAGE(S_plus!BS$2:'S_plus'!BS60)</f>
        <v>104.52978400751357</v>
      </c>
      <c r="BM60">
        <f>AVERAGE(S_plus!BT$2:'S_plus'!BT60)</f>
        <v>109.22388607909492</v>
      </c>
      <c r="BN60">
        <f>AVERAGE(S_plus!BU$2:'S_plus'!BU60)</f>
        <v>103.0784102476949</v>
      </c>
      <c r="BO60">
        <f>AVERAGE(S_plus!BV$2:'S_plus'!BV60)</f>
        <v>92.645936582438978</v>
      </c>
      <c r="BP60">
        <f>AVERAGE(S_plus!BW$2:'S_plus'!BW60)</f>
        <v>93.30225915446438</v>
      </c>
      <c r="BQ60">
        <f>AVERAGE(S_plus!BX$2:'S_plus'!BX60)</f>
        <v>84.839516179177949</v>
      </c>
      <c r="BR60">
        <f>AVERAGE(S_plus!BY$2:'S_plus'!BY60)</f>
        <v>102.45072876022374</v>
      </c>
      <c r="BS60">
        <f>AVERAGE(S_plus!BZ$2:'S_plus'!BZ60)</f>
        <v>99.950453724325399</v>
      </c>
      <c r="BT60">
        <f>AVERAGE(S_plus!CA$2:'S_plus'!CA60)</f>
        <v>99.965376112620334</v>
      </c>
      <c r="BU60">
        <f>AVERAGE(S_plus!CB$2:'S_plus'!CB60)</f>
        <v>101.00136337120846</v>
      </c>
      <c r="BV60">
        <f>AVERAGE(S_plus!CC$2:'S_plus'!CC60)</f>
        <v>92.706495660547461</v>
      </c>
      <c r="BW60">
        <f>AVERAGE(S_plus!CD$2:'S_plus'!CD60)</f>
        <v>98.382651160294927</v>
      </c>
      <c r="BX60">
        <f>AVERAGE(S_plus!CE$2:'S_plus'!CE60)</f>
        <v>100.20236894619831</v>
      </c>
      <c r="BY60">
        <f>AVERAGE(S_plus!CF$2:'S_plus'!CF60)</f>
        <v>91.230611979916944</v>
      </c>
      <c r="BZ60">
        <f>AVERAGE(S_plus!CG$2:'S_plus'!CG60)</f>
        <v>94.430294192498309</v>
      </c>
      <c r="CA60">
        <f>AVERAGE(S_plus!CH$2:'S_plus'!CH60)</f>
        <v>113.94346794988131</v>
      </c>
      <c r="CB60">
        <f>AVERAGE(S_plus!CI$2:'S_plus'!CI60)</f>
        <v>99.513566507084761</v>
      </c>
      <c r="CC60">
        <f>AVERAGE(S_plus!CJ$2:'S_plus'!CJ60)</f>
        <v>101.04927625419491</v>
      </c>
      <c r="CD60">
        <f>AVERAGE(S_plus!CK$2:'S_plus'!CK60)</f>
        <v>92.878176477937259</v>
      </c>
      <c r="CE60">
        <f>AVERAGE(S_plus!CL$2:'S_plus'!CL60)</f>
        <v>88.199055208586472</v>
      </c>
      <c r="CF60">
        <f>AVERAGE(S_plus!CM$2:'S_plus'!CM60)</f>
        <v>97.769472018352573</v>
      </c>
      <c r="CG60">
        <f>AVERAGE(S_plus!CN$2:'S_plus'!CN60)</f>
        <v>96.38352432937117</v>
      </c>
      <c r="CH60">
        <f>AVERAGE(S_plus!CO$2:'S_plus'!CO60)</f>
        <v>120.02418247723729</v>
      </c>
      <c r="CI60">
        <f>AVERAGE(S_plus!CP$2:'S_plus'!CP60)</f>
        <v>94.983652636720322</v>
      </c>
      <c r="CJ60">
        <f>AVERAGE(S_plus!CQ$2:'S_plus'!CQ60)</f>
        <v>103.60493724141186</v>
      </c>
      <c r="CK60">
        <f>AVERAGE(S_plus!CR$2:'S_plus'!CR60)</f>
        <v>102.02364757009994</v>
      </c>
      <c r="CL60">
        <f>AVERAGE(S_plus!CS$2:'S_plus'!CS60)</f>
        <v>104.96958004310167</v>
      </c>
      <c r="CM60">
        <f>AVERAGE(S_plus!CT$2:'S_plus'!CT60)</f>
        <v>109.34613986514577</v>
      </c>
      <c r="CN60">
        <f>AVERAGE(S_plus!CU$2:'S_plus'!CU60)</f>
        <v>101.95446216379152</v>
      </c>
      <c r="CO60">
        <f>AVERAGE(S_plus!CV$2:'S_plus'!CV60)</f>
        <v>95.076897773989813</v>
      </c>
      <c r="CP60">
        <f>AVERAGE(S_plus!CW$2:'S_plus'!CW60)</f>
        <v>108.63964020788303</v>
      </c>
      <c r="CQ60">
        <f>AVERAGE(S_plus!CX$2:'S_plus'!CX60)</f>
        <v>114.3137086628746</v>
      </c>
      <c r="CR60">
        <f>AVERAGE(S_plus!CY$2:'S_plus'!CY60)</f>
        <v>103.11172057197797</v>
      </c>
      <c r="CS60">
        <f>AVERAGE(S_plus!CZ$2:'S_plus'!CZ60)</f>
        <v>106.21422454835933</v>
      </c>
      <c r="CT60">
        <f>AVERAGE(S_plus!DA$2:'S_plus'!DA60)</f>
        <v>112.02469362045763</v>
      </c>
      <c r="CU60">
        <f>AVERAGE(S_plus!DB$2:'S_plus'!DB60)</f>
        <v>88.98439230229323</v>
      </c>
      <c r="CV60">
        <f>AVERAGE(S_plus!DC$2:'S_plus'!DC60)</f>
        <v>101.13846901007967</v>
      </c>
      <c r="CW60">
        <f>AVERAGE(S_plus!DD$2:'S_plus'!DD60)</f>
        <v>92.156364307298304</v>
      </c>
      <c r="CX60">
        <f>AVERAGE(S_plus!DE$2:'S_plus'!DE60)</f>
        <v>103.84885639328979</v>
      </c>
      <c r="CY60">
        <f>AVERAGE(S_plus!DF$2:'S_plus'!DF60)</f>
        <v>90.873686904369492</v>
      </c>
      <c r="CZ60">
        <f>AVERAGE(S_plus!DG$2:'S_plus'!DG60)</f>
        <v>91.553394173979612</v>
      </c>
      <c r="DA60">
        <f>AVERAGE(S_plus!DH$2:'S_plus'!DH60)</f>
        <v>100.83666067709834</v>
      </c>
    </row>
    <row r="61" spans="5:105" x14ac:dyDescent="0.25">
      <c r="E61">
        <f>E60+Asian!dt</f>
        <v>0.5900000000000003</v>
      </c>
      <c r="F61">
        <f>AVERAGE(S_plus!M$2:'S_plus'!M61)</f>
        <v>91.710522974878359</v>
      </c>
      <c r="G61">
        <f>AVERAGE(S_plus!N$2:'S_plus'!N61)</f>
        <v>93.385412631031656</v>
      </c>
      <c r="H61">
        <f>AVERAGE(S_plus!O$2:'S_plus'!O61)</f>
        <v>106.07999765829837</v>
      </c>
      <c r="I61">
        <f>AVERAGE(S_plus!P$2:'S_plus'!P61)</f>
        <v>98.508046272621641</v>
      </c>
      <c r="J61">
        <f>AVERAGE(S_plus!Q$2:'S_plus'!Q61)</f>
        <v>87.970114210005008</v>
      </c>
      <c r="K61">
        <f>AVERAGE(S_plus!R$2:'S_plus'!R61)</f>
        <v>95.615457400291675</v>
      </c>
      <c r="L61">
        <f>AVERAGE(S_plus!S$2:'S_plus'!S61)</f>
        <v>114.76921395728328</v>
      </c>
      <c r="M61">
        <f>AVERAGE(S_plus!T$2:'S_plus'!T61)</f>
        <v>83.418354672798344</v>
      </c>
      <c r="N61">
        <f>AVERAGE(S_plus!U$2:'S_plus'!U61)</f>
        <v>112.17075089198333</v>
      </c>
      <c r="O61">
        <f>AVERAGE(S_plus!V$2:'S_plus'!V61)</f>
        <v>102.5156511646</v>
      </c>
      <c r="P61">
        <f>AVERAGE(S_plus!W$2:'S_plus'!W61)</f>
        <v>102.90753801383833</v>
      </c>
      <c r="Q61">
        <f>AVERAGE(S_plus!X$2:'S_plus'!X61)</f>
        <v>110.4414231661667</v>
      </c>
      <c r="R61">
        <f>AVERAGE(S_plus!Y$2:'S_plus'!Y61)</f>
        <v>93.280561172816675</v>
      </c>
      <c r="S61">
        <f>AVERAGE(S_plus!Z$2:'S_plus'!Z61)</f>
        <v>107.81778149537165</v>
      </c>
      <c r="T61">
        <f>AVERAGE(S_plus!AA$2:'S_plus'!AA61)</f>
        <v>105.16044297623667</v>
      </c>
      <c r="U61">
        <f>AVERAGE(S_plus!AB$2:'S_plus'!AB61)</f>
        <v>97.153710156966696</v>
      </c>
      <c r="V61">
        <f>AVERAGE(S_plus!AC$2:'S_plus'!AC61)</f>
        <v>89.407958527140025</v>
      </c>
      <c r="W61">
        <f>AVERAGE(S_plus!AD$2:'S_plus'!AD61)</f>
        <v>96.911290277773347</v>
      </c>
      <c r="X61">
        <f>AVERAGE(S_plus!AE$2:'S_plus'!AE61)</f>
        <v>120.57039618132499</v>
      </c>
      <c r="Y61">
        <f>AVERAGE(S_plus!AF$2:'S_plus'!AF61)</f>
        <v>102.21214462976836</v>
      </c>
      <c r="Z61">
        <f>AVERAGE(S_plus!AG$2:'S_plus'!AG61)</f>
        <v>104.84002493455333</v>
      </c>
      <c r="AA61">
        <f>AVERAGE(S_plus!AH$2:'S_plus'!AH61)</f>
        <v>103.38205312126165</v>
      </c>
      <c r="AB61">
        <f>AVERAGE(S_plus!AI$2:'S_plus'!AI61)</f>
        <v>89.917374162796676</v>
      </c>
      <c r="AC61">
        <f>AVERAGE(S_plus!AJ$2:'S_plus'!AJ61)</f>
        <v>93.437290678573333</v>
      </c>
      <c r="AD61">
        <f>AVERAGE(S_plus!AK$2:'S_plus'!AK61)</f>
        <v>114.8227037528667</v>
      </c>
      <c r="AE61">
        <f>AVERAGE(S_plus!AL$2:'S_plus'!AL61)</f>
        <v>105.98469619162164</v>
      </c>
      <c r="AF61">
        <f>AVERAGE(S_plus!AM$2:'S_plus'!AM61)</f>
        <v>95.554763959845005</v>
      </c>
      <c r="AG61">
        <f>AVERAGE(S_plus!AN$2:'S_plus'!AN61)</f>
        <v>115.6887727215167</v>
      </c>
      <c r="AH61">
        <f>AVERAGE(S_plus!AO$2:'S_plus'!AO61)</f>
        <v>98.73249653114334</v>
      </c>
      <c r="AI61">
        <f>AVERAGE(S_plus!AP$2:'S_plus'!AP61)</f>
        <v>90.824108512543305</v>
      </c>
      <c r="AJ61">
        <f>AVERAGE(S_plus!AQ$2:'S_plus'!AQ61)</f>
        <v>103.53983366329334</v>
      </c>
      <c r="AK61">
        <f>AVERAGE(S_plus!AR$2:'S_plus'!AR61)</f>
        <v>100.20519287915999</v>
      </c>
      <c r="AL61">
        <f>AVERAGE(S_plus!AS$2:'S_plus'!AS61)</f>
        <v>114.75675938942169</v>
      </c>
      <c r="AM61">
        <f>AVERAGE(S_plus!AT$2:'S_plus'!AT61)</f>
        <v>93.987091990798348</v>
      </c>
      <c r="AN61">
        <f>AVERAGE(S_plus!AU$2:'S_plus'!AU61)</f>
        <v>98.022889324640033</v>
      </c>
      <c r="AO61">
        <f>AVERAGE(S_plus!AV$2:'S_plus'!AV61)</f>
        <v>104.19977965977331</v>
      </c>
      <c r="AP61">
        <f>AVERAGE(S_plus!AW$2:'S_plus'!AW61)</f>
        <v>115.69249186589997</v>
      </c>
      <c r="AQ61">
        <f>AVERAGE(S_plus!AX$2:'S_plus'!AX61)</f>
        <v>99.137086528533374</v>
      </c>
      <c r="AR61">
        <f>AVERAGE(S_plus!AY$2:'S_plus'!AY61)</f>
        <v>98.532266087723343</v>
      </c>
      <c r="AS61">
        <f>AVERAGE(S_plus!AZ$2:'S_plus'!AZ61)</f>
        <v>115.58318406703333</v>
      </c>
      <c r="AT61">
        <f>AVERAGE(S_plus!BA$2:'S_plus'!BA61)</f>
        <v>112.66773791714999</v>
      </c>
      <c r="AU61">
        <f>AVERAGE(S_plus!BB$2:'S_plus'!BB61)</f>
        <v>105.73180965969503</v>
      </c>
      <c r="AV61">
        <f>AVERAGE(S_plus!BC$2:'S_plus'!BC61)</f>
        <v>111.70576810593664</v>
      </c>
      <c r="AW61">
        <f>AVERAGE(S_plus!BD$2:'S_plus'!BD61)</f>
        <v>101.56769336470499</v>
      </c>
      <c r="AX61">
        <f>AVERAGE(S_plus!BE$2:'S_plus'!BE61)</f>
        <v>94.212914012428328</v>
      </c>
      <c r="AY61">
        <f>AVERAGE(S_plus!BF$2:'S_plus'!BF61)</f>
        <v>90.983655549813321</v>
      </c>
      <c r="AZ61">
        <f>AVERAGE(S_plus!BG$2:'S_plus'!BG61)</f>
        <v>93.70947112111665</v>
      </c>
      <c r="BA61">
        <f>AVERAGE(S_plus!BH$2:'S_plus'!BH61)</f>
        <v>100.48477409089169</v>
      </c>
      <c r="BB61">
        <f>AVERAGE(S_plus!BI$2:'S_plus'!BI61)</f>
        <v>106.44158821001669</v>
      </c>
      <c r="BC61">
        <f>AVERAGE(S_plus!BJ$2:'S_plus'!BJ61)</f>
        <v>105.43135584639664</v>
      </c>
      <c r="BD61">
        <f>AVERAGE(S_plus!BK$2:'S_plus'!BK61)</f>
        <v>96.593284282526653</v>
      </c>
      <c r="BE61">
        <f>AVERAGE(S_plus!BL$2:'S_plus'!BL61)</f>
        <v>91.549256610088335</v>
      </c>
      <c r="BF61">
        <f>AVERAGE(S_plus!BM$2:'S_plus'!BM61)</f>
        <v>96.140055011476662</v>
      </c>
      <c r="BG61">
        <f>AVERAGE(S_plus!BN$2:'S_plus'!BN61)</f>
        <v>101.53954494026168</v>
      </c>
      <c r="BH61">
        <f>AVERAGE(S_plus!BO$2:'S_plus'!BO61)</f>
        <v>86.549754327035046</v>
      </c>
      <c r="BI61">
        <f>AVERAGE(S_plus!BP$2:'S_plus'!BP61)</f>
        <v>90.217415636578366</v>
      </c>
      <c r="BJ61">
        <f>AVERAGE(S_plus!BQ$2:'S_plus'!BQ61)</f>
        <v>89.757319998071623</v>
      </c>
      <c r="BK61">
        <f>AVERAGE(S_plus!BR$2:'S_plus'!BR61)</f>
        <v>106.37856693402333</v>
      </c>
      <c r="BL61">
        <f>AVERAGE(S_plus!BS$2:'S_plus'!BS61)</f>
        <v>104.74881487862167</v>
      </c>
      <c r="BM61">
        <f>AVERAGE(S_plus!BT$2:'S_plus'!BT61)</f>
        <v>109.14905788564334</v>
      </c>
      <c r="BN61">
        <f>AVERAGE(S_plus!BU$2:'S_plus'!BU61)</f>
        <v>102.98504849135165</v>
      </c>
      <c r="BO61">
        <f>AVERAGE(S_plus!BV$2:'S_plus'!BV61)</f>
        <v>92.50192548201332</v>
      </c>
      <c r="BP61">
        <f>AVERAGE(S_plus!BW$2:'S_plus'!BW61)</f>
        <v>93.452133414723292</v>
      </c>
      <c r="BQ61">
        <f>AVERAGE(S_plus!BX$2:'S_plus'!BX61)</f>
        <v>84.607549346809989</v>
      </c>
      <c r="BR61">
        <f>AVERAGE(S_plus!BY$2:'S_plus'!BY61)</f>
        <v>102.35600656259835</v>
      </c>
      <c r="BS61">
        <f>AVERAGE(S_plus!BZ$2:'S_plus'!BZ61)</f>
        <v>100.2328874477533</v>
      </c>
      <c r="BT61">
        <f>AVERAGE(S_plus!CA$2:'S_plus'!CA61)</f>
        <v>99.760254120681665</v>
      </c>
      <c r="BU61">
        <f>AVERAGE(S_plus!CB$2:'S_plus'!CB61)</f>
        <v>101.02076909927165</v>
      </c>
      <c r="BV61">
        <f>AVERAGE(S_plus!CC$2:'S_plus'!CC61)</f>
        <v>92.479590127649999</v>
      </c>
      <c r="BW61">
        <f>AVERAGE(S_plus!CD$2:'S_plus'!CD61)</f>
        <v>98.335881350528354</v>
      </c>
      <c r="BX61">
        <f>AVERAGE(S_plus!CE$2:'S_plus'!CE61)</f>
        <v>99.92690558436999</v>
      </c>
      <c r="BY61">
        <f>AVERAGE(S_plus!CF$2:'S_plus'!CF61)</f>
        <v>91.101929345811655</v>
      </c>
      <c r="BZ61">
        <f>AVERAGE(S_plus!CG$2:'S_plus'!CG61)</f>
        <v>94.450482734696664</v>
      </c>
      <c r="CA61">
        <f>AVERAGE(S_plus!CH$2:'S_plus'!CH61)</f>
        <v>113.99973811778328</v>
      </c>
      <c r="CB61">
        <f>AVERAGE(S_plus!CI$2:'S_plus'!CI61)</f>
        <v>99.438190794211692</v>
      </c>
      <c r="CC61">
        <f>AVERAGE(S_plus!CJ$2:'S_plus'!CJ61)</f>
        <v>101.17289875134165</v>
      </c>
      <c r="CD61">
        <f>AVERAGE(S_plus!CK$2:'S_plus'!CK61)</f>
        <v>92.947142666526631</v>
      </c>
      <c r="CE61">
        <f>AVERAGE(S_plus!CL$2:'S_plus'!CL61)</f>
        <v>88.117161735121698</v>
      </c>
      <c r="CF61">
        <f>AVERAGE(S_plus!CM$2:'S_plus'!CM61)</f>
        <v>97.604415646458364</v>
      </c>
      <c r="CG61">
        <f>AVERAGE(S_plus!CN$2:'S_plus'!CN61)</f>
        <v>96.544872185781657</v>
      </c>
      <c r="CH61">
        <f>AVERAGE(S_plus!CO$2:'S_plus'!CO61)</f>
        <v>120.47349779435</v>
      </c>
      <c r="CI61">
        <f>AVERAGE(S_plus!CP$2:'S_plus'!CP61)</f>
        <v>94.803081299076652</v>
      </c>
      <c r="CJ61">
        <f>AVERAGE(S_plus!CQ$2:'S_plus'!CQ61)</f>
        <v>103.43617211761999</v>
      </c>
      <c r="CK61">
        <f>AVERAGE(S_plus!CR$2:'S_plus'!CR61)</f>
        <v>102.01893608119826</v>
      </c>
      <c r="CL61">
        <f>AVERAGE(S_plus!CS$2:'S_plus'!CS61)</f>
        <v>104.86336940779665</v>
      </c>
      <c r="CM61">
        <f>AVERAGE(S_plus!CT$2:'S_plus'!CT61)</f>
        <v>109.75608548709334</v>
      </c>
      <c r="CN61">
        <f>AVERAGE(S_plus!CU$2:'S_plus'!CU61)</f>
        <v>101.98173122432833</v>
      </c>
      <c r="CO61">
        <f>AVERAGE(S_plus!CV$2:'S_plus'!CV61)</f>
        <v>94.982129415363318</v>
      </c>
      <c r="CP61">
        <f>AVERAGE(S_plus!CW$2:'S_plus'!CW61)</f>
        <v>108.59394895875165</v>
      </c>
      <c r="CQ61">
        <f>AVERAGE(S_plus!CX$2:'S_plus'!CX61)</f>
        <v>114.51102469499337</v>
      </c>
      <c r="CR61">
        <f>AVERAGE(S_plus!CY$2:'S_plus'!CY61)</f>
        <v>103.25076806941166</v>
      </c>
      <c r="CS61">
        <f>AVERAGE(S_plus!CZ$2:'S_plus'!CZ61)</f>
        <v>106.33259119823667</v>
      </c>
      <c r="CT61">
        <f>AVERAGE(S_plus!DA$2:'S_plus'!DA61)</f>
        <v>112.28078899898334</v>
      </c>
      <c r="CU61">
        <f>AVERAGE(S_plus!DB$2:'S_plus'!DB61)</f>
        <v>88.806011882310017</v>
      </c>
      <c r="CV61">
        <f>AVERAGE(S_plus!DC$2:'S_plus'!DC61)</f>
        <v>101.17512495646169</v>
      </c>
      <c r="CW61">
        <f>AVERAGE(S_plus!DD$2:'S_plus'!DD61)</f>
        <v>92.151028957983328</v>
      </c>
      <c r="CX61">
        <f>AVERAGE(S_plus!DE$2:'S_plus'!DE61)</f>
        <v>103.68619192484995</v>
      </c>
      <c r="CY61">
        <f>AVERAGE(S_plus!DF$2:'S_plus'!DF61)</f>
        <v>90.735949493174999</v>
      </c>
      <c r="CZ61">
        <f>AVERAGE(S_plus!DG$2:'S_plus'!DG61)</f>
        <v>91.412268519398296</v>
      </c>
      <c r="DA61">
        <f>AVERAGE(S_plus!DH$2:'S_plus'!DH61)</f>
        <v>100.8147035583067</v>
      </c>
    </row>
    <row r="62" spans="5:105" x14ac:dyDescent="0.25">
      <c r="E62">
        <f>E61+Asian!dt</f>
        <v>0.60000000000000031</v>
      </c>
      <c r="F62">
        <f>AVERAGE(S_plus!M$2:'S_plus'!M62)</f>
        <v>91.719728506177077</v>
      </c>
      <c r="G62">
        <f>AVERAGE(S_plus!N$2:'S_plus'!N62)</f>
        <v>93.385231056629507</v>
      </c>
      <c r="H62">
        <f>AVERAGE(S_plus!O$2:'S_plus'!O62)</f>
        <v>106.04400839552298</v>
      </c>
      <c r="I62">
        <f>AVERAGE(S_plus!P$2:'S_plus'!P62)</f>
        <v>98.462185113939327</v>
      </c>
      <c r="J62">
        <f>AVERAGE(S_plus!Q$2:'S_plus'!Q62)</f>
        <v>87.711713974104924</v>
      </c>
      <c r="K62">
        <f>AVERAGE(S_plus!R$2:'S_plus'!R62)</f>
        <v>95.50616318159345</v>
      </c>
      <c r="L62">
        <f>AVERAGE(S_plus!S$2:'S_plus'!S62)</f>
        <v>114.65383203585242</v>
      </c>
      <c r="M62">
        <f>AVERAGE(S_plus!T$2:'S_plus'!T62)</f>
        <v>83.309811546163942</v>
      </c>
      <c r="N62">
        <f>AVERAGE(S_plus!U$2:'S_plus'!U62)</f>
        <v>112.01627617613116</v>
      </c>
      <c r="O62">
        <f>AVERAGE(S_plus!V$2:'S_plus'!V62)</f>
        <v>102.72997484390163</v>
      </c>
      <c r="P62">
        <f>AVERAGE(S_plus!W$2:'S_plus'!W62)</f>
        <v>102.97054955867705</v>
      </c>
      <c r="Q62">
        <f>AVERAGE(S_plus!X$2:'S_plus'!X62)</f>
        <v>110.38308278695085</v>
      </c>
      <c r="R62">
        <f>AVERAGE(S_plus!Y$2:'S_plus'!Y62)</f>
        <v>93.264414329093455</v>
      </c>
      <c r="S62">
        <f>AVERAGE(S_plus!Z$2:'S_plus'!Z62)</f>
        <v>107.89617073100489</v>
      </c>
      <c r="T62">
        <f>AVERAGE(S_plus!AA$2:'S_plus'!AA62)</f>
        <v>105.10836182279016</v>
      </c>
      <c r="U62">
        <f>AVERAGE(S_plus!AB$2:'S_plus'!AB62)</f>
        <v>97.329984752147567</v>
      </c>
      <c r="V62">
        <f>AVERAGE(S_plus!AC$2:'S_plus'!AC62)</f>
        <v>89.216572963952487</v>
      </c>
      <c r="W62">
        <f>AVERAGE(S_plus!AD$2:'S_plus'!AD62)</f>
        <v>97.016665870809845</v>
      </c>
      <c r="X62">
        <f>AVERAGE(S_plus!AE$2:'S_plus'!AE62)</f>
        <v>120.95771215615574</v>
      </c>
      <c r="Y62">
        <f>AVERAGE(S_plus!AF$2:'S_plus'!AF62)</f>
        <v>102.74904451391971</v>
      </c>
      <c r="Z62">
        <f>AVERAGE(S_plus!AG$2:'S_plus'!AG62)</f>
        <v>104.93112473387212</v>
      </c>
      <c r="AA62">
        <f>AVERAGE(S_plus!AH$2:'S_plus'!AH62)</f>
        <v>103.77848380327374</v>
      </c>
      <c r="AB62">
        <f>AVERAGE(S_plus!AI$2:'S_plus'!AI62)</f>
        <v>89.914772152950817</v>
      </c>
      <c r="AC62">
        <f>AVERAGE(S_plus!AJ$2:'S_plus'!AJ62)</f>
        <v>93.254025256752456</v>
      </c>
      <c r="AD62">
        <f>AVERAGE(S_plus!AK$2:'S_plus'!AK62)</f>
        <v>114.77144251886888</v>
      </c>
      <c r="AE62">
        <f>AVERAGE(S_plus!AL$2:'S_plus'!AL62)</f>
        <v>105.94790606284096</v>
      </c>
      <c r="AF62">
        <f>AVERAGE(S_plus!AM$2:'S_plus'!AM62)</f>
        <v>95.454880814822943</v>
      </c>
      <c r="AG62">
        <f>AVERAGE(S_plus!AN$2:'S_plus'!AN62)</f>
        <v>115.44018472109839</v>
      </c>
      <c r="AH62">
        <f>AVERAGE(S_plus!AO$2:'S_plus'!AO62)</f>
        <v>98.688446086718031</v>
      </c>
      <c r="AI62">
        <f>AVERAGE(S_plus!AP$2:'S_plus'!AP62)</f>
        <v>90.747549798160634</v>
      </c>
      <c r="AJ62">
        <f>AVERAGE(S_plus!AQ$2:'S_plus'!AQ62)</f>
        <v>103.81551004037048</v>
      </c>
      <c r="AK62">
        <f>AVERAGE(S_plus!AR$2:'S_plus'!AR62)</f>
        <v>100.19854891257869</v>
      </c>
      <c r="AL62">
        <f>AVERAGE(S_plus!AS$2:'S_plus'!AS62)</f>
        <v>115.01973252789018</v>
      </c>
      <c r="AM62">
        <f>AVERAGE(S_plus!AT$2:'S_plus'!AT62)</f>
        <v>93.876994682152471</v>
      </c>
      <c r="AN62">
        <f>AVERAGE(S_plus!AU$2:'S_plus'!AU62)</f>
        <v>98.179266709973803</v>
      </c>
      <c r="AO62">
        <f>AVERAGE(S_plus!AV$2:'S_plus'!AV62)</f>
        <v>104.53968341667866</v>
      </c>
      <c r="AP62">
        <f>AVERAGE(S_plus!AW$2:'S_plus'!AW62)</f>
        <v>115.70000630227867</v>
      </c>
      <c r="AQ62">
        <f>AVERAGE(S_plus!AX$2:'S_plus'!AX62)</f>
        <v>99.210255263918071</v>
      </c>
      <c r="AR62">
        <f>AVERAGE(S_plus!AY$2:'S_plus'!AY62)</f>
        <v>98.504861114939345</v>
      </c>
      <c r="AS62">
        <f>AVERAGE(S_plus!AZ$2:'S_plus'!AZ62)</f>
        <v>115.79448781860656</v>
      </c>
      <c r="AT62">
        <f>AVERAGE(S_plus!BA$2:'S_plus'!BA62)</f>
        <v>112.71457584239344</v>
      </c>
      <c r="AU62">
        <f>AVERAGE(S_plus!BB$2:'S_plus'!BB62)</f>
        <v>105.7834508245033</v>
      </c>
      <c r="AV62">
        <f>AVERAGE(S_plus!BC$2:'S_plus'!BC62)</f>
        <v>111.73768867149505</v>
      </c>
      <c r="AW62">
        <f>AVERAGE(S_plus!BD$2:'S_plus'!BD62)</f>
        <v>101.70022247944753</v>
      </c>
      <c r="AX62">
        <f>AVERAGE(S_plus!BE$2:'S_plus'!BE62)</f>
        <v>94.373122504240982</v>
      </c>
      <c r="AY62">
        <f>AVERAGE(S_plus!BF$2:'S_plus'!BF62)</f>
        <v>90.854452061250797</v>
      </c>
      <c r="AZ62">
        <f>AVERAGE(S_plus!BG$2:'S_plus'!BG62)</f>
        <v>93.655255123037691</v>
      </c>
      <c r="BA62">
        <f>AVERAGE(S_plus!BH$2:'S_plus'!BH62)</f>
        <v>100.52028834312297</v>
      </c>
      <c r="BB62">
        <f>AVERAGE(S_plus!BI$2:'S_plus'!BI62)</f>
        <v>106.45355941721313</v>
      </c>
      <c r="BC62">
        <f>AVERAGE(S_plus!BJ$2:'S_plus'!BJ62)</f>
        <v>105.44450125691472</v>
      </c>
      <c r="BD62">
        <f>AVERAGE(S_plus!BK$2:'S_plus'!BK62)</f>
        <v>96.692503367731135</v>
      </c>
      <c r="BE62">
        <f>AVERAGE(S_plus!BL$2:'S_plus'!BL62)</f>
        <v>91.446995077650811</v>
      </c>
      <c r="BF62">
        <f>AVERAGE(S_plus!BM$2:'S_plus'!BM62)</f>
        <v>96.412779789108185</v>
      </c>
      <c r="BG62">
        <f>AVERAGE(S_plus!BN$2:'S_plus'!BN62)</f>
        <v>101.58399201163444</v>
      </c>
      <c r="BH62">
        <f>AVERAGE(S_plus!BO$2:'S_plus'!BO62)</f>
        <v>86.569400220898402</v>
      </c>
      <c r="BI62">
        <f>AVERAGE(S_plus!BP$2:'S_plus'!BP62)</f>
        <v>90.059609645357412</v>
      </c>
      <c r="BJ62">
        <f>AVERAGE(S_plus!BQ$2:'S_plus'!BQ62)</f>
        <v>89.828078175570454</v>
      </c>
      <c r="BK62">
        <f>AVERAGE(S_plus!BR$2:'S_plus'!BR62)</f>
        <v>106.4727018301213</v>
      </c>
      <c r="BL62">
        <f>AVERAGE(S_plus!BS$2:'S_plus'!BS62)</f>
        <v>104.94121091046394</v>
      </c>
      <c r="BM62">
        <f>AVERAGE(S_plus!BT$2:'S_plus'!BT62)</f>
        <v>109.10105142956724</v>
      </c>
      <c r="BN62">
        <f>AVERAGE(S_plus!BU$2:'S_plus'!BU62)</f>
        <v>102.91199612372623</v>
      </c>
      <c r="BO62">
        <f>AVERAGE(S_plus!BV$2:'S_plus'!BV62)</f>
        <v>92.35714961530654</v>
      </c>
      <c r="BP62">
        <f>AVERAGE(S_plus!BW$2:'S_plus'!BW62)</f>
        <v>93.597577724645859</v>
      </c>
      <c r="BQ62">
        <f>AVERAGE(S_plus!BX$2:'S_plus'!BX62)</f>
        <v>84.376664186536061</v>
      </c>
      <c r="BR62">
        <f>AVERAGE(S_plus!BY$2:'S_plus'!BY62)</f>
        <v>102.23087824414101</v>
      </c>
      <c r="BS62">
        <f>AVERAGE(S_plus!BZ$2:'S_plus'!BZ62)</f>
        <v>100.47548218382292</v>
      </c>
      <c r="BT62">
        <f>AVERAGE(S_plus!CA$2:'S_plus'!CA62)</f>
        <v>99.566469665536076</v>
      </c>
      <c r="BU62">
        <f>AVERAGE(S_plus!CB$2:'S_plus'!CB62)</f>
        <v>101.0664896980049</v>
      </c>
      <c r="BV62">
        <f>AVERAGE(S_plus!CC$2:'S_plus'!CC62)</f>
        <v>92.242767185795074</v>
      </c>
      <c r="BW62">
        <f>AVERAGE(S_plus!CD$2:'S_plus'!CD62)</f>
        <v>98.313267411473788</v>
      </c>
      <c r="BX62">
        <f>AVERAGE(S_plus!CE$2:'S_plus'!CE62)</f>
        <v>99.626686321811476</v>
      </c>
      <c r="BY62">
        <f>AVERAGE(S_plus!CF$2:'S_plus'!CF62)</f>
        <v>90.95814017456064</v>
      </c>
      <c r="BZ62">
        <f>AVERAGE(S_plus!CG$2:'S_plus'!CG62)</f>
        <v>94.406497412122945</v>
      </c>
      <c r="CA62">
        <f>AVERAGE(S_plus!CH$2:'S_plus'!CH62)</f>
        <v>114.06486901847536</v>
      </c>
      <c r="CB62">
        <f>AVERAGE(S_plus!CI$2:'S_plus'!CI62)</f>
        <v>99.354656065147566</v>
      </c>
      <c r="CC62">
        <f>AVERAGE(S_plus!CJ$2:'S_plus'!CJ62)</f>
        <v>101.30973987558195</v>
      </c>
      <c r="CD62">
        <f>AVERAGE(S_plus!CK$2:'S_plus'!CK62)</f>
        <v>92.975649006283575</v>
      </c>
      <c r="CE62">
        <f>AVERAGE(S_plus!CL$2:'S_plus'!CL62)</f>
        <v>88.012465269044299</v>
      </c>
      <c r="CF62">
        <f>AVERAGE(S_plus!CM$2:'S_plus'!CM62)</f>
        <v>97.452175321940999</v>
      </c>
      <c r="CG62">
        <f>AVERAGE(S_plus!CN$2:'S_plus'!CN62)</f>
        <v>96.713391285473747</v>
      </c>
      <c r="CH62">
        <f>AVERAGE(S_plus!CO$2:'S_plus'!CO62)</f>
        <v>120.90850880209837</v>
      </c>
      <c r="CI62">
        <f>AVERAGE(S_plus!CP$2:'S_plus'!CP62)</f>
        <v>94.669734933688517</v>
      </c>
      <c r="CJ62">
        <f>AVERAGE(S_plus!CQ$2:'S_plus'!CQ62)</f>
        <v>103.27877691850163</v>
      </c>
      <c r="CK62">
        <f>AVERAGE(S_plus!CR$2:'S_plus'!CR62)</f>
        <v>102.10464777163763</v>
      </c>
      <c r="CL62">
        <f>AVERAGE(S_plus!CS$2:'S_plus'!CS62)</f>
        <v>104.74252990556721</v>
      </c>
      <c r="CM62">
        <f>AVERAGE(S_plus!CT$2:'S_plus'!CT62)</f>
        <v>110.18409104407543</v>
      </c>
      <c r="CN62">
        <f>AVERAGE(S_plus!CU$2:'S_plus'!CU62)</f>
        <v>102.0358735799295</v>
      </c>
      <c r="CO62">
        <f>AVERAGE(S_plus!CV$2:'S_plus'!CV62)</f>
        <v>94.901799819940976</v>
      </c>
      <c r="CP62">
        <f>AVERAGE(S_plus!CW$2:'S_plus'!CW62)</f>
        <v>108.54789002872293</v>
      </c>
      <c r="CQ62">
        <f>AVERAGE(S_plus!CX$2:'S_plus'!CX62)</f>
        <v>114.70978081861641</v>
      </c>
      <c r="CR62">
        <f>AVERAGE(S_plus!CY$2:'S_plus'!CY62)</f>
        <v>103.37822412935573</v>
      </c>
      <c r="CS62">
        <f>AVERAGE(S_plus!CZ$2:'S_plus'!CZ62)</f>
        <v>106.41544328223279</v>
      </c>
      <c r="CT62">
        <f>AVERAGE(S_plus!DA$2:'S_plus'!DA62)</f>
        <v>112.51413695973771</v>
      </c>
      <c r="CU62">
        <f>AVERAGE(S_plus!DB$2:'S_plus'!DB62)</f>
        <v>88.635797771400007</v>
      </c>
      <c r="CV62">
        <f>AVERAGE(S_plus!DC$2:'S_plus'!DC62)</f>
        <v>101.21961325096231</v>
      </c>
      <c r="CW62">
        <f>AVERAGE(S_plus!DD$2:'S_plus'!DD62)</f>
        <v>92.140822856949185</v>
      </c>
      <c r="CX62">
        <f>AVERAGE(S_plus!DE$2:'S_plus'!DE62)</f>
        <v>103.53700580537864</v>
      </c>
      <c r="CY62">
        <f>AVERAGE(S_plus!DF$2:'S_plus'!DF62)</f>
        <v>90.568211380265581</v>
      </c>
      <c r="CZ62">
        <f>AVERAGE(S_plus!DG$2:'S_plus'!DG62)</f>
        <v>91.284627630908162</v>
      </c>
      <c r="DA62">
        <f>AVERAGE(S_plus!DH$2:'S_plus'!DH62)</f>
        <v>100.80740676277708</v>
      </c>
    </row>
    <row r="63" spans="5:105" x14ac:dyDescent="0.25">
      <c r="E63">
        <f>E62+Asian!dt</f>
        <v>0.61000000000000032</v>
      </c>
      <c r="F63">
        <f>AVERAGE(S_plus!M$2:'S_plus'!M63)</f>
        <v>91.712966351953241</v>
      </c>
      <c r="G63">
        <f>AVERAGE(S_plus!N$2:'S_plus'!N63)</f>
        <v>93.394840560616117</v>
      </c>
      <c r="H63">
        <f>AVERAGE(S_plus!O$2:'S_plus'!O63)</f>
        <v>105.96169165661132</v>
      </c>
      <c r="I63">
        <f>AVERAGE(S_plus!P$2:'S_plus'!P63)</f>
        <v>98.402780873261264</v>
      </c>
      <c r="J63">
        <f>AVERAGE(S_plus!Q$2:'S_plus'!Q63)</f>
        <v>87.456989317982263</v>
      </c>
      <c r="K63">
        <f>AVERAGE(S_plus!R$2:'S_plus'!R63)</f>
        <v>95.388797587096775</v>
      </c>
      <c r="L63">
        <f>AVERAGE(S_plus!S$2:'S_plus'!S63)</f>
        <v>114.52552340954834</v>
      </c>
      <c r="M63">
        <f>AVERAGE(S_plus!T$2:'S_plus'!T63)</f>
        <v>83.175205856654841</v>
      </c>
      <c r="N63">
        <f>AVERAGE(S_plus!U$2:'S_plus'!U63)</f>
        <v>111.89562779491935</v>
      </c>
      <c r="O63">
        <f>AVERAGE(S_plus!V$2:'S_plus'!V63)</f>
        <v>102.9678944889516</v>
      </c>
      <c r="P63">
        <f>AVERAGE(S_plus!W$2:'S_plus'!W63)</f>
        <v>103.06188283706935</v>
      </c>
      <c r="Q63">
        <f>AVERAGE(S_plus!X$2:'S_plus'!X63)</f>
        <v>110.35001739754841</v>
      </c>
      <c r="R63">
        <f>AVERAGE(S_plus!Y$2:'S_plus'!Y63)</f>
        <v>93.180380758717746</v>
      </c>
      <c r="S63">
        <f>AVERAGE(S_plus!Z$2:'S_plus'!Z63)</f>
        <v>108.01022820560158</v>
      </c>
      <c r="T63">
        <f>AVERAGE(S_plus!AA$2:'S_plus'!AA63)</f>
        <v>105.07745046263226</v>
      </c>
      <c r="U63">
        <f>AVERAGE(S_plus!AB$2:'S_plus'!AB63)</f>
        <v>97.458355141741961</v>
      </c>
      <c r="V63">
        <f>AVERAGE(S_plus!AC$2:'S_plus'!AC63)</f>
        <v>89.106242740767769</v>
      </c>
      <c r="W63">
        <f>AVERAGE(S_plus!AD$2:'S_plus'!AD63)</f>
        <v>97.115907256861306</v>
      </c>
      <c r="X63">
        <f>AVERAGE(S_plus!AE$2:'S_plus'!AE63)</f>
        <v>121.26178553134677</v>
      </c>
      <c r="Y63">
        <f>AVERAGE(S_plus!AF$2:'S_plus'!AF63)</f>
        <v>103.31137411388875</v>
      </c>
      <c r="Z63">
        <f>AVERAGE(S_plus!AG$2:'S_plus'!AG63)</f>
        <v>105.08216492011611</v>
      </c>
      <c r="AA63">
        <f>AVERAGE(S_plus!AH$2:'S_plus'!AH63)</f>
        <v>104.18097919949514</v>
      </c>
      <c r="AB63">
        <f>AVERAGE(S_plus!AI$2:'S_plus'!AI63)</f>
        <v>89.857359855720972</v>
      </c>
      <c r="AC63">
        <f>AVERAGE(S_plus!AJ$2:'S_plus'!AJ63)</f>
        <v>93.087802237420973</v>
      </c>
      <c r="AD63">
        <f>AVERAGE(S_plus!AK$2:'S_plus'!AK63)</f>
        <v>114.75744343114519</v>
      </c>
      <c r="AE63">
        <f>AVERAGE(S_plus!AL$2:'S_plus'!AL63)</f>
        <v>105.94069678973062</v>
      </c>
      <c r="AF63">
        <f>AVERAGE(S_plus!AM$2:'S_plus'!AM63)</f>
        <v>95.408610595649989</v>
      </c>
      <c r="AG63">
        <f>AVERAGE(S_plus!AN$2:'S_plus'!AN63)</f>
        <v>115.14451859356616</v>
      </c>
      <c r="AH63">
        <f>AVERAGE(S_plus!AO$2:'S_plus'!AO63)</f>
        <v>98.628887413198385</v>
      </c>
      <c r="AI63">
        <f>AVERAGE(S_plus!AP$2:'S_plus'!AP63)</f>
        <v>90.649030613738688</v>
      </c>
      <c r="AJ63">
        <f>AVERAGE(S_plus!AQ$2:'S_plus'!AQ63)</f>
        <v>104.02944219942903</v>
      </c>
      <c r="AK63">
        <f>AVERAGE(S_plus!AR$2:'S_plus'!AR63)</f>
        <v>100.19691511381129</v>
      </c>
      <c r="AL63">
        <f>AVERAGE(S_plus!AS$2:'S_plus'!AS63)</f>
        <v>115.24503819221454</v>
      </c>
      <c r="AM63">
        <f>AVERAGE(S_plus!AT$2:'S_plus'!AT63)</f>
        <v>93.793789425662922</v>
      </c>
      <c r="AN63">
        <f>AVERAGE(S_plus!AU$2:'S_plus'!AU63)</f>
        <v>98.309376414958095</v>
      </c>
      <c r="AO63">
        <f>AVERAGE(S_plus!AV$2:'S_plus'!AV63)</f>
        <v>104.8413769766677</v>
      </c>
      <c r="AP63">
        <f>AVERAGE(S_plus!AW$2:'S_plus'!AW63)</f>
        <v>115.70154154837094</v>
      </c>
      <c r="AQ63">
        <f>AVERAGE(S_plus!AX$2:'S_plus'!AX63)</f>
        <v>99.279958694371004</v>
      </c>
      <c r="AR63">
        <f>AVERAGE(S_plus!AY$2:'S_plus'!AY63)</f>
        <v>98.480752740222584</v>
      </c>
      <c r="AS63">
        <f>AVERAGE(S_plus!AZ$2:'S_plus'!AZ63)</f>
        <v>116.05393520885484</v>
      </c>
      <c r="AT63">
        <f>AVERAGE(S_plus!BA$2:'S_plus'!BA63)</f>
        <v>112.72897974980646</v>
      </c>
      <c r="AU63">
        <f>AVERAGE(S_plus!BB$2:'S_plus'!BB63)</f>
        <v>105.8586979284468</v>
      </c>
      <c r="AV63">
        <f>AVERAGE(S_plus!BC$2:'S_plus'!BC63)</f>
        <v>111.77440044605159</v>
      </c>
      <c r="AW63">
        <f>AVERAGE(S_plus!BD$2:'S_plus'!BD63)</f>
        <v>101.85873933485968</v>
      </c>
      <c r="AX63">
        <f>AVERAGE(S_plus!BE$2:'S_plus'!BE63)</f>
        <v>94.542657206317742</v>
      </c>
      <c r="AY63">
        <f>AVERAGE(S_plus!BF$2:'S_plus'!BF63)</f>
        <v>90.728859240329001</v>
      </c>
      <c r="AZ63">
        <f>AVERAGE(S_plus!BG$2:'S_plus'!BG63)</f>
        <v>93.60078240008869</v>
      </c>
      <c r="BA63">
        <f>AVERAGE(S_plus!BH$2:'S_plus'!BH63)</f>
        <v>100.57667862654034</v>
      </c>
      <c r="BB63">
        <f>AVERAGE(S_plus!BI$2:'S_plus'!BI63)</f>
        <v>106.44108216785486</v>
      </c>
      <c r="BC63">
        <f>AVERAGE(S_plus!BJ$2:'S_plus'!BJ63)</f>
        <v>105.43642999522255</v>
      </c>
      <c r="BD63">
        <f>AVERAGE(S_plus!BK$2:'S_plus'!BK63)</f>
        <v>96.794860961299989</v>
      </c>
      <c r="BE63">
        <f>AVERAGE(S_plus!BL$2:'S_plus'!BL63)</f>
        <v>91.328754999480637</v>
      </c>
      <c r="BF63">
        <f>AVERAGE(S_plus!BM$2:'S_plus'!BM63)</f>
        <v>96.679457290429028</v>
      </c>
      <c r="BG63">
        <f>AVERAGE(S_plus!BN$2:'S_plus'!BN63)</f>
        <v>101.7075703710113</v>
      </c>
      <c r="BH63">
        <f>AVERAGE(S_plus!BO$2:'S_plus'!BO63)</f>
        <v>86.624037050056486</v>
      </c>
      <c r="BI63">
        <f>AVERAGE(S_plus!BP$2:'S_plus'!BP63)</f>
        <v>89.876419618785519</v>
      </c>
      <c r="BJ63">
        <f>AVERAGE(S_plus!BQ$2:'S_plus'!BQ63)</f>
        <v>89.936825582317709</v>
      </c>
      <c r="BK63">
        <f>AVERAGE(S_plus!BR$2:'S_plus'!BR63)</f>
        <v>106.60748901436128</v>
      </c>
      <c r="BL63">
        <f>AVERAGE(S_plus!BS$2:'S_plus'!BS63)</f>
        <v>105.24916942116614</v>
      </c>
      <c r="BM63">
        <f>AVERAGE(S_plus!BT$2:'S_plus'!BT63)</f>
        <v>109.09517122417098</v>
      </c>
      <c r="BN63">
        <f>AVERAGE(S_plus!BU$2:'S_plus'!BU63)</f>
        <v>102.85497703287581</v>
      </c>
      <c r="BO63">
        <f>AVERAGE(S_plus!BV$2:'S_plus'!BV63)</f>
        <v>92.208833708095142</v>
      </c>
      <c r="BP63">
        <f>AVERAGE(S_plus!BW$2:'S_plus'!BW63)</f>
        <v>93.754160956216097</v>
      </c>
      <c r="BQ63">
        <f>AVERAGE(S_plus!BX$2:'S_plus'!BX63)</f>
        <v>84.174652777912883</v>
      </c>
      <c r="BR63">
        <f>AVERAGE(S_plus!BY$2:'S_plus'!BY63)</f>
        <v>102.11540752438874</v>
      </c>
      <c r="BS63">
        <f>AVERAGE(S_plus!BZ$2:'S_plus'!BZ63)</f>
        <v>100.7092004958419</v>
      </c>
      <c r="BT63">
        <f>AVERAGE(S_plus!CA$2:'S_plus'!CA63)</f>
        <v>99.358888118161303</v>
      </c>
      <c r="BU63">
        <f>AVERAGE(S_plus!CB$2:'S_plus'!CB63)</f>
        <v>101.02208957202902</v>
      </c>
      <c r="BV63">
        <f>AVERAGE(S_plus!CC$2:'S_plus'!CC63)</f>
        <v>92.028698689611289</v>
      </c>
      <c r="BW63">
        <f>AVERAGE(S_plus!CD$2:'S_plus'!CD63)</f>
        <v>98.331520034716149</v>
      </c>
      <c r="BX63">
        <f>AVERAGE(S_plus!CE$2:'S_plus'!CE63)</f>
        <v>99.344182639846764</v>
      </c>
      <c r="BY63">
        <f>AVERAGE(S_plus!CF$2:'S_plus'!CF63)</f>
        <v>90.839327274872574</v>
      </c>
      <c r="BZ63">
        <f>AVERAGE(S_plus!CG$2:'S_plus'!CG63)</f>
        <v>94.354099334108056</v>
      </c>
      <c r="CA63">
        <f>AVERAGE(S_plus!CH$2:'S_plus'!CH63)</f>
        <v>114.1976766335806</v>
      </c>
      <c r="CB63">
        <f>AVERAGE(S_plus!CI$2:'S_plus'!CI63)</f>
        <v>99.283748147480679</v>
      </c>
      <c r="CC63">
        <f>AVERAGE(S_plus!CJ$2:'S_plus'!CJ63)</f>
        <v>101.44598325107256</v>
      </c>
      <c r="CD63">
        <f>AVERAGE(S_plus!CK$2:'S_plus'!CK63)</f>
        <v>93.031162995501589</v>
      </c>
      <c r="CE63">
        <f>AVERAGE(S_plus!CL$2:'S_plus'!CL63)</f>
        <v>87.965879792204873</v>
      </c>
      <c r="CF63">
        <f>AVERAGE(S_plus!CM$2:'S_plus'!CM63)</f>
        <v>97.341171501272598</v>
      </c>
      <c r="CG63">
        <f>AVERAGE(S_plus!CN$2:'S_plus'!CN63)</f>
        <v>96.891422914498378</v>
      </c>
      <c r="CH63">
        <f>AVERAGE(S_plus!CO$2:'S_plus'!CO63)</f>
        <v>121.3551733462742</v>
      </c>
      <c r="CI63">
        <f>AVERAGE(S_plus!CP$2:'S_plus'!CP63)</f>
        <v>94.535810579496768</v>
      </c>
      <c r="CJ63">
        <f>AVERAGE(S_plus!CQ$2:'S_plus'!CQ63)</f>
        <v>103.12585157212096</v>
      </c>
      <c r="CK63">
        <f>AVERAGE(S_plus!CR$2:'S_plus'!CR63)</f>
        <v>102.217866583708</v>
      </c>
      <c r="CL63">
        <f>AVERAGE(S_plus!CS$2:'S_plus'!CS63)</f>
        <v>104.59957271911451</v>
      </c>
      <c r="CM63">
        <f>AVERAGE(S_plus!CT$2:'S_plus'!CT63)</f>
        <v>110.5097124217839</v>
      </c>
      <c r="CN63">
        <f>AVERAGE(S_plus!CU$2:'S_plus'!CU63)</f>
        <v>102.06727749015644</v>
      </c>
      <c r="CO63">
        <f>AVERAGE(S_plus!CV$2:'S_plus'!CV63)</f>
        <v>94.76297510789999</v>
      </c>
      <c r="CP63">
        <f>AVERAGE(S_plus!CW$2:'S_plus'!CW63)</f>
        <v>108.52903365319514</v>
      </c>
      <c r="CQ63">
        <f>AVERAGE(S_plus!CX$2:'S_plus'!CX63)</f>
        <v>114.89229488754195</v>
      </c>
      <c r="CR63">
        <f>AVERAGE(S_plus!CY$2:'S_plus'!CY63)</f>
        <v>103.55876832033387</v>
      </c>
      <c r="CS63">
        <f>AVERAGE(S_plus!CZ$2:'S_plus'!CZ63)</f>
        <v>106.48863541101936</v>
      </c>
      <c r="CT63">
        <f>AVERAGE(S_plus!DA$2:'S_plus'!DA63)</f>
        <v>112.71093402425808</v>
      </c>
      <c r="CU63">
        <f>AVERAGE(S_plus!DB$2:'S_plus'!DB63)</f>
        <v>88.466508386816145</v>
      </c>
      <c r="CV63">
        <f>AVERAGE(S_plus!DC$2:'S_plus'!DC63)</f>
        <v>101.25396051110809</v>
      </c>
      <c r="CW63">
        <f>AVERAGE(S_plus!DD$2:'S_plus'!DD63)</f>
        <v>92.179567433335492</v>
      </c>
      <c r="CX63">
        <f>AVERAGE(S_plus!DE$2:'S_plus'!DE63)</f>
        <v>103.3938136436677</v>
      </c>
      <c r="CY63">
        <f>AVERAGE(S_plus!DF$2:'S_plus'!DF63)</f>
        <v>90.406169812546793</v>
      </c>
      <c r="CZ63">
        <f>AVERAGE(S_plus!DG$2:'S_plus'!DG63)</f>
        <v>91.186342250795121</v>
      </c>
      <c r="DA63">
        <f>AVERAGE(S_plus!DH$2:'S_plus'!DH63)</f>
        <v>100.82995674836133</v>
      </c>
    </row>
    <row r="64" spans="5:105" x14ac:dyDescent="0.25">
      <c r="E64">
        <f>E63+Asian!dt</f>
        <v>0.62000000000000033</v>
      </c>
      <c r="F64">
        <f>AVERAGE(S_plus!M$2:'S_plus'!M64)</f>
        <v>91.638561220607954</v>
      </c>
      <c r="G64">
        <f>AVERAGE(S_plus!N$2:'S_plus'!N64)</f>
        <v>93.376247267901576</v>
      </c>
      <c r="H64">
        <f>AVERAGE(S_plus!O$2:'S_plus'!O64)</f>
        <v>105.87120165182384</v>
      </c>
      <c r="I64">
        <f>AVERAGE(S_plus!P$2:'S_plus'!P64)</f>
        <v>98.335859650592042</v>
      </c>
      <c r="J64">
        <f>AVERAGE(S_plus!Q$2:'S_plus'!Q64)</f>
        <v>87.211821920373012</v>
      </c>
      <c r="K64">
        <f>AVERAGE(S_plus!R$2:'S_plus'!R64)</f>
        <v>95.262132722174613</v>
      </c>
      <c r="L64">
        <f>AVERAGE(S_plus!S$2:'S_plus'!S64)</f>
        <v>114.43259076604757</v>
      </c>
      <c r="M64">
        <f>AVERAGE(S_plus!T$2:'S_plus'!T64)</f>
        <v>83.07181092340636</v>
      </c>
      <c r="N64">
        <f>AVERAGE(S_plus!U$2:'S_plus'!U64)</f>
        <v>111.81789367092064</v>
      </c>
      <c r="O64">
        <f>AVERAGE(S_plus!V$2:'S_plus'!V64)</f>
        <v>103.19708848988888</v>
      </c>
      <c r="P64">
        <f>AVERAGE(S_plus!W$2:'S_plus'!W64)</f>
        <v>103.07166885419524</v>
      </c>
      <c r="Q64">
        <f>AVERAGE(S_plus!X$2:'S_plus'!X64)</f>
        <v>110.31885694711113</v>
      </c>
      <c r="R64">
        <f>AVERAGE(S_plus!Y$2:'S_plus'!Y64)</f>
        <v>93.104893502274606</v>
      </c>
      <c r="S64">
        <f>AVERAGE(S_plus!Z$2:'S_plus'!Z64)</f>
        <v>108.07967672160791</v>
      </c>
      <c r="T64">
        <f>AVERAGE(S_plus!AA$2:'S_plus'!AA64)</f>
        <v>105.087101909273</v>
      </c>
      <c r="U64">
        <f>AVERAGE(S_plus!AB$2:'S_plus'!AB64)</f>
        <v>97.632701451301614</v>
      </c>
      <c r="V64">
        <f>AVERAGE(S_plus!AC$2:'S_plus'!AC64)</f>
        <v>89.023116157360334</v>
      </c>
      <c r="W64">
        <f>AVERAGE(S_plus!AD$2:'S_plus'!AD64)</f>
        <v>97.152284919306368</v>
      </c>
      <c r="X64">
        <f>AVERAGE(S_plus!AE$2:'S_plus'!AE64)</f>
        <v>121.56009365932539</v>
      </c>
      <c r="Y64">
        <f>AVERAGE(S_plus!AF$2:'S_plus'!AF64)</f>
        <v>103.91483568081115</v>
      </c>
      <c r="Z64">
        <f>AVERAGE(S_plus!AG$2:'S_plus'!AG64)</f>
        <v>105.24927051246347</v>
      </c>
      <c r="AA64">
        <f>AVERAGE(S_plus!AH$2:'S_plus'!AH64)</f>
        <v>104.54345868445554</v>
      </c>
      <c r="AB64">
        <f>AVERAGE(S_plus!AI$2:'S_plus'!AI64)</f>
        <v>89.778411266138107</v>
      </c>
      <c r="AC64">
        <f>AVERAGE(S_plus!AJ$2:'S_plus'!AJ64)</f>
        <v>92.89294562005874</v>
      </c>
      <c r="AD64">
        <f>AVERAGE(S_plus!AK$2:'S_plus'!AK64)</f>
        <v>114.70326800430162</v>
      </c>
      <c r="AE64">
        <f>AVERAGE(S_plus!AL$2:'S_plus'!AL64)</f>
        <v>105.94237781940156</v>
      </c>
      <c r="AF64">
        <f>AVERAGE(S_plus!AM$2:'S_plus'!AM64)</f>
        <v>95.335759611714266</v>
      </c>
      <c r="AG64">
        <f>AVERAGE(S_plus!AN$2:'S_plus'!AN64)</f>
        <v>114.8451529651032</v>
      </c>
      <c r="AH64">
        <f>AVERAGE(S_plus!AO$2:'S_plus'!AO64)</f>
        <v>98.54719845495238</v>
      </c>
      <c r="AI64">
        <f>AVERAGE(S_plus!AP$2:'S_plus'!AP64)</f>
        <v>90.526179871019025</v>
      </c>
      <c r="AJ64">
        <f>AVERAGE(S_plus!AQ$2:'S_plus'!AQ64)</f>
        <v>104.22344089454921</v>
      </c>
      <c r="AK64">
        <f>AVERAGE(S_plus!AR$2:'S_plus'!AR64)</f>
        <v>100.15987176996984</v>
      </c>
      <c r="AL64">
        <f>AVERAGE(S_plus!AS$2:'S_plus'!AS64)</f>
        <v>115.40330869087779</v>
      </c>
      <c r="AM64">
        <f>AVERAGE(S_plus!AT$2:'S_plus'!AT64)</f>
        <v>93.682385274022252</v>
      </c>
      <c r="AN64">
        <f>AVERAGE(S_plus!AU$2:'S_plus'!AU64)</f>
        <v>98.499292015419073</v>
      </c>
      <c r="AO64">
        <f>AVERAGE(S_plus!AV$2:'S_plus'!AV64)</f>
        <v>105.11168037051425</v>
      </c>
      <c r="AP64">
        <f>AVERAGE(S_plus!AW$2:'S_plus'!AW64)</f>
        <v>115.74728921453965</v>
      </c>
      <c r="AQ64">
        <f>AVERAGE(S_plus!AX$2:'S_plus'!AX64)</f>
        <v>99.382574542142891</v>
      </c>
      <c r="AR64">
        <f>AVERAGE(S_plus!AY$2:'S_plus'!AY64)</f>
        <v>98.504240029138089</v>
      </c>
      <c r="AS64">
        <f>AVERAGE(S_plus!AZ$2:'S_plus'!AZ64)</f>
        <v>116.28711121142858</v>
      </c>
      <c r="AT64">
        <f>AVERAGE(S_plus!BA$2:'S_plus'!BA64)</f>
        <v>112.77735311606349</v>
      </c>
      <c r="AU64">
        <f>AVERAGE(S_plus!BB$2:'S_plus'!BB64)</f>
        <v>105.90550933116987</v>
      </c>
      <c r="AV64">
        <f>AVERAGE(S_plus!BC$2:'S_plus'!BC64)</f>
        <v>111.88429413728886</v>
      </c>
      <c r="AW64">
        <f>AVERAGE(S_plus!BD$2:'S_plus'!BD64)</f>
        <v>102.02239449065556</v>
      </c>
      <c r="AX64">
        <f>AVERAGE(S_plus!BE$2:'S_plus'!BE64)</f>
        <v>94.682014463455559</v>
      </c>
      <c r="AY64">
        <f>AVERAGE(S_plus!BF$2:'S_plus'!BF64)</f>
        <v>90.632129531811088</v>
      </c>
      <c r="AZ64">
        <f>AVERAGE(S_plus!BG$2:'S_plus'!BG64)</f>
        <v>93.627448367112677</v>
      </c>
      <c r="BA64">
        <f>AVERAGE(S_plus!BH$2:'S_plus'!BH64)</f>
        <v>100.61746326816669</v>
      </c>
      <c r="BB64">
        <f>AVERAGE(S_plus!BI$2:'S_plus'!BI64)</f>
        <v>106.44948714825399</v>
      </c>
      <c r="BC64">
        <f>AVERAGE(S_plus!BJ$2:'S_plus'!BJ64)</f>
        <v>105.43047846421902</v>
      </c>
      <c r="BD64">
        <f>AVERAGE(S_plus!BK$2:'S_plus'!BK64)</f>
        <v>96.897256241930151</v>
      </c>
      <c r="BE64">
        <f>AVERAGE(S_plus!BL$2:'S_plus'!BL64)</f>
        <v>91.203094722999978</v>
      </c>
      <c r="BF64">
        <f>AVERAGE(S_plus!BM$2:'S_plus'!BM64)</f>
        <v>96.956020610549189</v>
      </c>
      <c r="BG64">
        <f>AVERAGE(S_plus!BN$2:'S_plus'!BN64)</f>
        <v>101.79635454801114</v>
      </c>
      <c r="BH64">
        <f>AVERAGE(S_plus!BO$2:'S_plus'!BO64)</f>
        <v>86.710830372401631</v>
      </c>
      <c r="BI64">
        <f>AVERAGE(S_plus!BP$2:'S_plus'!BP64)</f>
        <v>89.721356600150841</v>
      </c>
      <c r="BJ64">
        <f>AVERAGE(S_plus!BQ$2:'S_plus'!BQ64)</f>
        <v>90.093783194720601</v>
      </c>
      <c r="BK64">
        <f>AVERAGE(S_plus!BR$2:'S_plus'!BR64)</f>
        <v>106.7103783656095</v>
      </c>
      <c r="BL64">
        <f>AVERAGE(S_plus!BS$2:'S_plus'!BS64)</f>
        <v>105.53134260144921</v>
      </c>
      <c r="BM64">
        <f>AVERAGE(S_plus!BT$2:'S_plus'!BT64)</f>
        <v>109.08491636373969</v>
      </c>
      <c r="BN64">
        <f>AVERAGE(S_plus!BU$2:'S_plus'!BU64)</f>
        <v>102.7902915344746</v>
      </c>
      <c r="BO64">
        <f>AVERAGE(S_plus!BV$2:'S_plus'!BV64)</f>
        <v>92.066403422261885</v>
      </c>
      <c r="BP64">
        <f>AVERAGE(S_plus!BW$2:'S_plus'!BW64)</f>
        <v>93.903580146752347</v>
      </c>
      <c r="BQ64">
        <f>AVERAGE(S_plus!BX$2:'S_plus'!BX64)</f>
        <v>84.000915167676169</v>
      </c>
      <c r="BR64">
        <f>AVERAGE(S_plus!BY$2:'S_plus'!BY64)</f>
        <v>101.9679209842175</v>
      </c>
      <c r="BS64">
        <f>AVERAGE(S_plus!BZ$2:'S_plus'!BZ64)</f>
        <v>100.97596831030474</v>
      </c>
      <c r="BT64">
        <f>AVERAGE(S_plus!CA$2:'S_plus'!CA64)</f>
        <v>99.181608428182557</v>
      </c>
      <c r="BU64">
        <f>AVERAGE(S_plus!CB$2:'S_plus'!CB64)</f>
        <v>100.95032326708888</v>
      </c>
      <c r="BV64">
        <f>AVERAGE(S_plus!CC$2:'S_plus'!CC64)</f>
        <v>91.785726545077779</v>
      </c>
      <c r="BW64">
        <f>AVERAGE(S_plus!CD$2:'S_plus'!CD64)</f>
        <v>98.328625546525416</v>
      </c>
      <c r="BX64">
        <f>AVERAGE(S_plus!CE$2:'S_plus'!CE64)</f>
        <v>99.084424998592056</v>
      </c>
      <c r="BY64">
        <f>AVERAGE(S_plus!CF$2:'S_plus'!CF64)</f>
        <v>90.751022670482527</v>
      </c>
      <c r="BZ64">
        <f>AVERAGE(S_plus!CG$2:'S_plus'!CG64)</f>
        <v>94.336609959919045</v>
      </c>
      <c r="CA64">
        <f>AVERAGE(S_plus!CH$2:'S_plus'!CH64)</f>
        <v>114.41011710493646</v>
      </c>
      <c r="CB64">
        <f>AVERAGE(S_plus!CI$2:'S_plus'!CI64)</f>
        <v>99.245052246093692</v>
      </c>
      <c r="CC64">
        <f>AVERAGE(S_plus!CJ$2:'S_plus'!CJ64)</f>
        <v>101.51211608235714</v>
      </c>
      <c r="CD64">
        <f>AVERAGE(S_plus!CK$2:'S_plus'!CK64)</f>
        <v>93.064188630795201</v>
      </c>
      <c r="CE64">
        <f>AVERAGE(S_plus!CL$2:'S_plus'!CL64)</f>
        <v>87.864114077574641</v>
      </c>
      <c r="CF64">
        <f>AVERAGE(S_plus!CM$2:'S_plus'!CM64)</f>
        <v>97.262790225539703</v>
      </c>
      <c r="CG64">
        <f>AVERAGE(S_plus!CN$2:'S_plus'!CN64)</f>
        <v>97.10635372542697</v>
      </c>
      <c r="CH64">
        <f>AVERAGE(S_plus!CO$2:'S_plus'!CO64)</f>
        <v>121.75067223290476</v>
      </c>
      <c r="CI64">
        <f>AVERAGE(S_plus!CP$2:'S_plus'!CP64)</f>
        <v>94.450755519561909</v>
      </c>
      <c r="CJ64">
        <f>AVERAGE(S_plus!CQ$2:'S_plus'!CQ64)</f>
        <v>102.95755038556983</v>
      </c>
      <c r="CK64">
        <f>AVERAGE(S_plus!CR$2:'S_plus'!CR64)</f>
        <v>102.34993553863326</v>
      </c>
      <c r="CL64">
        <f>AVERAGE(S_plus!CS$2:'S_plus'!CS64)</f>
        <v>104.46929609715397</v>
      </c>
      <c r="CM64">
        <f>AVERAGE(S_plus!CT$2:'S_plus'!CT64)</f>
        <v>110.89193358651748</v>
      </c>
      <c r="CN64">
        <f>AVERAGE(S_plus!CU$2:'S_plus'!CU64)</f>
        <v>102.13316216886825</v>
      </c>
      <c r="CO64">
        <f>AVERAGE(S_plus!CV$2:'S_plus'!CV64)</f>
        <v>94.600943174849192</v>
      </c>
      <c r="CP64">
        <f>AVERAGE(S_plus!CW$2:'S_plus'!CW64)</f>
        <v>108.47312553120791</v>
      </c>
      <c r="CQ64">
        <f>AVERAGE(S_plus!CX$2:'S_plus'!CX64)</f>
        <v>115.06287399446985</v>
      </c>
      <c r="CR64">
        <f>AVERAGE(S_plus!CY$2:'S_plus'!CY64)</f>
        <v>103.72539954904285</v>
      </c>
      <c r="CS64">
        <f>AVERAGE(S_plus!CZ$2:'S_plus'!CZ64)</f>
        <v>106.60445705763809</v>
      </c>
      <c r="CT64">
        <f>AVERAGE(S_plus!DA$2:'S_plus'!DA64)</f>
        <v>112.86838200493652</v>
      </c>
      <c r="CU64">
        <f>AVERAGE(S_plus!DB$2:'S_plus'!DB64)</f>
        <v>88.299209274092078</v>
      </c>
      <c r="CV64">
        <f>AVERAGE(S_plus!DC$2:'S_plus'!DC64)</f>
        <v>101.26955855707462</v>
      </c>
      <c r="CW64">
        <f>AVERAGE(S_plus!DD$2:'S_plus'!DD64)</f>
        <v>92.205824730339685</v>
      </c>
      <c r="CX64">
        <f>AVERAGE(S_plus!DE$2:'S_plus'!DE64)</f>
        <v>103.27959950702376</v>
      </c>
      <c r="CY64">
        <f>AVERAGE(S_plus!DF$2:'S_plus'!DF64)</f>
        <v>90.244362317630177</v>
      </c>
      <c r="CZ64">
        <f>AVERAGE(S_plus!DG$2:'S_plus'!DG64)</f>
        <v>91.110706443231706</v>
      </c>
      <c r="DA64">
        <f>AVERAGE(S_plus!DH$2:'S_plus'!DH64)</f>
        <v>100.83791317056195</v>
      </c>
    </row>
    <row r="65" spans="5:105" x14ac:dyDescent="0.25">
      <c r="E65">
        <f>E64+Asian!dt</f>
        <v>0.63000000000000034</v>
      </c>
      <c r="F65">
        <f>AVERAGE(S_plus!M$2:'S_plus'!M65)</f>
        <v>91.597648539229709</v>
      </c>
      <c r="G65">
        <f>AVERAGE(S_plus!N$2:'S_plus'!N65)</f>
        <v>93.394963783567178</v>
      </c>
      <c r="H65">
        <f>AVERAGE(S_plus!O$2:'S_plus'!O65)</f>
        <v>105.79679577201409</v>
      </c>
      <c r="I65">
        <f>AVERAGE(S_plus!P$2:'S_plus'!P65)</f>
        <v>98.292179370532793</v>
      </c>
      <c r="J65">
        <f>AVERAGE(S_plus!Q$2:'S_plus'!Q65)</f>
        <v>86.966227096387499</v>
      </c>
      <c r="K65">
        <f>AVERAGE(S_plus!R$2:'S_plus'!R65)</f>
        <v>95.166894961464067</v>
      </c>
      <c r="L65">
        <f>AVERAGE(S_plus!S$2:'S_plus'!S65)</f>
        <v>114.26217493104683</v>
      </c>
      <c r="M65">
        <f>AVERAGE(S_plus!T$2:'S_plus'!T65)</f>
        <v>83.000908963473449</v>
      </c>
      <c r="N65">
        <f>AVERAGE(S_plus!U$2:'S_plus'!U65)</f>
        <v>111.70568960940625</v>
      </c>
      <c r="O65">
        <f>AVERAGE(S_plus!V$2:'S_plus'!V65)</f>
        <v>103.43488548276561</v>
      </c>
      <c r="P65">
        <f>AVERAGE(S_plus!W$2:'S_plus'!W65)</f>
        <v>103.12646154056719</v>
      </c>
      <c r="Q65">
        <f>AVERAGE(S_plus!X$2:'S_plus'!X65)</f>
        <v>110.27404190587501</v>
      </c>
      <c r="R65">
        <f>AVERAGE(S_plus!Y$2:'S_plus'!Y65)</f>
        <v>93.013541442675006</v>
      </c>
      <c r="S65">
        <f>AVERAGE(S_plus!Z$2:'S_plus'!Z65)</f>
        <v>108.13108931183278</v>
      </c>
      <c r="T65">
        <f>AVERAGE(S_plus!AA$2:'S_plus'!AA65)</f>
        <v>105.10414204509686</v>
      </c>
      <c r="U65">
        <f>AVERAGE(S_plus!AB$2:'S_plus'!AB65)</f>
        <v>97.866685300250026</v>
      </c>
      <c r="V65">
        <f>AVERAGE(S_plus!AC$2:'S_plus'!AC65)</f>
        <v>88.955028145660961</v>
      </c>
      <c r="W65">
        <f>AVERAGE(S_plus!AD$2:'S_plus'!AD65)</f>
        <v>97.211542921567215</v>
      </c>
      <c r="X65">
        <f>AVERAGE(S_plus!AE$2:'S_plus'!AE65)</f>
        <v>121.87164524010156</v>
      </c>
      <c r="Y65">
        <f>AVERAGE(S_plus!AF$2:'S_plus'!AF65)</f>
        <v>104.46492656659535</v>
      </c>
      <c r="Z65">
        <f>AVERAGE(S_plus!AG$2:'S_plus'!AG65)</f>
        <v>105.40881593536248</v>
      </c>
      <c r="AA65">
        <f>AVERAGE(S_plus!AH$2:'S_plus'!AH65)</f>
        <v>104.91915898551092</v>
      </c>
      <c r="AB65">
        <f>AVERAGE(S_plus!AI$2:'S_plus'!AI65)</f>
        <v>89.659174682325002</v>
      </c>
      <c r="AC65">
        <f>AVERAGE(S_plus!AJ$2:'S_plus'!AJ65)</f>
        <v>92.725260790643759</v>
      </c>
      <c r="AD65">
        <f>AVERAGE(S_plus!AK$2:'S_plus'!AK65)</f>
        <v>114.65285505121879</v>
      </c>
      <c r="AE65">
        <f>AVERAGE(S_plus!AL$2:'S_plus'!AL65)</f>
        <v>105.94017869592653</v>
      </c>
      <c r="AF65">
        <f>AVERAGE(S_plus!AM$2:'S_plus'!AM65)</f>
        <v>95.195428128829676</v>
      </c>
      <c r="AG65">
        <f>AVERAGE(S_plus!AN$2:'S_plus'!AN65)</f>
        <v>114.58495880148753</v>
      </c>
      <c r="AH65">
        <f>AVERAGE(S_plus!AO$2:'S_plus'!AO65)</f>
        <v>98.495132401556248</v>
      </c>
      <c r="AI65">
        <f>AVERAGE(S_plus!AP$2:'S_plus'!AP65)</f>
        <v>90.433258568460914</v>
      </c>
      <c r="AJ65">
        <f>AVERAGE(S_plus!AQ$2:'S_plus'!AQ65)</f>
        <v>104.41574014668124</v>
      </c>
      <c r="AK65">
        <f>AVERAGE(S_plus!AR$2:'S_plus'!AR65)</f>
        <v>100.14270337202656</v>
      </c>
      <c r="AL65">
        <f>AVERAGE(S_plus!AS$2:'S_plus'!AS65)</f>
        <v>115.6343924926297</v>
      </c>
      <c r="AM65">
        <f>AVERAGE(S_plus!AT$2:'S_plus'!AT65)</f>
        <v>93.606399280846901</v>
      </c>
      <c r="AN65">
        <f>AVERAGE(S_plus!AU$2:'S_plus'!AU65)</f>
        <v>98.706399079381271</v>
      </c>
      <c r="AO65">
        <f>AVERAGE(S_plus!AV$2:'S_plus'!AV65)</f>
        <v>105.36815044077184</v>
      </c>
      <c r="AP65">
        <f>AVERAGE(S_plus!AW$2:'S_plus'!AW65)</f>
        <v>115.78638239143747</v>
      </c>
      <c r="AQ65">
        <f>AVERAGE(S_plus!AX$2:'S_plus'!AX65)</f>
        <v>99.457491590531291</v>
      </c>
      <c r="AR65">
        <f>AVERAGE(S_plus!AY$2:'S_plus'!AY65)</f>
        <v>98.532102341417186</v>
      </c>
      <c r="AS65">
        <f>AVERAGE(S_plus!AZ$2:'S_plus'!AZ65)</f>
        <v>116.49439662823438</v>
      </c>
      <c r="AT65">
        <f>AVERAGE(S_plus!BA$2:'S_plus'!BA65)</f>
        <v>112.83639534281249</v>
      </c>
      <c r="AU65">
        <f>AVERAGE(S_plus!BB$2:'S_plus'!BB65)</f>
        <v>105.98292462137033</v>
      </c>
      <c r="AV65">
        <f>AVERAGE(S_plus!BC$2:'S_plus'!BC65)</f>
        <v>111.94378951048748</v>
      </c>
      <c r="AW65">
        <f>AVERAGE(S_plus!BD$2:'S_plus'!BD65)</f>
        <v>102.19998177794218</v>
      </c>
      <c r="AX65">
        <f>AVERAGE(S_plus!BE$2:'S_plus'!BE65)</f>
        <v>94.839053961448442</v>
      </c>
      <c r="AY65">
        <f>AVERAGE(S_plus!BF$2:'S_plus'!BF65)</f>
        <v>90.534529822754664</v>
      </c>
      <c r="AZ65">
        <f>AVERAGE(S_plus!BG$2:'S_plus'!BG65)</f>
        <v>93.634853599624989</v>
      </c>
      <c r="BA65">
        <f>AVERAGE(S_plus!BH$2:'S_plus'!BH65)</f>
        <v>100.6657845818047</v>
      </c>
      <c r="BB65">
        <f>AVERAGE(S_plus!BI$2:'S_plus'!BI65)</f>
        <v>106.48478630476565</v>
      </c>
      <c r="BC65">
        <f>AVERAGE(S_plus!BJ$2:'S_plus'!BJ65)</f>
        <v>105.46279490484059</v>
      </c>
      <c r="BD65">
        <f>AVERAGE(S_plus!BK$2:'S_plus'!BK65)</f>
        <v>97.017447583118738</v>
      </c>
      <c r="BE65">
        <f>AVERAGE(S_plus!BL$2:'S_plus'!BL65)</f>
        <v>91.051078471004672</v>
      </c>
      <c r="BF65">
        <f>AVERAGE(S_plus!BM$2:'S_plus'!BM65)</f>
        <v>97.178306022946856</v>
      </c>
      <c r="BG65">
        <f>AVERAGE(S_plus!BN$2:'S_plus'!BN65)</f>
        <v>101.90659242904221</v>
      </c>
      <c r="BH65">
        <f>AVERAGE(S_plus!BO$2:'S_plus'!BO65)</f>
        <v>86.806927884350046</v>
      </c>
      <c r="BI65">
        <f>AVERAGE(S_plus!BP$2:'S_plus'!BP65)</f>
        <v>89.583834181171923</v>
      </c>
      <c r="BJ65">
        <f>AVERAGE(S_plus!BQ$2:'S_plus'!BQ65)</f>
        <v>90.214678638089026</v>
      </c>
      <c r="BK65">
        <f>AVERAGE(S_plus!BR$2:'S_plus'!BR65)</f>
        <v>106.81209386803748</v>
      </c>
      <c r="BL65">
        <f>AVERAGE(S_plus!BS$2:'S_plus'!BS65)</f>
        <v>105.77669147767656</v>
      </c>
      <c r="BM65">
        <f>AVERAGE(S_plus!BT$2:'S_plus'!BT65)</f>
        <v>109.06209883675939</v>
      </c>
      <c r="BN65">
        <f>AVERAGE(S_plus!BU$2:'S_plus'!BU65)</f>
        <v>102.71228376191094</v>
      </c>
      <c r="BO65">
        <f>AVERAGE(S_plus!BV$2:'S_plus'!BV65)</f>
        <v>91.932952107132792</v>
      </c>
      <c r="BP65">
        <f>AVERAGE(S_plus!BW$2:'S_plus'!BW65)</f>
        <v>94.048264629084343</v>
      </c>
      <c r="BQ65">
        <f>AVERAGE(S_plus!BX$2:'S_plus'!BX65)</f>
        <v>83.787434326906236</v>
      </c>
      <c r="BR65">
        <f>AVERAGE(S_plus!BY$2:'S_plus'!BY65)</f>
        <v>101.81252291663753</v>
      </c>
      <c r="BS65">
        <f>AVERAGE(S_plus!BZ$2:'S_plus'!BZ65)</f>
        <v>101.18522917115935</v>
      </c>
      <c r="BT65">
        <f>AVERAGE(S_plus!CA$2:'S_plus'!CA65)</f>
        <v>98.996726341578139</v>
      </c>
      <c r="BU65">
        <f>AVERAGE(S_plus!CB$2:'S_plus'!CB65)</f>
        <v>100.93015235604219</v>
      </c>
      <c r="BV65">
        <f>AVERAGE(S_plus!CC$2:'S_plus'!CC65)</f>
        <v>91.53720914782032</v>
      </c>
      <c r="BW65">
        <f>AVERAGE(S_plus!CD$2:'S_plus'!CD65)</f>
        <v>98.288690291531267</v>
      </c>
      <c r="BX65">
        <f>AVERAGE(S_plus!CE$2:'S_plus'!CE65)</f>
        <v>98.813023279423433</v>
      </c>
      <c r="BY65">
        <f>AVERAGE(S_plus!CF$2:'S_plus'!CF65)</f>
        <v>90.651763321417178</v>
      </c>
      <c r="BZ65">
        <f>AVERAGE(S_plus!CG$2:'S_plus'!CG65)</f>
        <v>94.300319971649998</v>
      </c>
      <c r="CA65">
        <f>AVERAGE(S_plus!CH$2:'S_plus'!CH65)</f>
        <v>114.63132757242184</v>
      </c>
      <c r="CB65">
        <f>AVERAGE(S_plus!CI$2:'S_plus'!CI65)</f>
        <v>99.148221077543781</v>
      </c>
      <c r="CC65">
        <f>AVERAGE(S_plus!CJ$2:'S_plus'!CJ65)</f>
        <v>101.56298098461718</v>
      </c>
      <c r="CD65">
        <f>AVERAGE(S_plus!CK$2:'S_plus'!CK65)</f>
        <v>93.074878786324973</v>
      </c>
      <c r="CE65">
        <f>AVERAGE(S_plus!CL$2:'S_plus'!CL65)</f>
        <v>87.777080540387544</v>
      </c>
      <c r="CF65">
        <f>AVERAGE(S_plus!CM$2:'S_plus'!CM65)</f>
        <v>97.166266661450024</v>
      </c>
      <c r="CG65">
        <f>AVERAGE(S_plus!CN$2:'S_plus'!CN65)</f>
        <v>97.294858325935934</v>
      </c>
      <c r="CH65">
        <f>AVERAGE(S_plus!CO$2:'S_plus'!CO65)</f>
        <v>122.11062627982813</v>
      </c>
      <c r="CI65">
        <f>AVERAGE(S_plus!CP$2:'S_plus'!CP65)</f>
        <v>94.427326480299996</v>
      </c>
      <c r="CJ65">
        <f>AVERAGE(S_plus!CQ$2:'S_plus'!CQ65)</f>
        <v>102.73564273656406</v>
      </c>
      <c r="CK65">
        <f>AVERAGE(S_plus!CR$2:'S_plus'!CR65)</f>
        <v>102.47965901676399</v>
      </c>
      <c r="CL65">
        <f>AVERAGE(S_plus!CS$2:'S_plus'!CS65)</f>
        <v>104.36054366164375</v>
      </c>
      <c r="CM65">
        <f>AVERAGE(S_plus!CT$2:'S_plus'!CT65)</f>
        <v>111.25623298315001</v>
      </c>
      <c r="CN65">
        <f>AVERAGE(S_plus!CU$2:'S_plus'!CU65)</f>
        <v>102.2160438984328</v>
      </c>
      <c r="CO65">
        <f>AVERAGE(S_plus!CV$2:'S_plus'!CV65)</f>
        <v>94.408523720540614</v>
      </c>
      <c r="CP65">
        <f>AVERAGE(S_plus!CW$2:'S_plus'!CW65)</f>
        <v>108.38642488023591</v>
      </c>
      <c r="CQ65">
        <f>AVERAGE(S_plus!CX$2:'S_plus'!CX65)</f>
        <v>115.20734962477502</v>
      </c>
      <c r="CR65">
        <f>AVERAGE(S_plus!CY$2:'S_plus'!CY65)</f>
        <v>103.88499454457343</v>
      </c>
      <c r="CS65">
        <f>AVERAGE(S_plus!CZ$2:'S_plus'!CZ65)</f>
        <v>106.73501724333124</v>
      </c>
      <c r="CT65">
        <f>AVERAGE(S_plus!DA$2:'S_plus'!DA65)</f>
        <v>113.03547155610939</v>
      </c>
      <c r="CU65">
        <f>AVERAGE(S_plus!DB$2:'S_plus'!DB65)</f>
        <v>88.125225540906257</v>
      </c>
      <c r="CV65">
        <f>AVERAGE(S_plus!DC$2:'S_plus'!DC65)</f>
        <v>101.30621416949533</v>
      </c>
      <c r="CW65">
        <f>AVERAGE(S_plus!DD$2:'S_plus'!DD65)</f>
        <v>92.220684102453134</v>
      </c>
      <c r="CX65">
        <f>AVERAGE(S_plus!DE$2:'S_plus'!DE65)</f>
        <v>103.17353125517182</v>
      </c>
      <c r="CY65">
        <f>AVERAGE(S_plus!DF$2:'S_plus'!DF65)</f>
        <v>90.068714503589078</v>
      </c>
      <c r="CZ65">
        <f>AVERAGE(S_plus!DG$2:'S_plus'!DG65)</f>
        <v>91.054736217520272</v>
      </c>
      <c r="DA65">
        <f>AVERAGE(S_plus!DH$2:'S_plus'!DH65)</f>
        <v>100.83057304061566</v>
      </c>
    </row>
    <row r="66" spans="5:105" x14ac:dyDescent="0.25">
      <c r="E66">
        <f>E65+Asian!dt</f>
        <v>0.64000000000000035</v>
      </c>
      <c r="F66">
        <f>AVERAGE(S_plus!M$2:'S_plus'!M66)</f>
        <v>91.556938916630784</v>
      </c>
      <c r="G66">
        <f>AVERAGE(S_plus!N$2:'S_plus'!N66)</f>
        <v>93.478532530433839</v>
      </c>
      <c r="H66">
        <f>AVERAGE(S_plus!O$2:'S_plus'!O66)</f>
        <v>105.77169069452157</v>
      </c>
      <c r="I66">
        <f>AVERAGE(S_plus!P$2:'S_plus'!P66)</f>
        <v>98.310188684938453</v>
      </c>
      <c r="J66">
        <f>AVERAGE(S_plus!Q$2:'S_plus'!Q66)</f>
        <v>86.728388942123075</v>
      </c>
      <c r="K66">
        <f>AVERAGE(S_plus!R$2:'S_plus'!R66)</f>
        <v>95.107028534378472</v>
      </c>
      <c r="L66">
        <f>AVERAGE(S_plus!S$2:'S_plus'!S66)</f>
        <v>114.08469290853841</v>
      </c>
      <c r="M66">
        <f>AVERAGE(S_plus!T$2:'S_plus'!T66)</f>
        <v>82.93092973091693</v>
      </c>
      <c r="N66">
        <f>AVERAGE(S_plus!U$2:'S_plus'!U66)</f>
        <v>111.562820258</v>
      </c>
      <c r="O66">
        <f>AVERAGE(S_plus!V$2:'S_plus'!V66)</f>
        <v>103.66197933427691</v>
      </c>
      <c r="P66">
        <f>AVERAGE(S_plus!W$2:'S_plus'!W66)</f>
        <v>103.17026106532771</v>
      </c>
      <c r="Q66">
        <f>AVERAGE(S_plus!X$2:'S_plus'!X66)</f>
        <v>110.2783905009077</v>
      </c>
      <c r="R66">
        <f>AVERAGE(S_plus!Y$2:'S_plus'!Y66)</f>
        <v>92.980669248049239</v>
      </c>
      <c r="S66">
        <f>AVERAGE(S_plus!Z$2:'S_plus'!Z66)</f>
        <v>108.15333429041996</v>
      </c>
      <c r="T66">
        <f>AVERAGE(S_plus!AA$2:'S_plus'!AA66)</f>
        <v>105.18794919951077</v>
      </c>
      <c r="U66">
        <f>AVERAGE(S_plus!AB$2:'S_plus'!AB66)</f>
        <v>98.084718529000014</v>
      </c>
      <c r="V66">
        <f>AVERAGE(S_plus!AC$2:'S_plus'!AC66)</f>
        <v>88.883782540216941</v>
      </c>
      <c r="W66">
        <f>AVERAGE(S_plus!AD$2:'S_plus'!AD66)</f>
        <v>97.274594015096952</v>
      </c>
      <c r="X66">
        <f>AVERAGE(S_plus!AE$2:'S_plus'!AE66)</f>
        <v>122.1428425551923</v>
      </c>
      <c r="Y66">
        <f>AVERAGE(S_plus!AF$2:'S_plus'!AF66)</f>
        <v>105.00248029230927</v>
      </c>
      <c r="Z66">
        <f>AVERAGE(S_plus!AG$2:'S_plus'!AG66)</f>
        <v>105.56106363883383</v>
      </c>
      <c r="AA66">
        <f>AVERAGE(S_plus!AH$2:'S_plus'!AH66)</f>
        <v>105.21038532788768</v>
      </c>
      <c r="AB66">
        <f>AVERAGE(S_plus!AI$2:'S_plus'!AI66)</f>
        <v>89.512687234638463</v>
      </c>
      <c r="AC66">
        <f>AVERAGE(S_plus!AJ$2:'S_plus'!AJ66)</f>
        <v>92.588526481643086</v>
      </c>
      <c r="AD66">
        <f>AVERAGE(S_plus!AK$2:'S_plus'!AK66)</f>
        <v>114.5933353418462</v>
      </c>
      <c r="AE66">
        <f>AVERAGE(S_plus!AL$2:'S_plus'!AL66)</f>
        <v>105.90550749035843</v>
      </c>
      <c r="AF66">
        <f>AVERAGE(S_plus!AM$2:'S_plus'!AM66)</f>
        <v>95.077750919579998</v>
      </c>
      <c r="AG66">
        <f>AVERAGE(S_plus!AN$2:'S_plus'!AN66)</f>
        <v>114.3346654193108</v>
      </c>
      <c r="AH66">
        <f>AVERAGE(S_plus!AO$2:'S_plus'!AO66)</f>
        <v>98.436098923139994</v>
      </c>
      <c r="AI66">
        <f>AVERAGE(S_plus!AP$2:'S_plus'!AP66)</f>
        <v>90.332389394749214</v>
      </c>
      <c r="AJ66">
        <f>AVERAGE(S_plus!AQ$2:'S_plus'!AQ66)</f>
        <v>104.61643124713231</v>
      </c>
      <c r="AK66">
        <f>AVERAGE(S_plus!AR$2:'S_plus'!AR66)</f>
        <v>100.09248950358153</v>
      </c>
      <c r="AL66">
        <f>AVERAGE(S_plus!AS$2:'S_plus'!AS66)</f>
        <v>115.82409638740462</v>
      </c>
      <c r="AM66">
        <f>AVERAGE(S_plus!AT$2:'S_plus'!AT66)</f>
        <v>93.522853372935415</v>
      </c>
      <c r="AN66">
        <f>AVERAGE(S_plus!AU$2:'S_plus'!AU66)</f>
        <v>98.951808517944642</v>
      </c>
      <c r="AO66">
        <f>AVERAGE(S_plus!AV$2:'S_plus'!AV66)</f>
        <v>105.67488085005228</v>
      </c>
      <c r="AP66">
        <f>AVERAGE(S_plus!AW$2:'S_plus'!AW66)</f>
        <v>115.76530940241535</v>
      </c>
      <c r="AQ66">
        <f>AVERAGE(S_plus!AX$2:'S_plus'!AX66)</f>
        <v>99.528976858307729</v>
      </c>
      <c r="AR66">
        <f>AVERAGE(S_plus!AY$2:'S_plus'!AY66)</f>
        <v>98.509074860381531</v>
      </c>
      <c r="AS66">
        <f>AVERAGE(S_plus!AZ$2:'S_plus'!AZ66)</f>
        <v>116.71228629844616</v>
      </c>
      <c r="AT66">
        <f>AVERAGE(S_plus!BA$2:'S_plus'!BA66)</f>
        <v>112.89760099373845</v>
      </c>
      <c r="AU66">
        <f>AVERAGE(S_plus!BB$2:'S_plus'!BB66)</f>
        <v>106.03315047078001</v>
      </c>
      <c r="AV66">
        <f>AVERAGE(S_plus!BC$2:'S_plus'!BC66)</f>
        <v>111.95870378887999</v>
      </c>
      <c r="AW66">
        <f>AVERAGE(S_plus!BD$2:'S_plus'!BD66)</f>
        <v>102.38465474672769</v>
      </c>
      <c r="AX66">
        <f>AVERAGE(S_plus!BE$2:'S_plus'!BE66)</f>
        <v>95.001317311980017</v>
      </c>
      <c r="AY66">
        <f>AVERAGE(S_plus!BF$2:'S_plus'!BF66)</f>
        <v>90.425940112178438</v>
      </c>
      <c r="AZ66">
        <f>AVERAGE(S_plus!BG$2:'S_plus'!BG66)</f>
        <v>93.706631084099982</v>
      </c>
      <c r="BA66">
        <f>AVERAGE(S_plus!BH$2:'S_plus'!BH66)</f>
        <v>100.73521507868463</v>
      </c>
      <c r="BB66">
        <f>AVERAGE(S_plus!BI$2:'S_plus'!BI66)</f>
        <v>106.52111529346156</v>
      </c>
      <c r="BC66">
        <f>AVERAGE(S_plus!BJ$2:'S_plus'!BJ66)</f>
        <v>105.52164687741228</v>
      </c>
      <c r="BD66">
        <f>AVERAGE(S_plus!BK$2:'S_plus'!BK66)</f>
        <v>97.134510839993837</v>
      </c>
      <c r="BE66">
        <f>AVERAGE(S_plus!BL$2:'S_plus'!BL66)</f>
        <v>90.888426172701514</v>
      </c>
      <c r="BF66">
        <f>AVERAGE(S_plus!BM$2:'S_plus'!BM66)</f>
        <v>97.422256668563065</v>
      </c>
      <c r="BG66">
        <f>AVERAGE(S_plus!BN$2:'S_plus'!BN66)</f>
        <v>102.02298244974925</v>
      </c>
      <c r="BH66">
        <f>AVERAGE(S_plus!BO$2:'S_plus'!BO66)</f>
        <v>86.877093992684664</v>
      </c>
      <c r="BI66">
        <f>AVERAGE(S_plus!BP$2:'S_plus'!BP66)</f>
        <v>89.445226690166194</v>
      </c>
      <c r="BJ66">
        <f>AVERAGE(S_plus!BQ$2:'S_plus'!BQ66)</f>
        <v>90.326074390756887</v>
      </c>
      <c r="BK66">
        <f>AVERAGE(S_plus!BR$2:'S_plus'!BR66)</f>
        <v>106.87752570415998</v>
      </c>
      <c r="BL66">
        <f>AVERAGE(S_plus!BS$2:'S_plus'!BS66)</f>
        <v>105.98650743252769</v>
      </c>
      <c r="BM66">
        <f>AVERAGE(S_plus!BT$2:'S_plus'!BT66)</f>
        <v>109.07375833779386</v>
      </c>
      <c r="BN66">
        <f>AVERAGE(S_plus!BU$2:'S_plus'!BU66)</f>
        <v>102.62523565559231</v>
      </c>
      <c r="BO66">
        <f>AVERAGE(S_plus!BV$2:'S_plus'!BV66)</f>
        <v>91.820447290530751</v>
      </c>
      <c r="BP66">
        <f>AVERAGE(S_plus!BW$2:'S_plus'!BW66)</f>
        <v>94.194614876483044</v>
      </c>
      <c r="BQ66">
        <f>AVERAGE(S_plus!BX$2:'S_plus'!BX66)</f>
        <v>83.587351970570751</v>
      </c>
      <c r="BR66">
        <f>AVERAGE(S_plus!BY$2:'S_plus'!BY66)</f>
        <v>101.66991204676003</v>
      </c>
      <c r="BS66">
        <f>AVERAGE(S_plus!BZ$2:'S_plus'!BZ66)</f>
        <v>101.40686164492614</v>
      </c>
      <c r="BT66">
        <f>AVERAGE(S_plus!CA$2:'S_plus'!CA66)</f>
        <v>98.779002851873855</v>
      </c>
      <c r="BU66">
        <f>AVERAGE(S_plus!CB$2:'S_plus'!CB66)</f>
        <v>100.90309603208615</v>
      </c>
      <c r="BV66">
        <f>AVERAGE(S_plus!CC$2:'S_plus'!CC66)</f>
        <v>91.282894864043087</v>
      </c>
      <c r="BW66">
        <f>AVERAGE(S_plus!CD$2:'S_plus'!CD66)</f>
        <v>98.282016080966173</v>
      </c>
      <c r="BX66">
        <f>AVERAGE(S_plus!CE$2:'S_plus'!CE66)</f>
        <v>98.555026865410767</v>
      </c>
      <c r="BY66">
        <f>AVERAGE(S_plus!CF$2:'S_plus'!CF66)</f>
        <v>90.541585270033849</v>
      </c>
      <c r="BZ66">
        <f>AVERAGE(S_plus!CG$2:'S_plus'!CG66)</f>
        <v>94.282618076601537</v>
      </c>
      <c r="CA66">
        <f>AVERAGE(S_plus!CH$2:'S_plus'!CH66)</f>
        <v>114.85137080281535</v>
      </c>
      <c r="CB66">
        <f>AVERAGE(S_plus!CI$2:'S_plus'!CI66)</f>
        <v>99.038713988804645</v>
      </c>
      <c r="CC66">
        <f>AVERAGE(S_plus!CJ$2:'S_plus'!CJ66)</f>
        <v>101.62218197397692</v>
      </c>
      <c r="CD66">
        <f>AVERAGE(S_plus!CK$2:'S_plus'!CK66)</f>
        <v>93.071000666636891</v>
      </c>
      <c r="CE66">
        <f>AVERAGE(S_plus!CL$2:'S_plus'!CL66)</f>
        <v>87.679966446460043</v>
      </c>
      <c r="CF66">
        <f>AVERAGE(S_plus!CM$2:'S_plus'!CM66)</f>
        <v>97.036472406833866</v>
      </c>
      <c r="CG66">
        <f>AVERAGE(S_plus!CN$2:'S_plus'!CN66)</f>
        <v>97.430797578952308</v>
      </c>
      <c r="CH66">
        <f>AVERAGE(S_plus!CO$2:'S_plus'!CO66)</f>
        <v>122.44341280026154</v>
      </c>
      <c r="CI66">
        <f>AVERAGE(S_plus!CP$2:'S_plus'!CP66)</f>
        <v>94.371552872778466</v>
      </c>
      <c r="CJ66">
        <f>AVERAGE(S_plus!CQ$2:'S_plus'!CQ66)</f>
        <v>102.51224650463384</v>
      </c>
      <c r="CK66">
        <f>AVERAGE(S_plus!CR$2:'S_plus'!CR66)</f>
        <v>102.589385551783</v>
      </c>
      <c r="CL66">
        <f>AVERAGE(S_plus!CS$2:'S_plus'!CS66)</f>
        <v>104.21527378710769</v>
      </c>
      <c r="CM66">
        <f>AVERAGE(S_plus!CT$2:'S_plus'!CT66)</f>
        <v>111.5688015260554</v>
      </c>
      <c r="CN66">
        <f>AVERAGE(S_plus!CU$2:'S_plus'!CU66)</f>
        <v>102.27119087359537</v>
      </c>
      <c r="CO66">
        <f>AVERAGE(S_plus!CV$2:'S_plus'!CV66)</f>
        <v>94.238674510612299</v>
      </c>
      <c r="CP66">
        <f>AVERAGE(S_plus!CW$2:'S_plus'!CW66)</f>
        <v>108.29597040209381</v>
      </c>
      <c r="CQ66">
        <f>AVERAGE(S_plus!CX$2:'S_plus'!CX66)</f>
        <v>115.31195070850157</v>
      </c>
      <c r="CR66">
        <f>AVERAGE(S_plus!CY$2:'S_plus'!CY66)</f>
        <v>104.02757845124154</v>
      </c>
      <c r="CS66">
        <f>AVERAGE(S_plus!CZ$2:'S_plus'!CZ66)</f>
        <v>106.85705047378769</v>
      </c>
      <c r="CT66">
        <f>AVERAGE(S_plus!DA$2:'S_plus'!DA66)</f>
        <v>113.23916004787694</v>
      </c>
      <c r="CU66">
        <f>AVERAGE(S_plus!DB$2:'S_plus'!DB66)</f>
        <v>87.962965106716922</v>
      </c>
      <c r="CV66">
        <f>AVERAGE(S_plus!DC$2:'S_plus'!DC66)</f>
        <v>101.38787835944156</v>
      </c>
      <c r="CW66">
        <f>AVERAGE(S_plus!DD$2:'S_plus'!DD66)</f>
        <v>92.248927918543089</v>
      </c>
      <c r="CX66">
        <f>AVERAGE(S_plus!DE$2:'S_plus'!DE66)</f>
        <v>103.09182272064149</v>
      </c>
      <c r="CY66">
        <f>AVERAGE(S_plus!DF$2:'S_plus'!DF66)</f>
        <v>89.896305549916931</v>
      </c>
      <c r="CZ66">
        <f>AVERAGE(S_plus!DG$2:'S_plus'!DG66)</f>
        <v>90.970800709590733</v>
      </c>
      <c r="DA66">
        <f>AVERAGE(S_plus!DH$2:'S_plus'!DH66)</f>
        <v>100.86370720922157</v>
      </c>
    </row>
    <row r="67" spans="5:105" x14ac:dyDescent="0.25">
      <c r="E67">
        <f>E66+Asian!dt</f>
        <v>0.65000000000000036</v>
      </c>
      <c r="F67">
        <f>AVERAGE(S_plus!M$2:'S_plus'!M67)</f>
        <v>91.460249338659111</v>
      </c>
      <c r="G67">
        <f>AVERAGE(S_plus!N$2:'S_plus'!N67)</f>
        <v>93.5559221999318</v>
      </c>
      <c r="H67">
        <f>AVERAGE(S_plus!O$2:'S_plus'!O67)</f>
        <v>105.73980886748336</v>
      </c>
      <c r="I67">
        <f>AVERAGE(S_plus!P$2:'S_plus'!P67)</f>
        <v>98.352255822060584</v>
      </c>
      <c r="J67">
        <f>AVERAGE(S_plus!Q$2:'S_plus'!Q67)</f>
        <v>86.467211187772733</v>
      </c>
      <c r="K67">
        <f>AVERAGE(S_plus!R$2:'S_plus'!R67)</f>
        <v>95.101331845295462</v>
      </c>
      <c r="L67">
        <f>AVERAGE(S_plus!S$2:'S_plus'!S67)</f>
        <v>113.91866854056056</v>
      </c>
      <c r="M67">
        <f>AVERAGE(S_plus!T$2:'S_plus'!T67)</f>
        <v>82.869648715901533</v>
      </c>
      <c r="N67">
        <f>AVERAGE(S_plus!U$2:'S_plus'!U67)</f>
        <v>111.45959356687878</v>
      </c>
      <c r="O67">
        <f>AVERAGE(S_plus!V$2:'S_plus'!V67)</f>
        <v>103.87024468231817</v>
      </c>
      <c r="P67">
        <f>AVERAGE(S_plus!W$2:'S_plus'!W67)</f>
        <v>103.28749145850456</v>
      </c>
      <c r="Q67">
        <f>AVERAGE(S_plus!X$2:'S_plus'!X67)</f>
        <v>110.38397103175758</v>
      </c>
      <c r="R67">
        <f>AVERAGE(S_plus!Y$2:'S_plus'!Y67)</f>
        <v>92.989570395510597</v>
      </c>
      <c r="S67">
        <f>AVERAGE(S_plus!Z$2:'S_plus'!Z67)</f>
        <v>108.19181658401966</v>
      </c>
      <c r="T67">
        <f>AVERAGE(S_plus!AA$2:'S_plus'!AA67)</f>
        <v>105.26389955163938</v>
      </c>
      <c r="U67">
        <f>AVERAGE(S_plus!AB$2:'S_plus'!AB67)</f>
        <v>98.339378245787898</v>
      </c>
      <c r="V67">
        <f>AVERAGE(S_plus!AC$2:'S_plus'!AC67)</f>
        <v>88.807875027553052</v>
      </c>
      <c r="W67">
        <f>AVERAGE(S_plus!AD$2:'S_plus'!AD67)</f>
        <v>97.261194974668214</v>
      </c>
      <c r="X67">
        <f>AVERAGE(S_plus!AE$2:'S_plus'!AE67)</f>
        <v>122.39097127474999</v>
      </c>
      <c r="Y67">
        <f>AVERAGE(S_plus!AF$2:'S_plus'!AF67)</f>
        <v>105.52859483897124</v>
      </c>
      <c r="Z67">
        <f>AVERAGE(S_plus!AG$2:'S_plus'!AG67)</f>
        <v>105.7392283743515</v>
      </c>
      <c r="AA67">
        <f>AVERAGE(S_plus!AH$2:'S_plus'!AH67)</f>
        <v>105.47627894561666</v>
      </c>
      <c r="AB67">
        <f>AVERAGE(S_plus!AI$2:'S_plus'!AI67)</f>
        <v>89.371532995754549</v>
      </c>
      <c r="AC67">
        <f>AVERAGE(S_plus!AJ$2:'S_plus'!AJ67)</f>
        <v>92.482717512343953</v>
      </c>
      <c r="AD67">
        <f>AVERAGE(S_plus!AK$2:'S_plus'!AK67)</f>
        <v>114.53731951600004</v>
      </c>
      <c r="AE67">
        <f>AVERAGE(S_plus!AL$2:'S_plus'!AL67)</f>
        <v>105.84186559433785</v>
      </c>
      <c r="AF67">
        <f>AVERAGE(S_plus!AM$2:'S_plus'!AM67)</f>
        <v>94.955569401968177</v>
      </c>
      <c r="AG67">
        <f>AVERAGE(S_plus!AN$2:'S_plus'!AN67)</f>
        <v>114.09478910729852</v>
      </c>
      <c r="AH67">
        <f>AVERAGE(S_plus!AO$2:'S_plus'!AO67)</f>
        <v>98.425639198384843</v>
      </c>
      <c r="AI67">
        <f>AVERAGE(S_plus!AP$2:'S_plus'!AP67)</f>
        <v>90.275066120578771</v>
      </c>
      <c r="AJ67">
        <f>AVERAGE(S_plus!AQ$2:'S_plus'!AQ67)</f>
        <v>104.78464893505455</v>
      </c>
      <c r="AK67">
        <f>AVERAGE(S_plus!AR$2:'S_plus'!AR67)</f>
        <v>100.06814456330454</v>
      </c>
      <c r="AL67">
        <f>AVERAGE(S_plus!AS$2:'S_plus'!AS67)</f>
        <v>116.0473140184894</v>
      </c>
      <c r="AM67">
        <f>AVERAGE(S_plus!AT$2:'S_plus'!AT67)</f>
        <v>93.420306267846996</v>
      </c>
      <c r="AN67">
        <f>AVERAGE(S_plus!AU$2:'S_plus'!AU67)</f>
        <v>99.176152299112132</v>
      </c>
      <c r="AO67">
        <f>AVERAGE(S_plus!AV$2:'S_plus'!AV67)</f>
        <v>105.97255421899088</v>
      </c>
      <c r="AP67">
        <f>AVERAGE(S_plus!AW$2:'S_plus'!AW67)</f>
        <v>115.74647333465148</v>
      </c>
      <c r="AQ67">
        <f>AVERAGE(S_plus!AX$2:'S_plus'!AX67)</f>
        <v>99.578096975590952</v>
      </c>
      <c r="AR67">
        <f>AVERAGE(S_plus!AY$2:'S_plus'!AY67)</f>
        <v>98.499468911875752</v>
      </c>
      <c r="AS67">
        <f>AVERAGE(S_plus!AZ$2:'S_plus'!AZ67)</f>
        <v>116.99205674218182</v>
      </c>
      <c r="AT67">
        <f>AVERAGE(S_plus!BA$2:'S_plus'!BA67)</f>
        <v>112.97522874187878</v>
      </c>
      <c r="AU67">
        <f>AVERAGE(S_plus!BB$2:'S_plus'!BB67)</f>
        <v>106.11424754613184</v>
      </c>
      <c r="AV67">
        <f>AVERAGE(S_plus!BC$2:'S_plus'!BC67)</f>
        <v>112.02328799298786</v>
      </c>
      <c r="AW67">
        <f>AVERAGE(S_plus!BD$2:'S_plus'!BD67)</f>
        <v>102.56949724644393</v>
      </c>
      <c r="AX67">
        <f>AVERAGE(S_plus!BE$2:'S_plus'!BE67)</f>
        <v>95.127416738571213</v>
      </c>
      <c r="AY67">
        <f>AVERAGE(S_plus!BF$2:'S_plus'!BF67)</f>
        <v>90.337268379645423</v>
      </c>
      <c r="AZ67">
        <f>AVERAGE(S_plus!BG$2:'S_plus'!BG67)</f>
        <v>93.786850741069671</v>
      </c>
      <c r="BA67">
        <f>AVERAGE(S_plus!BH$2:'S_plus'!BH67)</f>
        <v>100.80844561909849</v>
      </c>
      <c r="BB67">
        <f>AVERAGE(S_plus!BI$2:'S_plus'!BI67)</f>
        <v>106.58071399046973</v>
      </c>
      <c r="BC67">
        <f>AVERAGE(S_plus!BJ$2:'S_plus'!BJ67)</f>
        <v>105.60391259763331</v>
      </c>
      <c r="BD67">
        <f>AVERAGE(S_plus!BK$2:'S_plus'!BK67)</f>
        <v>97.202523482554525</v>
      </c>
      <c r="BE67">
        <f>AVERAGE(S_plus!BL$2:'S_plus'!BL67)</f>
        <v>90.737826438372707</v>
      </c>
      <c r="BF67">
        <f>AVERAGE(S_plus!BM$2:'S_plus'!BM67)</f>
        <v>97.669964778342404</v>
      </c>
      <c r="BG67">
        <f>AVERAGE(S_plus!BN$2:'S_plus'!BN67)</f>
        <v>102.1423493091167</v>
      </c>
      <c r="BH67">
        <f>AVERAGE(S_plus!BO$2:'S_plus'!BO67)</f>
        <v>86.901180425416712</v>
      </c>
      <c r="BI67">
        <f>AVERAGE(S_plus!BP$2:'S_plus'!BP67)</f>
        <v>89.31781212394398</v>
      </c>
      <c r="BJ67">
        <f>AVERAGE(S_plus!BQ$2:'S_plus'!BQ67)</f>
        <v>90.415273995942385</v>
      </c>
      <c r="BK67">
        <f>AVERAGE(S_plus!BR$2:'S_plus'!BR67)</f>
        <v>106.94934363526362</v>
      </c>
      <c r="BL67">
        <f>AVERAGE(S_plus!BS$2:'S_plus'!BS67)</f>
        <v>106.22086560109545</v>
      </c>
      <c r="BM67">
        <f>AVERAGE(S_plus!BT$2:'S_plus'!BT67)</f>
        <v>109.08250211573638</v>
      </c>
      <c r="BN67">
        <f>AVERAGE(S_plus!BU$2:'S_plus'!BU67)</f>
        <v>102.56068306959546</v>
      </c>
      <c r="BO67">
        <f>AVERAGE(S_plus!BV$2:'S_plus'!BV67)</f>
        <v>91.720471680883321</v>
      </c>
      <c r="BP67">
        <f>AVERAGE(S_plus!BW$2:'S_plus'!BW67)</f>
        <v>94.345999062915112</v>
      </c>
      <c r="BQ67">
        <f>AVERAGE(S_plus!BX$2:'S_plus'!BX67)</f>
        <v>83.405925697387872</v>
      </c>
      <c r="BR67">
        <f>AVERAGE(S_plus!BY$2:'S_plus'!BY67)</f>
        <v>101.54169242759549</v>
      </c>
      <c r="BS67">
        <f>AVERAGE(S_plus!BZ$2:'S_plus'!BZ67)</f>
        <v>101.54076704779089</v>
      </c>
      <c r="BT67">
        <f>AVERAGE(S_plus!CA$2:'S_plus'!CA67)</f>
        <v>98.587482128669706</v>
      </c>
      <c r="BU67">
        <f>AVERAGE(S_plus!CB$2:'S_plus'!CB67)</f>
        <v>100.88994533893333</v>
      </c>
      <c r="BV67">
        <f>AVERAGE(S_plus!CC$2:'S_plus'!CC67)</f>
        <v>91.004619476946971</v>
      </c>
      <c r="BW67">
        <f>AVERAGE(S_plus!CD$2:'S_plus'!CD67)</f>
        <v>98.219151132624262</v>
      </c>
      <c r="BX67">
        <f>AVERAGE(S_plus!CE$2:'S_plus'!CE67)</f>
        <v>98.270849159883326</v>
      </c>
      <c r="BY67">
        <f>AVERAGE(S_plus!CF$2:'S_plus'!CF67)</f>
        <v>90.404432171201506</v>
      </c>
      <c r="BZ67">
        <f>AVERAGE(S_plus!CG$2:'S_plus'!CG67)</f>
        <v>94.300727988246976</v>
      </c>
      <c r="CA67">
        <f>AVERAGE(S_plus!CH$2:'S_plus'!CH67)</f>
        <v>115.0342567814242</v>
      </c>
      <c r="CB67">
        <f>AVERAGE(S_plus!CI$2:'S_plus'!CI67)</f>
        <v>98.929558298177298</v>
      </c>
      <c r="CC67">
        <f>AVERAGE(S_plus!CJ$2:'S_plus'!CJ67)</f>
        <v>101.62021073193181</v>
      </c>
      <c r="CD67">
        <f>AVERAGE(S_plus!CK$2:'S_plus'!CK67)</f>
        <v>93.047400036881783</v>
      </c>
      <c r="CE67">
        <f>AVERAGE(S_plus!CL$2:'S_plus'!CL67)</f>
        <v>87.585941487489436</v>
      </c>
      <c r="CF67">
        <f>AVERAGE(S_plus!CM$2:'S_plus'!CM67)</f>
        <v>96.837416832248508</v>
      </c>
      <c r="CG67">
        <f>AVERAGE(S_plus!CN$2:'S_plus'!CN67)</f>
        <v>97.576151848604539</v>
      </c>
      <c r="CH67">
        <f>AVERAGE(S_plus!CO$2:'S_plus'!CO67)</f>
        <v>122.76186047184848</v>
      </c>
      <c r="CI67">
        <f>AVERAGE(S_plus!CP$2:'S_plus'!CP67)</f>
        <v>94.319801453365159</v>
      </c>
      <c r="CJ67">
        <f>AVERAGE(S_plus!CQ$2:'S_plus'!CQ67)</f>
        <v>102.27291670098485</v>
      </c>
      <c r="CK67">
        <f>AVERAGE(S_plus!CR$2:'S_plus'!CR67)</f>
        <v>102.67123528636205</v>
      </c>
      <c r="CL67">
        <f>AVERAGE(S_plus!CS$2:'S_plus'!CS67)</f>
        <v>104.11286811583332</v>
      </c>
      <c r="CM67">
        <f>AVERAGE(S_plus!CT$2:'S_plus'!CT67)</f>
        <v>111.84199869887274</v>
      </c>
      <c r="CN67">
        <f>AVERAGE(S_plus!CU$2:'S_plus'!CU67)</f>
        <v>102.29190241625302</v>
      </c>
      <c r="CO67">
        <f>AVERAGE(S_plus!CV$2:'S_plus'!CV67)</f>
        <v>94.027889404789391</v>
      </c>
      <c r="CP67">
        <f>AVERAGE(S_plus!CW$2:'S_plus'!CW67)</f>
        <v>108.23732118413785</v>
      </c>
      <c r="CQ67">
        <f>AVERAGE(S_plus!CX$2:'S_plus'!CX67)</f>
        <v>115.39948859390304</v>
      </c>
      <c r="CR67">
        <f>AVERAGE(S_plus!CY$2:'S_plus'!CY67)</f>
        <v>104.19735170296515</v>
      </c>
      <c r="CS67">
        <f>AVERAGE(S_plus!CZ$2:'S_plus'!CZ67)</f>
        <v>106.94947386457878</v>
      </c>
      <c r="CT67">
        <f>AVERAGE(S_plus!DA$2:'S_plus'!DA67)</f>
        <v>113.44717000139394</v>
      </c>
      <c r="CU67">
        <f>AVERAGE(S_plus!DB$2:'S_plus'!DB67)</f>
        <v>87.811596950678791</v>
      </c>
      <c r="CV67">
        <f>AVERAGE(S_plus!DC$2:'S_plus'!DC67)</f>
        <v>101.47627958740458</v>
      </c>
      <c r="CW67">
        <f>AVERAGE(S_plus!DD$2:'S_plus'!DD67)</f>
        <v>92.298060328068203</v>
      </c>
      <c r="CX67">
        <f>AVERAGE(S_plus!DE$2:'S_plus'!DE67)</f>
        <v>103.01289316558176</v>
      </c>
      <c r="CY67">
        <f>AVERAGE(S_plus!DF$2:'S_plus'!DF67)</f>
        <v>89.708097735507579</v>
      </c>
      <c r="CZ67">
        <f>AVERAGE(S_plus!DG$2:'S_plus'!DG67)</f>
        <v>90.864922603249966</v>
      </c>
      <c r="DA67">
        <f>AVERAGE(S_plus!DH$2:'S_plus'!DH67)</f>
        <v>100.85777996773336</v>
      </c>
    </row>
    <row r="68" spans="5:105" x14ac:dyDescent="0.25">
      <c r="E68">
        <f>E67+Asian!dt</f>
        <v>0.66000000000000036</v>
      </c>
      <c r="F68">
        <f>AVERAGE(S_plus!M$2:'S_plus'!M68)</f>
        <v>91.358198429010471</v>
      </c>
      <c r="G68">
        <f>AVERAGE(S_plus!N$2:'S_plus'!N68)</f>
        <v>93.667004278768644</v>
      </c>
      <c r="H68">
        <f>AVERAGE(S_plus!O$2:'S_plus'!O68)</f>
        <v>105.68822780292389</v>
      </c>
      <c r="I68">
        <f>AVERAGE(S_plus!P$2:'S_plus'!P68)</f>
        <v>98.368362213961177</v>
      </c>
      <c r="J68">
        <f>AVERAGE(S_plus!Q$2:'S_plus'!Q68)</f>
        <v>86.204403016959702</v>
      </c>
      <c r="K68">
        <f>AVERAGE(S_plus!R$2:'S_plus'!R68)</f>
        <v>95.088810145638817</v>
      </c>
      <c r="L68">
        <f>AVERAGE(S_plus!S$2:'S_plus'!S68)</f>
        <v>113.75380836468652</v>
      </c>
      <c r="M68">
        <f>AVERAGE(S_plus!T$2:'S_plus'!T68)</f>
        <v>82.854473697532853</v>
      </c>
      <c r="N68">
        <f>AVERAGE(S_plus!U$2:'S_plus'!U68)</f>
        <v>111.40531118846269</v>
      </c>
      <c r="O68">
        <f>AVERAGE(S_plus!V$2:'S_plus'!V68)</f>
        <v>104.10164077007462</v>
      </c>
      <c r="P68">
        <f>AVERAGE(S_plus!W$2:'S_plus'!W68)</f>
        <v>103.38540102194479</v>
      </c>
      <c r="Q68">
        <f>AVERAGE(S_plus!X$2:'S_plus'!X68)</f>
        <v>110.50217649313433</v>
      </c>
      <c r="R68">
        <f>AVERAGE(S_plus!Y$2:'S_plus'!Y68)</f>
        <v>92.976823324594022</v>
      </c>
      <c r="S68">
        <f>AVERAGE(S_plus!Z$2:'S_plus'!Z68)</f>
        <v>108.18870427492982</v>
      </c>
      <c r="T68">
        <f>AVERAGE(S_plus!AA$2:'S_plus'!AA68)</f>
        <v>105.35301207306269</v>
      </c>
      <c r="U68">
        <f>AVERAGE(S_plus!AB$2:'S_plus'!AB68)</f>
        <v>98.602595691850766</v>
      </c>
      <c r="V68">
        <f>AVERAGE(S_plus!AC$2:'S_plus'!AC68)</f>
        <v>88.733818241820913</v>
      </c>
      <c r="W68">
        <f>AVERAGE(S_plus!AD$2:'S_plus'!AD68)</f>
        <v>97.207582532743331</v>
      </c>
      <c r="X68">
        <f>AVERAGE(S_plus!AE$2:'S_plus'!AE68)</f>
        <v>122.57832831355968</v>
      </c>
      <c r="Y68">
        <f>AVERAGE(S_plus!AF$2:'S_plus'!AF68)</f>
        <v>106.11164203343436</v>
      </c>
      <c r="Z68">
        <f>AVERAGE(S_plus!AG$2:'S_plus'!AG68)</f>
        <v>105.87888499140595</v>
      </c>
      <c r="AA68">
        <f>AVERAGE(S_plus!AH$2:'S_plus'!AH68)</f>
        <v>105.69489471990596</v>
      </c>
      <c r="AB68">
        <f>AVERAGE(S_plus!AI$2:'S_plus'!AI68)</f>
        <v>89.194869603235816</v>
      </c>
      <c r="AC68">
        <f>AVERAGE(S_plus!AJ$2:'S_plus'!AJ68)</f>
        <v>92.395091059023898</v>
      </c>
      <c r="AD68">
        <f>AVERAGE(S_plus!AK$2:'S_plus'!AK68)</f>
        <v>114.49390671888064</v>
      </c>
      <c r="AE68">
        <f>AVERAGE(S_plus!AL$2:'S_plus'!AL68)</f>
        <v>105.81892177616862</v>
      </c>
      <c r="AF68">
        <f>AVERAGE(S_plus!AM$2:'S_plus'!AM68)</f>
        <v>94.858450085010446</v>
      </c>
      <c r="AG68">
        <f>AVERAGE(S_plus!AN$2:'S_plus'!AN68)</f>
        <v>113.88722828551795</v>
      </c>
      <c r="AH68">
        <f>AVERAGE(S_plus!AO$2:'S_plus'!AO68)</f>
        <v>98.451508639453735</v>
      </c>
      <c r="AI68">
        <f>AVERAGE(S_plus!AP$2:'S_plus'!AP68)</f>
        <v>90.256514306780588</v>
      </c>
      <c r="AJ68">
        <f>AVERAGE(S_plus!AQ$2:'S_plus'!AQ68)</f>
        <v>104.96075866657613</v>
      </c>
      <c r="AK68">
        <f>AVERAGE(S_plus!AR$2:'S_plus'!AR68)</f>
        <v>100.05921455567911</v>
      </c>
      <c r="AL68">
        <f>AVERAGE(S_plus!AS$2:'S_plus'!AS68)</f>
        <v>116.29356040330299</v>
      </c>
      <c r="AM68">
        <f>AVERAGE(S_plus!AT$2:'S_plus'!AT68)</f>
        <v>93.311383370734347</v>
      </c>
      <c r="AN68">
        <f>AVERAGE(S_plus!AU$2:'S_plus'!AU68)</f>
        <v>99.436306449229861</v>
      </c>
      <c r="AO68">
        <f>AVERAGE(S_plus!AV$2:'S_plus'!AV68)</f>
        <v>106.32046762479699</v>
      </c>
      <c r="AP68">
        <f>AVERAGE(S_plus!AW$2:'S_plus'!AW68)</f>
        <v>115.64172694647758</v>
      </c>
      <c r="AQ68">
        <f>AVERAGE(S_plus!AX$2:'S_plus'!AX68)</f>
        <v>99.645990178000048</v>
      </c>
      <c r="AR68">
        <f>AVERAGE(S_plus!AY$2:'S_plus'!AY68)</f>
        <v>98.466031113211926</v>
      </c>
      <c r="AS68">
        <f>AVERAGE(S_plus!AZ$2:'S_plus'!AZ68)</f>
        <v>117.16695995511941</v>
      </c>
      <c r="AT68">
        <f>AVERAGE(S_plus!BA$2:'S_plus'!BA68)</f>
        <v>113.04496149183581</v>
      </c>
      <c r="AU68">
        <f>AVERAGE(S_plus!BB$2:'S_plus'!BB68)</f>
        <v>106.1493186415627</v>
      </c>
      <c r="AV68">
        <f>AVERAGE(S_plus!BC$2:'S_plus'!BC68)</f>
        <v>112.07670908295817</v>
      </c>
      <c r="AW68">
        <f>AVERAGE(S_plus!BD$2:'S_plus'!BD68)</f>
        <v>102.75370148730298</v>
      </c>
      <c r="AX68">
        <f>AVERAGE(S_plus!BE$2:'S_plus'!BE68)</f>
        <v>95.222698181353735</v>
      </c>
      <c r="AY68">
        <f>AVERAGE(S_plus!BF$2:'S_plus'!BF68)</f>
        <v>90.275314626876096</v>
      </c>
      <c r="AZ68">
        <f>AVERAGE(S_plus!BG$2:'S_plus'!BG68)</f>
        <v>93.820211636910429</v>
      </c>
      <c r="BA68">
        <f>AVERAGE(S_plus!BH$2:'S_plus'!BH68)</f>
        <v>100.87196731824629</v>
      </c>
      <c r="BB68">
        <f>AVERAGE(S_plus!BI$2:'S_plus'!BI68)</f>
        <v>106.65363463829854</v>
      </c>
      <c r="BC68">
        <f>AVERAGE(S_plus!BJ$2:'S_plus'!BJ68)</f>
        <v>105.67315113165371</v>
      </c>
      <c r="BD68">
        <f>AVERAGE(S_plus!BK$2:'S_plus'!BK68)</f>
        <v>97.256486755247749</v>
      </c>
      <c r="BE68">
        <f>AVERAGE(S_plus!BL$2:'S_plus'!BL68)</f>
        <v>90.616379517668634</v>
      </c>
      <c r="BF68">
        <f>AVERAGE(S_plus!BM$2:'S_plus'!BM68)</f>
        <v>97.927357691904461</v>
      </c>
      <c r="BG68">
        <f>AVERAGE(S_plus!BN$2:'S_plus'!BN68)</f>
        <v>102.2711319962642</v>
      </c>
      <c r="BH68">
        <f>AVERAGE(S_plus!BO$2:'S_plus'!BO68)</f>
        <v>86.899996021079147</v>
      </c>
      <c r="BI68">
        <f>AVERAGE(S_plus!BP$2:'S_plus'!BP68)</f>
        <v>89.132918519243333</v>
      </c>
      <c r="BJ68">
        <f>AVERAGE(S_plus!BQ$2:'S_plus'!BQ68)</f>
        <v>90.501429885308909</v>
      </c>
      <c r="BK68">
        <f>AVERAGE(S_plus!BR$2:'S_plus'!BR68)</f>
        <v>107.04119687576714</v>
      </c>
      <c r="BL68">
        <f>AVERAGE(S_plus!BS$2:'S_plus'!BS68)</f>
        <v>106.43022372973581</v>
      </c>
      <c r="BM68">
        <f>AVERAGE(S_plus!BT$2:'S_plus'!BT68)</f>
        <v>109.1224666481433</v>
      </c>
      <c r="BN68">
        <f>AVERAGE(S_plus!BU$2:'S_plus'!BU68)</f>
        <v>102.4950953567612</v>
      </c>
      <c r="BO68">
        <f>AVERAGE(S_plus!BV$2:'S_plus'!BV68)</f>
        <v>91.593313803640285</v>
      </c>
      <c r="BP68">
        <f>AVERAGE(S_plus!BW$2:'S_plus'!BW68)</f>
        <v>94.535997851543257</v>
      </c>
      <c r="BQ68">
        <f>AVERAGE(S_plus!BX$2:'S_plus'!BX68)</f>
        <v>83.243534128577608</v>
      </c>
      <c r="BR68">
        <f>AVERAGE(S_plus!BY$2:'S_plus'!BY68)</f>
        <v>101.40026184748213</v>
      </c>
      <c r="BS68">
        <f>AVERAGE(S_plus!BZ$2:'S_plus'!BZ68)</f>
        <v>101.70611443085372</v>
      </c>
      <c r="BT68">
        <f>AVERAGE(S_plus!CA$2:'S_plus'!CA68)</f>
        <v>98.403816285520904</v>
      </c>
      <c r="BU68">
        <f>AVERAGE(S_plus!CB$2:'S_plus'!CB68)</f>
        <v>100.83161258783582</v>
      </c>
      <c r="BV68">
        <f>AVERAGE(S_plus!CC$2:'S_plus'!CC68)</f>
        <v>90.732529764382093</v>
      </c>
      <c r="BW68">
        <f>AVERAGE(S_plus!CD$2:'S_plus'!CD68)</f>
        <v>98.204775415343292</v>
      </c>
      <c r="BX68">
        <f>AVERAGE(S_plus!CE$2:'S_plus'!CE68)</f>
        <v>98.029767889704473</v>
      </c>
      <c r="BY68">
        <f>AVERAGE(S_plus!CF$2:'S_plus'!CF68)</f>
        <v>90.273856939250749</v>
      </c>
      <c r="BZ68">
        <f>AVERAGE(S_plus!CG$2:'S_plus'!CG68)</f>
        <v>94.367014069458207</v>
      </c>
      <c r="CA68">
        <f>AVERAGE(S_plus!CH$2:'S_plus'!CH68)</f>
        <v>115.28353246901489</v>
      </c>
      <c r="CB68">
        <f>AVERAGE(S_plus!CI$2:'S_plus'!CI68)</f>
        <v>98.832216864459724</v>
      </c>
      <c r="CC68">
        <f>AVERAGE(S_plus!CJ$2:'S_plus'!CJ68)</f>
        <v>101.61132710036566</v>
      </c>
      <c r="CD68">
        <f>AVERAGE(S_plus!CK$2:'S_plus'!CK68)</f>
        <v>93.029779306564151</v>
      </c>
      <c r="CE68">
        <f>AVERAGE(S_plus!CL$2:'S_plus'!CL68)</f>
        <v>87.496253162914968</v>
      </c>
      <c r="CF68">
        <f>AVERAGE(S_plus!CM$2:'S_plus'!CM68)</f>
        <v>96.663779044886581</v>
      </c>
      <c r="CG68">
        <f>AVERAGE(S_plus!CN$2:'S_plus'!CN68)</f>
        <v>97.69953819708806</v>
      </c>
      <c r="CH68">
        <f>AVERAGE(S_plus!CO$2:'S_plus'!CO68)</f>
        <v>123.08366114923881</v>
      </c>
      <c r="CI68">
        <f>AVERAGE(S_plus!CP$2:'S_plus'!CP68)</f>
        <v>94.289326124323892</v>
      </c>
      <c r="CJ68">
        <f>AVERAGE(S_plus!CQ$2:'S_plus'!CQ68)</f>
        <v>102.03573860230448</v>
      </c>
      <c r="CK68">
        <f>AVERAGE(S_plus!CR$2:'S_plus'!CR68)</f>
        <v>102.71395799937157</v>
      </c>
      <c r="CL68">
        <f>AVERAGE(S_plus!CS$2:'S_plus'!CS68)</f>
        <v>104.03144899804029</v>
      </c>
      <c r="CM68">
        <f>AVERAGE(S_plus!CT$2:'S_plus'!CT68)</f>
        <v>112.10666529094927</v>
      </c>
      <c r="CN68">
        <f>AVERAGE(S_plus!CU$2:'S_plus'!CU68)</f>
        <v>102.31616727445819</v>
      </c>
      <c r="CO68">
        <f>AVERAGE(S_plus!CV$2:'S_plus'!CV68)</f>
        <v>93.812891225976117</v>
      </c>
      <c r="CP68">
        <f>AVERAGE(S_plus!CW$2:'S_plus'!CW68)</f>
        <v>108.21296496707609</v>
      </c>
      <c r="CQ68">
        <f>AVERAGE(S_plus!CX$2:'S_plus'!CX68)</f>
        <v>115.48310166775524</v>
      </c>
      <c r="CR68">
        <f>AVERAGE(S_plus!CY$2:'S_plus'!CY68)</f>
        <v>104.35563220826418</v>
      </c>
      <c r="CS68">
        <f>AVERAGE(S_plus!CZ$2:'S_plus'!CZ68)</f>
        <v>107.00924576746566</v>
      </c>
      <c r="CT68">
        <f>AVERAGE(S_plus!DA$2:'S_plus'!DA68)</f>
        <v>113.68882577459702</v>
      </c>
      <c r="CU68">
        <f>AVERAGE(S_plus!DB$2:'S_plus'!DB68)</f>
        <v>87.637971704114932</v>
      </c>
      <c r="CV68">
        <f>AVERAGE(S_plus!DC$2:'S_plus'!DC68)</f>
        <v>101.53526543274181</v>
      </c>
      <c r="CW68">
        <f>AVERAGE(S_plus!DD$2:'S_plus'!DD68)</f>
        <v>92.358397128582098</v>
      </c>
      <c r="CX68">
        <f>AVERAGE(S_plus!DE$2:'S_plus'!DE68)</f>
        <v>102.96527620374172</v>
      </c>
      <c r="CY68">
        <f>AVERAGE(S_plus!DF$2:'S_plus'!DF68)</f>
        <v>89.494157558343275</v>
      </c>
      <c r="CZ68">
        <f>AVERAGE(S_plus!DG$2:'S_plus'!DG68)</f>
        <v>90.773190325740259</v>
      </c>
      <c r="DA68">
        <f>AVERAGE(S_plus!DH$2:'S_plus'!DH68)</f>
        <v>100.8413105348851</v>
      </c>
    </row>
    <row r="69" spans="5:105" x14ac:dyDescent="0.25">
      <c r="E69">
        <f>E68+Asian!dt</f>
        <v>0.67000000000000037</v>
      </c>
      <c r="F69">
        <f>AVERAGE(S_plus!M$2:'S_plus'!M69)</f>
        <v>91.203014004805894</v>
      </c>
      <c r="G69">
        <f>AVERAGE(S_plus!N$2:'S_plus'!N69)</f>
        <v>93.853324856757339</v>
      </c>
      <c r="H69">
        <f>AVERAGE(S_plus!O$2:'S_plus'!O69)</f>
        <v>105.62896934593971</v>
      </c>
      <c r="I69">
        <f>AVERAGE(S_plus!P$2:'S_plus'!P69)</f>
        <v>98.398399711123503</v>
      </c>
      <c r="J69">
        <f>AVERAGE(S_plus!Q$2:'S_plus'!Q69)</f>
        <v>85.940904862494122</v>
      </c>
      <c r="K69">
        <f>AVERAGE(S_plus!R$2:'S_plus'!R69)</f>
        <v>95.080103192808835</v>
      </c>
      <c r="L69">
        <f>AVERAGE(S_plus!S$2:'S_plus'!S69)</f>
        <v>113.5819841683529</v>
      </c>
      <c r="M69">
        <f>AVERAGE(S_plus!T$2:'S_plus'!T69)</f>
        <v>82.877837536198541</v>
      </c>
      <c r="N69">
        <f>AVERAGE(S_plus!U$2:'S_plus'!U69)</f>
        <v>111.37816432795589</v>
      </c>
      <c r="O69">
        <f>AVERAGE(S_plus!V$2:'S_plus'!V69)</f>
        <v>104.31837792682352</v>
      </c>
      <c r="P69">
        <f>AVERAGE(S_plus!W$2:'S_plus'!W69)</f>
        <v>103.42913398475443</v>
      </c>
      <c r="Q69">
        <f>AVERAGE(S_plus!X$2:'S_plus'!X69)</f>
        <v>110.63736883661764</v>
      </c>
      <c r="R69">
        <f>AVERAGE(S_plus!Y$2:'S_plus'!Y69)</f>
        <v>92.952605993366163</v>
      </c>
      <c r="S69">
        <f>AVERAGE(S_plus!Z$2:'S_plus'!Z69)</f>
        <v>108.15473364285732</v>
      </c>
      <c r="T69">
        <f>AVERAGE(S_plus!AA$2:'S_plus'!AA69)</f>
        <v>105.36810616714999</v>
      </c>
      <c r="U69">
        <f>AVERAGE(S_plus!AB$2:'S_plus'!AB69)</f>
        <v>98.875099670926488</v>
      </c>
      <c r="V69">
        <f>AVERAGE(S_plus!AC$2:'S_plus'!AC69)</f>
        <v>88.628868589579426</v>
      </c>
      <c r="W69">
        <f>AVERAGE(S_plus!AD$2:'S_plus'!AD69)</f>
        <v>97.201878230347091</v>
      </c>
      <c r="X69">
        <f>AVERAGE(S_plus!AE$2:'S_plus'!AE69)</f>
        <v>122.7656692874191</v>
      </c>
      <c r="Y69">
        <f>AVERAGE(S_plus!AF$2:'S_plus'!AF69)</f>
        <v>106.73598445022209</v>
      </c>
      <c r="Z69">
        <f>AVERAGE(S_plus!AG$2:'S_plus'!AG69)</f>
        <v>105.98622235081176</v>
      </c>
      <c r="AA69">
        <f>AVERAGE(S_plus!AH$2:'S_plus'!AH69)</f>
        <v>105.89177996417204</v>
      </c>
      <c r="AB69">
        <f>AVERAGE(S_plus!AI$2:'S_plus'!AI69)</f>
        <v>89.048994516180869</v>
      </c>
      <c r="AC69">
        <f>AVERAGE(S_plus!AJ$2:'S_plus'!AJ69)</f>
        <v>92.317169459275021</v>
      </c>
      <c r="AD69">
        <f>AVERAGE(S_plus!AK$2:'S_plus'!AK69)</f>
        <v>114.39967191694122</v>
      </c>
      <c r="AE69">
        <f>AVERAGE(S_plus!AL$2:'S_plus'!AL69)</f>
        <v>105.7746482128279</v>
      </c>
      <c r="AF69">
        <f>AVERAGE(S_plus!AM$2:'S_plus'!AM69)</f>
        <v>94.786591807089707</v>
      </c>
      <c r="AG69">
        <f>AVERAGE(S_plus!AN$2:'S_plus'!AN69)</f>
        <v>113.66578372468385</v>
      </c>
      <c r="AH69">
        <f>AVERAGE(S_plus!AO$2:'S_plus'!AO69)</f>
        <v>98.407825991329418</v>
      </c>
      <c r="AI69">
        <f>AVERAGE(S_plus!AP$2:'S_plus'!AP69)</f>
        <v>90.236837961435285</v>
      </c>
      <c r="AJ69">
        <f>AVERAGE(S_plus!AQ$2:'S_plus'!AQ69)</f>
        <v>105.10756458312648</v>
      </c>
      <c r="AK69">
        <f>AVERAGE(S_plus!AR$2:'S_plus'!AR69)</f>
        <v>100.07616482234559</v>
      </c>
      <c r="AL69">
        <f>AVERAGE(S_plus!AS$2:'S_plus'!AS69)</f>
        <v>116.5598813231956</v>
      </c>
      <c r="AM69">
        <f>AVERAGE(S_plus!AT$2:'S_plus'!AT69)</f>
        <v>93.205839352295612</v>
      </c>
      <c r="AN69">
        <f>AVERAGE(S_plus!AU$2:'S_plus'!AU69)</f>
        <v>99.640047218402955</v>
      </c>
      <c r="AO69">
        <f>AVERAGE(S_plus!AV$2:'S_plus'!AV69)</f>
        <v>106.70187637854997</v>
      </c>
      <c r="AP69">
        <f>AVERAGE(S_plus!AW$2:'S_plus'!AW69)</f>
        <v>115.54306107633819</v>
      </c>
      <c r="AQ69">
        <f>AVERAGE(S_plus!AX$2:'S_plus'!AX69)</f>
        <v>99.670143299647094</v>
      </c>
      <c r="AR69">
        <f>AVERAGE(S_plus!AY$2:'S_plus'!AY69)</f>
        <v>98.445468895701467</v>
      </c>
      <c r="AS69">
        <f>AVERAGE(S_plus!AZ$2:'S_plus'!AZ69)</f>
        <v>117.28542549149999</v>
      </c>
      <c r="AT69">
        <f>AVERAGE(S_plus!BA$2:'S_plus'!BA69)</f>
        <v>113.13063470361763</v>
      </c>
      <c r="AU69">
        <f>AVERAGE(S_plus!BB$2:'S_plus'!BB69)</f>
        <v>106.16821386061326</v>
      </c>
      <c r="AV69">
        <f>AVERAGE(S_plus!BC$2:'S_plus'!BC69)</f>
        <v>112.11808783801762</v>
      </c>
      <c r="AW69">
        <f>AVERAGE(S_plus!BD$2:'S_plus'!BD69)</f>
        <v>102.91055536941616</v>
      </c>
      <c r="AX69">
        <f>AVERAGE(S_plus!BE$2:'S_plus'!BE69)</f>
        <v>95.322072417863239</v>
      </c>
      <c r="AY69">
        <f>AVERAGE(S_plus!BF$2:'S_plus'!BF69)</f>
        <v>90.229909034320556</v>
      </c>
      <c r="AZ69">
        <f>AVERAGE(S_plus!BG$2:'S_plus'!BG69)</f>
        <v>93.80927467659852</v>
      </c>
      <c r="BA69">
        <f>AVERAGE(S_plus!BH$2:'S_plus'!BH69)</f>
        <v>100.92737757808089</v>
      </c>
      <c r="BB69">
        <f>AVERAGE(S_plus!BI$2:'S_plus'!BI69)</f>
        <v>106.66401038561767</v>
      </c>
      <c r="BC69">
        <f>AVERAGE(S_plus!BJ$2:'S_plus'!BJ69)</f>
        <v>105.70454529429115</v>
      </c>
      <c r="BD69">
        <f>AVERAGE(S_plus!BK$2:'S_plus'!BK69)</f>
        <v>97.285455172077917</v>
      </c>
      <c r="BE69">
        <f>AVERAGE(S_plus!BL$2:'S_plus'!BL69)</f>
        <v>90.475403665744096</v>
      </c>
      <c r="BF69">
        <f>AVERAGE(S_plus!BM$2:'S_plus'!BM69)</f>
        <v>98.206750766126447</v>
      </c>
      <c r="BG69">
        <f>AVERAGE(S_plus!BN$2:'S_plus'!BN69)</f>
        <v>102.37788233073091</v>
      </c>
      <c r="BH69">
        <f>AVERAGE(S_plus!BO$2:'S_plus'!BO69)</f>
        <v>86.898051258248572</v>
      </c>
      <c r="BI69">
        <f>AVERAGE(S_plus!BP$2:'S_plus'!BP69)</f>
        <v>88.953365891686801</v>
      </c>
      <c r="BJ69">
        <f>AVERAGE(S_plus!BQ$2:'S_plus'!BQ69)</f>
        <v>90.537377793642605</v>
      </c>
      <c r="BK69">
        <f>AVERAGE(S_plus!BR$2:'S_plus'!BR69)</f>
        <v>107.11579858016762</v>
      </c>
      <c r="BL69">
        <f>AVERAGE(S_plus!BS$2:'S_plus'!BS69)</f>
        <v>106.67954534703382</v>
      </c>
      <c r="BM69">
        <f>AVERAGE(S_plus!BT$2:'S_plus'!BT69)</f>
        <v>109.19182238840591</v>
      </c>
      <c r="BN69">
        <f>AVERAGE(S_plus!BU$2:'S_plus'!BU69)</f>
        <v>102.41141572975883</v>
      </c>
      <c r="BO69">
        <f>AVERAGE(S_plus!BV$2:'S_plus'!BV69)</f>
        <v>91.478319394773521</v>
      </c>
      <c r="BP69">
        <f>AVERAGE(S_plus!BW$2:'S_plus'!BW69)</f>
        <v>94.755580213844084</v>
      </c>
      <c r="BQ69">
        <f>AVERAGE(S_plus!BX$2:'S_plus'!BX69)</f>
        <v>83.081210268795587</v>
      </c>
      <c r="BR69">
        <f>AVERAGE(S_plus!BY$2:'S_plus'!BY69)</f>
        <v>101.27895921104121</v>
      </c>
      <c r="BS69">
        <f>AVERAGE(S_plus!BZ$2:'S_plus'!BZ69)</f>
        <v>101.85442157167938</v>
      </c>
      <c r="BT69">
        <f>AVERAGE(S_plus!CA$2:'S_plus'!CA69)</f>
        <v>98.217275297735299</v>
      </c>
      <c r="BU69">
        <f>AVERAGE(S_plus!CB$2:'S_plus'!CB69)</f>
        <v>100.82306379610293</v>
      </c>
      <c r="BV69">
        <f>AVERAGE(S_plus!CC$2:'S_plus'!CC69)</f>
        <v>90.493518934927934</v>
      </c>
      <c r="BW69">
        <f>AVERAGE(S_plus!CD$2:'S_plus'!CD69)</f>
        <v>98.206207829260293</v>
      </c>
      <c r="BX69">
        <f>AVERAGE(S_plus!CE$2:'S_plus'!CE69)</f>
        <v>97.795344654404403</v>
      </c>
      <c r="BY69">
        <f>AVERAGE(S_plus!CF$2:'S_plus'!CF69)</f>
        <v>90.154579056883819</v>
      </c>
      <c r="BZ69">
        <f>AVERAGE(S_plus!CG$2:'S_plus'!CG69)</f>
        <v>94.44593373567794</v>
      </c>
      <c r="CA69">
        <f>AVERAGE(S_plus!CH$2:'S_plus'!CH69)</f>
        <v>115.60312191352938</v>
      </c>
      <c r="CB69">
        <f>AVERAGE(S_plus!CI$2:'S_plus'!CI69)</f>
        <v>98.722733267336793</v>
      </c>
      <c r="CC69">
        <f>AVERAGE(S_plus!CJ$2:'S_plus'!CJ69)</f>
        <v>101.6009872909044</v>
      </c>
      <c r="CD69">
        <f>AVERAGE(S_plus!CK$2:'S_plus'!CK69)</f>
        <v>92.975648773607318</v>
      </c>
      <c r="CE69">
        <f>AVERAGE(S_plus!CL$2:'S_plus'!CL69)</f>
        <v>87.420370578355929</v>
      </c>
      <c r="CF69">
        <f>AVERAGE(S_plus!CM$2:'S_plus'!CM69)</f>
        <v>96.504361262169141</v>
      </c>
      <c r="CG69">
        <f>AVERAGE(S_plus!CN$2:'S_plus'!CN69)</f>
        <v>97.816879333469117</v>
      </c>
      <c r="CH69">
        <f>AVERAGE(S_plus!CO$2:'S_plus'!CO69)</f>
        <v>123.39990288795586</v>
      </c>
      <c r="CI69">
        <f>AVERAGE(S_plus!CP$2:'S_plus'!CP69)</f>
        <v>94.268156831799999</v>
      </c>
      <c r="CJ69">
        <f>AVERAGE(S_plus!CQ$2:'S_plus'!CQ69)</f>
        <v>101.78644423017353</v>
      </c>
      <c r="CK69">
        <f>AVERAGE(S_plus!CR$2:'S_plus'!CR69)</f>
        <v>102.76488218852786</v>
      </c>
      <c r="CL69">
        <f>AVERAGE(S_plus!CS$2:'S_plus'!CS69)</f>
        <v>103.93684072323529</v>
      </c>
      <c r="CM69">
        <f>AVERAGE(S_plus!CT$2:'S_plus'!CT69)</f>
        <v>112.33399078753826</v>
      </c>
      <c r="CN69">
        <f>AVERAGE(S_plus!CU$2:'S_plus'!CU69)</f>
        <v>102.37838348486322</v>
      </c>
      <c r="CO69">
        <f>AVERAGE(S_plus!CV$2:'S_plus'!CV69)</f>
        <v>93.603138831138224</v>
      </c>
      <c r="CP69">
        <f>AVERAGE(S_plus!CW$2:'S_plus'!CW69)</f>
        <v>108.22827518276615</v>
      </c>
      <c r="CQ69">
        <f>AVERAGE(S_plus!CX$2:'S_plus'!CX69)</f>
        <v>115.57359490874414</v>
      </c>
      <c r="CR69">
        <f>AVERAGE(S_plus!CY$2:'S_plus'!CY69)</f>
        <v>104.55872974153971</v>
      </c>
      <c r="CS69">
        <f>AVERAGE(S_plus!CZ$2:'S_plus'!CZ69)</f>
        <v>107.00401798359117</v>
      </c>
      <c r="CT69">
        <f>AVERAGE(S_plus!DA$2:'S_plus'!DA69)</f>
        <v>113.90711213413236</v>
      </c>
      <c r="CU69">
        <f>AVERAGE(S_plus!DB$2:'S_plus'!DB69)</f>
        <v>87.469987981505881</v>
      </c>
      <c r="CV69">
        <f>AVERAGE(S_plus!DC$2:'S_plus'!DC69)</f>
        <v>101.58833124267208</v>
      </c>
      <c r="CW69">
        <f>AVERAGE(S_plus!DD$2:'S_plus'!DD69)</f>
        <v>92.370834265422076</v>
      </c>
      <c r="CX69">
        <f>AVERAGE(S_plus!DE$2:'S_plus'!DE69)</f>
        <v>102.99123296696611</v>
      </c>
      <c r="CY69">
        <f>AVERAGE(S_plus!DF$2:'S_plus'!DF69)</f>
        <v>89.260548060655879</v>
      </c>
      <c r="CZ69">
        <f>AVERAGE(S_plus!DG$2:'S_plus'!DG69)</f>
        <v>90.652270566267603</v>
      </c>
      <c r="DA69">
        <f>AVERAGE(S_plus!DH$2:'S_plus'!DH69)</f>
        <v>100.8042576122912</v>
      </c>
    </row>
    <row r="70" spans="5:105" x14ac:dyDescent="0.25">
      <c r="E70">
        <f>E69+Asian!dt</f>
        <v>0.68000000000000038</v>
      </c>
      <c r="F70">
        <f>AVERAGE(S_plus!M$2:'S_plus'!M70)</f>
        <v>91.085449079581181</v>
      </c>
      <c r="G70">
        <f>AVERAGE(S_plus!N$2:'S_plus'!N70)</f>
        <v>94.081516193282596</v>
      </c>
      <c r="H70">
        <f>AVERAGE(S_plus!O$2:'S_plus'!O70)</f>
        <v>105.603387467129</v>
      </c>
      <c r="I70">
        <f>AVERAGE(S_plus!P$2:'S_plus'!P70)</f>
        <v>98.386150719534754</v>
      </c>
      <c r="J70">
        <f>AVERAGE(S_plus!Q$2:'S_plus'!Q70)</f>
        <v>85.680795444356519</v>
      </c>
      <c r="K70">
        <f>AVERAGE(S_plus!R$2:'S_plus'!R70)</f>
        <v>95.092250490465219</v>
      </c>
      <c r="L70">
        <f>AVERAGE(S_plus!S$2:'S_plus'!S70)</f>
        <v>113.40592086091301</v>
      </c>
      <c r="M70">
        <f>AVERAGE(S_plus!T$2:'S_plus'!T70)</f>
        <v>82.897316649523191</v>
      </c>
      <c r="N70">
        <f>AVERAGE(S_plus!U$2:'S_plus'!U70)</f>
        <v>111.38384095465217</v>
      </c>
      <c r="O70">
        <f>AVERAGE(S_plus!V$2:'S_plus'!V70)</f>
        <v>104.55864042362317</v>
      </c>
      <c r="P70">
        <f>AVERAGE(S_plus!W$2:'S_plus'!W70)</f>
        <v>103.50207875756958</v>
      </c>
      <c r="Q70">
        <f>AVERAGE(S_plus!X$2:'S_plus'!X70)</f>
        <v>110.83729517950725</v>
      </c>
      <c r="R70">
        <f>AVERAGE(S_plus!Y$2:'S_plus'!Y70)</f>
        <v>92.916428583826075</v>
      </c>
      <c r="S70">
        <f>AVERAGE(S_plus!Z$2:'S_plus'!Z70)</f>
        <v>108.07968875659853</v>
      </c>
      <c r="T70">
        <f>AVERAGE(S_plus!AA$2:'S_plus'!AA70)</f>
        <v>105.35865540187245</v>
      </c>
      <c r="U70">
        <f>AVERAGE(S_plus!AB$2:'S_plus'!AB70)</f>
        <v>99.137323263739148</v>
      </c>
      <c r="V70">
        <f>AVERAGE(S_plus!AC$2:'S_plus'!AC70)</f>
        <v>88.512438273285525</v>
      </c>
      <c r="W70">
        <f>AVERAGE(S_plus!AD$2:'S_plus'!AD70)</f>
        <v>97.244467079515985</v>
      </c>
      <c r="X70">
        <f>AVERAGE(S_plus!AE$2:'S_plus'!AE70)</f>
        <v>122.922188370442</v>
      </c>
      <c r="Y70">
        <f>AVERAGE(S_plus!AF$2:'S_plus'!AF70)</f>
        <v>107.36501298672611</v>
      </c>
      <c r="Z70">
        <f>AVERAGE(S_plus!AG$2:'S_plus'!AG70)</f>
        <v>106.09460158091593</v>
      </c>
      <c r="AA70">
        <f>AVERAGE(S_plus!AH$2:'S_plus'!AH70)</f>
        <v>106.06844062382173</v>
      </c>
      <c r="AB70">
        <f>AVERAGE(S_plus!AI$2:'S_plus'!AI70)</f>
        <v>88.918124400507239</v>
      </c>
      <c r="AC70">
        <f>AVERAGE(S_plus!AJ$2:'S_plus'!AJ70)</f>
        <v>92.241815070737701</v>
      </c>
      <c r="AD70">
        <f>AVERAGE(S_plus!AK$2:'S_plus'!AK70)</f>
        <v>114.30809244591309</v>
      </c>
      <c r="AE70">
        <f>AVERAGE(S_plus!AL$2:'S_plus'!AL70)</f>
        <v>105.73161423341011</v>
      </c>
      <c r="AF70">
        <f>AVERAGE(S_plus!AM$2:'S_plus'!AM70)</f>
        <v>94.713569463723189</v>
      </c>
      <c r="AG70">
        <f>AVERAGE(S_plus!AN$2:'S_plus'!AN70)</f>
        <v>113.50416770007973</v>
      </c>
      <c r="AH70">
        <f>AVERAGE(S_plus!AO$2:'S_plus'!AO70)</f>
        <v>98.39255183473044</v>
      </c>
      <c r="AI70">
        <f>AVERAGE(S_plus!AP$2:'S_plus'!AP70)</f>
        <v>90.239319078299985</v>
      </c>
      <c r="AJ70">
        <f>AVERAGE(S_plus!AQ$2:'S_plus'!AQ70)</f>
        <v>105.26412622582029</v>
      </c>
      <c r="AK70">
        <f>AVERAGE(S_plus!AR$2:'S_plus'!AR70)</f>
        <v>100.09466819654348</v>
      </c>
      <c r="AL70">
        <f>AVERAGE(S_plus!AS$2:'S_plus'!AS70)</f>
        <v>116.87257698077248</v>
      </c>
      <c r="AM70">
        <f>AVERAGE(S_plus!AT$2:'S_plus'!AT70)</f>
        <v>93.076392135631906</v>
      </c>
      <c r="AN70">
        <f>AVERAGE(S_plus!AU$2:'S_plus'!AU70)</f>
        <v>99.798974771078278</v>
      </c>
      <c r="AO70">
        <f>AVERAGE(S_plus!AV$2:'S_plus'!AV70)</f>
        <v>107.06128180245504</v>
      </c>
      <c r="AP70">
        <f>AVERAGE(S_plus!AW$2:'S_plus'!AW70)</f>
        <v>115.50411209089852</v>
      </c>
      <c r="AQ70">
        <f>AVERAGE(S_plus!AX$2:'S_plus'!AX70)</f>
        <v>99.652121223614543</v>
      </c>
      <c r="AR70">
        <f>AVERAGE(S_plus!AY$2:'S_plus'!AY70)</f>
        <v>98.435681322537675</v>
      </c>
      <c r="AS70">
        <f>AVERAGE(S_plus!AZ$2:'S_plus'!AZ70)</f>
        <v>117.39957314702899</v>
      </c>
      <c r="AT70">
        <f>AVERAGE(S_plus!BA$2:'S_plus'!BA70)</f>
        <v>113.23215176813042</v>
      </c>
      <c r="AU70">
        <f>AVERAGE(S_plus!BB$2:'S_plus'!BB70)</f>
        <v>106.19022413544495</v>
      </c>
      <c r="AV70">
        <f>AVERAGE(S_plus!BC$2:'S_plus'!BC70)</f>
        <v>112.14269666430721</v>
      </c>
      <c r="AW70">
        <f>AVERAGE(S_plus!BD$2:'S_plus'!BD70)</f>
        <v>103.06299795268549</v>
      </c>
      <c r="AX70">
        <f>AVERAGE(S_plus!BE$2:'S_plus'!BE70)</f>
        <v>95.385374646095656</v>
      </c>
      <c r="AY70">
        <f>AVERAGE(S_plus!BF$2:'S_plus'!BF70)</f>
        <v>90.177475218397078</v>
      </c>
      <c r="AZ70">
        <f>AVERAGE(S_plus!BG$2:'S_plus'!BG70)</f>
        <v>93.802476004321733</v>
      </c>
      <c r="BA70">
        <f>AVERAGE(S_plus!BH$2:'S_plus'!BH70)</f>
        <v>100.96844393063046</v>
      </c>
      <c r="BB70">
        <f>AVERAGE(S_plus!BI$2:'S_plus'!BI70)</f>
        <v>106.67938664694205</v>
      </c>
      <c r="BC70">
        <f>AVERAGE(S_plus!BJ$2:'S_plus'!BJ70)</f>
        <v>105.74863870843187</v>
      </c>
      <c r="BD70">
        <f>AVERAGE(S_plus!BK$2:'S_plus'!BK70)</f>
        <v>97.327374154917365</v>
      </c>
      <c r="BE70">
        <f>AVERAGE(S_plus!BL$2:'S_plus'!BL70)</f>
        <v>90.326997107847802</v>
      </c>
      <c r="BF70">
        <f>AVERAGE(S_plus!BM$2:'S_plus'!BM70)</f>
        <v>98.495169085892741</v>
      </c>
      <c r="BG70">
        <f>AVERAGE(S_plus!BN$2:'S_plus'!BN70)</f>
        <v>102.52215487382176</v>
      </c>
      <c r="BH70">
        <f>AVERAGE(S_plus!BO$2:'S_plus'!BO70)</f>
        <v>86.879019428155118</v>
      </c>
      <c r="BI70">
        <f>AVERAGE(S_plus!BP$2:'S_plus'!BP70)</f>
        <v>88.761135661492787</v>
      </c>
      <c r="BJ70">
        <f>AVERAGE(S_plus!BQ$2:'S_plus'!BQ70)</f>
        <v>90.594422986057936</v>
      </c>
      <c r="BK70">
        <f>AVERAGE(S_plus!BR$2:'S_plus'!BR70)</f>
        <v>107.21521367755649</v>
      </c>
      <c r="BL70">
        <f>AVERAGE(S_plus!BS$2:'S_plus'!BS70)</f>
        <v>106.93458638278695</v>
      </c>
      <c r="BM70">
        <f>AVERAGE(S_plus!BT$2:'S_plus'!BT70)</f>
        <v>109.28882415373336</v>
      </c>
      <c r="BN70">
        <f>AVERAGE(S_plus!BU$2:'S_plus'!BU70)</f>
        <v>102.28695132273334</v>
      </c>
      <c r="BO70">
        <f>AVERAGE(S_plus!BV$2:'S_plus'!BV70)</f>
        <v>91.36084177873623</v>
      </c>
      <c r="BP70">
        <f>AVERAGE(S_plus!BW$2:'S_plus'!BW70)</f>
        <v>94.962371769455032</v>
      </c>
      <c r="BQ70">
        <f>AVERAGE(S_plus!BX$2:'S_plus'!BX70)</f>
        <v>82.938093341898551</v>
      </c>
      <c r="BR70">
        <f>AVERAGE(S_plus!BY$2:'S_plus'!BY70)</f>
        <v>101.17563039141307</v>
      </c>
      <c r="BS70">
        <f>AVERAGE(S_plus!BZ$2:'S_plus'!BZ70)</f>
        <v>102.00176525266954</v>
      </c>
      <c r="BT70">
        <f>AVERAGE(S_plus!CA$2:'S_plus'!CA70)</f>
        <v>98.065007859597117</v>
      </c>
      <c r="BU70">
        <f>AVERAGE(S_plus!CB$2:'S_plus'!CB70)</f>
        <v>100.83546743155071</v>
      </c>
      <c r="BV70">
        <f>AVERAGE(S_plus!CC$2:'S_plus'!CC70)</f>
        <v>90.252630938376811</v>
      </c>
      <c r="BW70">
        <f>AVERAGE(S_plus!CD$2:'S_plus'!CD70)</f>
        <v>98.249972342705803</v>
      </c>
      <c r="BX70">
        <f>AVERAGE(S_plus!CE$2:'S_plus'!CE70)</f>
        <v>97.577109080836223</v>
      </c>
      <c r="BY70">
        <f>AVERAGE(S_plus!CF$2:'S_plus'!CF70)</f>
        <v>90.017254118014492</v>
      </c>
      <c r="BZ70">
        <f>AVERAGE(S_plus!CG$2:'S_plus'!CG70)</f>
        <v>94.520903190447825</v>
      </c>
      <c r="CA70">
        <f>AVERAGE(S_plus!CH$2:'S_plus'!CH70)</f>
        <v>115.88961619344924</v>
      </c>
      <c r="CB70">
        <f>AVERAGE(S_plus!CI$2:'S_plus'!CI70)</f>
        <v>98.616433985097117</v>
      </c>
      <c r="CC70">
        <f>AVERAGE(S_plus!CJ$2:'S_plus'!CJ70)</f>
        <v>101.55634542903042</v>
      </c>
      <c r="CD70">
        <f>AVERAGE(S_plus!CK$2:'S_plus'!CK70)</f>
        <v>92.984588189649259</v>
      </c>
      <c r="CE70">
        <f>AVERAGE(S_plus!CL$2:'S_plus'!CL70)</f>
        <v>87.359133742231919</v>
      </c>
      <c r="CF70">
        <f>AVERAGE(S_plus!CM$2:'S_plus'!CM70)</f>
        <v>96.332268328230469</v>
      </c>
      <c r="CG70">
        <f>AVERAGE(S_plus!CN$2:'S_plus'!CN70)</f>
        <v>97.9313160401</v>
      </c>
      <c r="CH70">
        <f>AVERAGE(S_plus!CO$2:'S_plus'!CO70)</f>
        <v>123.70228701913041</v>
      </c>
      <c r="CI70">
        <f>AVERAGE(S_plus!CP$2:'S_plus'!CP70)</f>
        <v>94.224564548504347</v>
      </c>
      <c r="CJ70">
        <f>AVERAGE(S_plus!CQ$2:'S_plus'!CQ70)</f>
        <v>101.58735424065073</v>
      </c>
      <c r="CK70">
        <f>AVERAGE(S_plus!CR$2:'S_plus'!CR70)</f>
        <v>102.81396755823036</v>
      </c>
      <c r="CL70">
        <f>AVERAGE(S_plus!CS$2:'S_plus'!CS70)</f>
        <v>103.83207365125507</v>
      </c>
      <c r="CM70">
        <f>AVERAGE(S_plus!CT$2:'S_plus'!CT70)</f>
        <v>112.52261515708116</v>
      </c>
      <c r="CN70">
        <f>AVERAGE(S_plus!CU$2:'S_plus'!CU70)</f>
        <v>102.46224316148839</v>
      </c>
      <c r="CO70">
        <f>AVERAGE(S_plus!CV$2:'S_plus'!CV70)</f>
        <v>93.434820231024631</v>
      </c>
      <c r="CP70">
        <f>AVERAGE(S_plus!CW$2:'S_plus'!CW70)</f>
        <v>108.2523544904362</v>
      </c>
      <c r="CQ70">
        <f>AVERAGE(S_plus!CX$2:'S_plus'!CX70)</f>
        <v>115.68194405726959</v>
      </c>
      <c r="CR70">
        <f>AVERAGE(S_plus!CY$2:'S_plus'!CY70)</f>
        <v>104.80403183422754</v>
      </c>
      <c r="CS70">
        <f>AVERAGE(S_plus!CZ$2:'S_plus'!CZ70)</f>
        <v>107.01050207993042</v>
      </c>
      <c r="CT70">
        <f>AVERAGE(S_plus!DA$2:'S_plus'!DA70)</f>
        <v>114.12710418717391</v>
      </c>
      <c r="CU70">
        <f>AVERAGE(S_plus!DB$2:'S_plus'!DB70)</f>
        <v>87.342705095314486</v>
      </c>
      <c r="CV70">
        <f>AVERAGE(S_plus!DC$2:'S_plus'!DC70)</f>
        <v>101.65048663169132</v>
      </c>
      <c r="CW70">
        <f>AVERAGE(S_plus!DD$2:'S_plus'!DD70)</f>
        <v>92.406903177169568</v>
      </c>
      <c r="CX70">
        <f>AVERAGE(S_plus!DE$2:'S_plus'!DE70)</f>
        <v>103.05764577603907</v>
      </c>
      <c r="CY70">
        <f>AVERAGE(S_plus!DF$2:'S_plus'!DF70)</f>
        <v>89.035279843250734</v>
      </c>
      <c r="CZ70">
        <f>AVERAGE(S_plus!DG$2:'S_plus'!DG70)</f>
        <v>90.542369145530387</v>
      </c>
      <c r="DA70">
        <f>AVERAGE(S_plus!DH$2:'S_plus'!DH70)</f>
        <v>100.74687035741451</v>
      </c>
    </row>
    <row r="71" spans="5:105" x14ac:dyDescent="0.25">
      <c r="E71">
        <f>E70+Asian!dt</f>
        <v>0.69000000000000039</v>
      </c>
      <c r="F71">
        <f>AVERAGE(S_plus!M$2:'S_plus'!M71)</f>
        <v>90.965071996322877</v>
      </c>
      <c r="G71">
        <f>AVERAGE(S_plus!N$2:'S_plus'!N71)</f>
        <v>94.33704644674998</v>
      </c>
      <c r="H71">
        <f>AVERAGE(S_plus!O$2:'S_plus'!O71)</f>
        <v>105.59986867545572</v>
      </c>
      <c r="I71">
        <f>AVERAGE(S_plus!P$2:'S_plus'!P71)</f>
        <v>98.380504805867119</v>
      </c>
      <c r="J71">
        <f>AVERAGE(S_plus!Q$2:'S_plus'!Q71)</f>
        <v>85.421337321538573</v>
      </c>
      <c r="K71">
        <f>AVERAGE(S_plus!R$2:'S_plus'!R71)</f>
        <v>95.105226623422865</v>
      </c>
      <c r="L71">
        <f>AVERAGE(S_plus!S$2:'S_plus'!S71)</f>
        <v>113.26799415384282</v>
      </c>
      <c r="M71">
        <f>AVERAGE(S_plus!T$2:'S_plus'!T71)</f>
        <v>82.938006729031443</v>
      </c>
      <c r="N71">
        <f>AVERAGE(S_plus!U$2:'S_plus'!U71)</f>
        <v>111.42848500837142</v>
      </c>
      <c r="O71">
        <f>AVERAGE(S_plus!V$2:'S_plus'!V71)</f>
        <v>104.7617342175857</v>
      </c>
      <c r="P71">
        <f>AVERAGE(S_plus!W$2:'S_plus'!W71)</f>
        <v>103.56847465737572</v>
      </c>
      <c r="Q71">
        <f>AVERAGE(S_plus!X$2:'S_plus'!X71)</f>
        <v>111.08161595587143</v>
      </c>
      <c r="R71">
        <f>AVERAGE(S_plus!Y$2:'S_plus'!Y71)</f>
        <v>92.865425963144276</v>
      </c>
      <c r="S71">
        <f>AVERAGE(S_plus!Z$2:'S_plus'!Z71)</f>
        <v>107.95153505444712</v>
      </c>
      <c r="T71">
        <f>AVERAGE(S_plus!AA$2:'S_plus'!AA71)</f>
        <v>105.33680122721712</v>
      </c>
      <c r="U71">
        <f>AVERAGE(S_plus!AB$2:'S_plus'!AB71)</f>
        <v>99.400203679785733</v>
      </c>
      <c r="V71">
        <f>AVERAGE(S_plus!AC$2:'S_plus'!AC71)</f>
        <v>88.380256466788595</v>
      </c>
      <c r="W71">
        <f>AVERAGE(S_plus!AD$2:'S_plus'!AD71)</f>
        <v>97.348655106008607</v>
      </c>
      <c r="X71">
        <f>AVERAGE(S_plus!AE$2:'S_plus'!AE71)</f>
        <v>123.05408563313568</v>
      </c>
      <c r="Y71">
        <f>AVERAGE(S_plus!AF$2:'S_plus'!AF71)</f>
        <v>107.92555194988716</v>
      </c>
      <c r="Z71">
        <f>AVERAGE(S_plus!AG$2:'S_plus'!AG71)</f>
        <v>106.18788030611714</v>
      </c>
      <c r="AA71">
        <f>AVERAGE(S_plus!AH$2:'S_plus'!AH71)</f>
        <v>106.25626408678143</v>
      </c>
      <c r="AB71">
        <f>AVERAGE(S_plus!AI$2:'S_plus'!AI71)</f>
        <v>88.793760054825711</v>
      </c>
      <c r="AC71">
        <f>AVERAGE(S_plus!AJ$2:'S_plus'!AJ71)</f>
        <v>92.193996899968596</v>
      </c>
      <c r="AD71">
        <f>AVERAGE(S_plus!AK$2:'S_plus'!AK71)</f>
        <v>114.18378439135719</v>
      </c>
      <c r="AE71">
        <f>AVERAGE(S_plus!AL$2:'S_plus'!AL71)</f>
        <v>105.69473652523283</v>
      </c>
      <c r="AF71">
        <f>AVERAGE(S_plus!AM$2:'S_plus'!AM71)</f>
        <v>94.64858811465858</v>
      </c>
      <c r="AG71">
        <f>AVERAGE(S_plus!AN$2:'S_plus'!AN71)</f>
        <v>113.28716125827573</v>
      </c>
      <c r="AH71">
        <f>AVERAGE(S_plus!AO$2:'S_plus'!AO71)</f>
        <v>98.386364523341442</v>
      </c>
      <c r="AI71">
        <f>AVERAGE(S_plus!AP$2:'S_plus'!AP71)</f>
        <v>90.250897382051406</v>
      </c>
      <c r="AJ71">
        <f>AVERAGE(S_plus!AQ$2:'S_plus'!AQ71)</f>
        <v>105.45044576819429</v>
      </c>
      <c r="AK71">
        <f>AVERAGE(S_plus!AR$2:'S_plus'!AR71)</f>
        <v>100.15577625290715</v>
      </c>
      <c r="AL71">
        <f>AVERAGE(S_plus!AS$2:'S_plus'!AS71)</f>
        <v>117.16516901137574</v>
      </c>
      <c r="AM71">
        <f>AVERAGE(S_plus!AT$2:'S_plus'!AT71)</f>
        <v>92.975064664951447</v>
      </c>
      <c r="AN71">
        <f>AVERAGE(S_plus!AU$2:'S_plus'!AU71)</f>
        <v>99.974117386234298</v>
      </c>
      <c r="AO71">
        <f>AVERAGE(S_plus!AV$2:'S_plus'!AV71)</f>
        <v>107.35870527399139</v>
      </c>
      <c r="AP71">
        <f>AVERAGE(S_plus!AW$2:'S_plus'!AW71)</f>
        <v>115.49624467141426</v>
      </c>
      <c r="AQ71">
        <f>AVERAGE(S_plus!AX$2:'S_plus'!AX71)</f>
        <v>99.631796426730048</v>
      </c>
      <c r="AR71">
        <f>AVERAGE(S_plus!AY$2:'S_plus'!AY71)</f>
        <v>98.418720377525702</v>
      </c>
      <c r="AS71">
        <f>AVERAGE(S_plus!AZ$2:'S_plus'!AZ71)</f>
        <v>117.55146147094287</v>
      </c>
      <c r="AT71">
        <f>AVERAGE(S_plus!BA$2:'S_plus'!BA71)</f>
        <v>113.37018889665713</v>
      </c>
      <c r="AU71">
        <f>AVERAGE(S_plus!BB$2:'S_plus'!BB71)</f>
        <v>106.21604150455288</v>
      </c>
      <c r="AV71">
        <f>AVERAGE(S_plus!BC$2:'S_plus'!BC71)</f>
        <v>112.13011725704568</v>
      </c>
      <c r="AW71">
        <f>AVERAGE(S_plus!BD$2:'S_plus'!BD71)</f>
        <v>103.31524033671856</v>
      </c>
      <c r="AX71">
        <f>AVERAGE(S_plus!BE$2:'S_plus'!BE71)</f>
        <v>95.41716163267715</v>
      </c>
      <c r="AY71">
        <f>AVERAGE(S_plus!BF$2:'S_plus'!BF71)</f>
        <v>90.157194918771395</v>
      </c>
      <c r="AZ71">
        <f>AVERAGE(S_plus!BG$2:'S_plus'!BG71)</f>
        <v>93.825770742832844</v>
      </c>
      <c r="BA71">
        <f>AVERAGE(S_plus!BH$2:'S_plus'!BH71)</f>
        <v>101.05620141013573</v>
      </c>
      <c r="BB71">
        <f>AVERAGE(S_plus!BI$2:'S_plus'!BI71)</f>
        <v>106.66180903164289</v>
      </c>
      <c r="BC71">
        <f>AVERAGE(S_plus!BJ$2:'S_plus'!BJ71)</f>
        <v>105.84395264256857</v>
      </c>
      <c r="BD71">
        <f>AVERAGE(S_plus!BK$2:'S_plus'!BK71)</f>
        <v>97.383823352975696</v>
      </c>
      <c r="BE71">
        <f>AVERAGE(S_plus!BL$2:'S_plus'!BL71)</f>
        <v>90.176593494655691</v>
      </c>
      <c r="BF71">
        <f>AVERAGE(S_plus!BM$2:'S_plus'!BM71)</f>
        <v>98.815568682708559</v>
      </c>
      <c r="BG71">
        <f>AVERAGE(S_plus!BN$2:'S_plus'!BN71)</f>
        <v>102.70273101498145</v>
      </c>
      <c r="BH71">
        <f>AVERAGE(S_plus!BO$2:'S_plus'!BO71)</f>
        <v>86.872439230118616</v>
      </c>
      <c r="BI71">
        <f>AVERAGE(S_plus!BP$2:'S_plus'!BP71)</f>
        <v>88.566280321090048</v>
      </c>
      <c r="BJ71">
        <f>AVERAGE(S_plus!BQ$2:'S_plus'!BQ71)</f>
        <v>90.682311652247108</v>
      </c>
      <c r="BK71">
        <f>AVERAGE(S_plus!BR$2:'S_plus'!BR71)</f>
        <v>107.29102817890568</v>
      </c>
      <c r="BL71">
        <f>AVERAGE(S_plus!BS$2:'S_plus'!BS71)</f>
        <v>107.2190391382757</v>
      </c>
      <c r="BM71">
        <f>AVERAGE(S_plus!BT$2:'S_plus'!BT71)</f>
        <v>109.39457320228003</v>
      </c>
      <c r="BN71">
        <f>AVERAGE(S_plus!BU$2:'S_plus'!BU71)</f>
        <v>102.17903459012429</v>
      </c>
      <c r="BO71">
        <f>AVERAGE(S_plus!BV$2:'S_plus'!BV71)</f>
        <v>91.28579315070715</v>
      </c>
      <c r="BP71">
        <f>AVERAGE(S_plus!BW$2:'S_plus'!BW71)</f>
        <v>95.111973991162813</v>
      </c>
      <c r="BQ71">
        <f>AVERAGE(S_plus!BX$2:'S_plus'!BX71)</f>
        <v>82.806240021649998</v>
      </c>
      <c r="BR71">
        <f>AVERAGE(S_plus!BY$2:'S_plus'!BY71)</f>
        <v>101.0856026798843</v>
      </c>
      <c r="BS71">
        <f>AVERAGE(S_plus!BZ$2:'S_plus'!BZ71)</f>
        <v>102.19843544870284</v>
      </c>
      <c r="BT71">
        <f>AVERAGE(S_plus!CA$2:'S_plus'!CA71)</f>
        <v>97.913170799244298</v>
      </c>
      <c r="BU71">
        <f>AVERAGE(S_plus!CB$2:'S_plus'!CB71)</f>
        <v>100.85885811212856</v>
      </c>
      <c r="BV71">
        <f>AVERAGE(S_plus!CC$2:'S_plus'!CC71)</f>
        <v>90.027291769845704</v>
      </c>
      <c r="BW71">
        <f>AVERAGE(S_plus!CD$2:'S_plus'!CD71)</f>
        <v>98.271733410115715</v>
      </c>
      <c r="BX71">
        <f>AVERAGE(S_plus!CE$2:'S_plus'!CE71)</f>
        <v>97.306178864575713</v>
      </c>
      <c r="BY71">
        <f>AVERAGE(S_plus!CF$2:'S_plus'!CF71)</f>
        <v>89.844812871847139</v>
      </c>
      <c r="BZ71">
        <f>AVERAGE(S_plus!CG$2:'S_plus'!CG71)</f>
        <v>94.592776735088563</v>
      </c>
      <c r="CA71">
        <f>AVERAGE(S_plus!CH$2:'S_plus'!CH71)</f>
        <v>116.1595972379571</v>
      </c>
      <c r="CB71">
        <f>AVERAGE(S_plus!CI$2:'S_plus'!CI71)</f>
        <v>98.485633100911457</v>
      </c>
      <c r="CC71">
        <f>AVERAGE(S_plus!CJ$2:'S_plus'!CJ71)</f>
        <v>101.50435800696285</v>
      </c>
      <c r="CD71">
        <f>AVERAGE(S_plus!CK$2:'S_plus'!CK71)</f>
        <v>92.994371289321407</v>
      </c>
      <c r="CE71">
        <f>AVERAGE(S_plus!CL$2:'S_plus'!CL71)</f>
        <v>87.319920513012903</v>
      </c>
      <c r="CF71">
        <f>AVERAGE(S_plus!CM$2:'S_plus'!CM71)</f>
        <v>96.144219453880027</v>
      </c>
      <c r="CG71">
        <f>AVERAGE(S_plus!CN$2:'S_plus'!CN71)</f>
        <v>98.005072803198573</v>
      </c>
      <c r="CH71">
        <f>AVERAGE(S_plus!CO$2:'S_plus'!CO71)</f>
        <v>123.97350447861427</v>
      </c>
      <c r="CI71">
        <f>AVERAGE(S_plus!CP$2:'S_plus'!CP71)</f>
        <v>94.144797830787141</v>
      </c>
      <c r="CJ71">
        <f>AVERAGE(S_plus!CQ$2:'S_plus'!CQ71)</f>
        <v>101.41384854700429</v>
      </c>
      <c r="CK71">
        <f>AVERAGE(S_plus!CR$2:'S_plus'!CR71)</f>
        <v>102.88565600146993</v>
      </c>
      <c r="CL71">
        <f>AVERAGE(S_plus!CS$2:'S_plus'!CS71)</f>
        <v>103.70149923191858</v>
      </c>
      <c r="CM71">
        <f>AVERAGE(S_plus!CT$2:'S_plus'!CT71)</f>
        <v>112.70350525043715</v>
      </c>
      <c r="CN71">
        <f>AVERAGE(S_plus!CU$2:'S_plus'!CU71)</f>
        <v>102.5904647367957</v>
      </c>
      <c r="CO71">
        <f>AVERAGE(S_plus!CV$2:'S_plus'!CV71)</f>
        <v>93.279510056649997</v>
      </c>
      <c r="CP71">
        <f>AVERAGE(S_plus!CW$2:'S_plus'!CW71)</f>
        <v>108.20091721397283</v>
      </c>
      <c r="CQ71">
        <f>AVERAGE(S_plus!CX$2:'S_plus'!CX71)</f>
        <v>115.83700249002287</v>
      </c>
      <c r="CR71">
        <f>AVERAGE(S_plus!CY$2:'S_plus'!CY71)</f>
        <v>105.02915833786714</v>
      </c>
      <c r="CS71">
        <f>AVERAGE(S_plus!CZ$2:'S_plus'!CZ71)</f>
        <v>107.05696230378855</v>
      </c>
      <c r="CT71">
        <f>AVERAGE(S_plus!DA$2:'S_plus'!DA71)</f>
        <v>114.309893336</v>
      </c>
      <c r="CU71">
        <f>AVERAGE(S_plus!DB$2:'S_plus'!DB71)</f>
        <v>87.227447583390003</v>
      </c>
      <c r="CV71">
        <f>AVERAGE(S_plus!DC$2:'S_plus'!DC71)</f>
        <v>101.7618127754243</v>
      </c>
      <c r="CW71">
        <f>AVERAGE(S_plus!DD$2:'S_plus'!DD71)</f>
        <v>92.417585979571442</v>
      </c>
      <c r="CX71">
        <f>AVERAGE(S_plus!DE$2:'S_plus'!DE71)</f>
        <v>103.11254887598137</v>
      </c>
      <c r="CY71">
        <f>AVERAGE(S_plus!DF$2:'S_plus'!DF71)</f>
        <v>88.790129500238578</v>
      </c>
      <c r="CZ71">
        <f>AVERAGE(S_plus!DG$2:'S_plus'!DG71)</f>
        <v>90.434405063121389</v>
      </c>
      <c r="DA71">
        <f>AVERAGE(S_plus!DH$2:'S_plus'!DH71)</f>
        <v>100.61715778257857</v>
      </c>
    </row>
    <row r="72" spans="5:105" x14ac:dyDescent="0.25">
      <c r="E72">
        <f>E71+Asian!dt</f>
        <v>0.7000000000000004</v>
      </c>
      <c r="F72">
        <f>AVERAGE(S_plus!M$2:'S_plus'!M72)</f>
        <v>90.849902943708457</v>
      </c>
      <c r="G72">
        <f>AVERAGE(S_plus!N$2:'S_plus'!N72)</f>
        <v>94.584548572274628</v>
      </c>
      <c r="H72">
        <f>AVERAGE(S_plus!O$2:'S_plus'!O72)</f>
        <v>105.61293601682959</v>
      </c>
      <c r="I72">
        <f>AVERAGE(S_plus!P$2:'S_plus'!P72)</f>
        <v>98.37759202307744</v>
      </c>
      <c r="J72">
        <f>AVERAGE(S_plus!Q$2:'S_plus'!Q72)</f>
        <v>85.12935919674085</v>
      </c>
      <c r="K72">
        <f>AVERAGE(S_plus!R$2:'S_plus'!R72)</f>
        <v>95.137728262878881</v>
      </c>
      <c r="L72">
        <f>AVERAGE(S_plus!S$2:'S_plus'!S72)</f>
        <v>113.15849482805631</v>
      </c>
      <c r="M72">
        <f>AVERAGE(S_plus!T$2:'S_plus'!T72)</f>
        <v>83.002146057481696</v>
      </c>
      <c r="N72">
        <f>AVERAGE(S_plus!U$2:'S_plus'!U72)</f>
        <v>111.5208883763662</v>
      </c>
      <c r="O72">
        <f>AVERAGE(S_plus!V$2:'S_plus'!V72)</f>
        <v>104.97443942185915</v>
      </c>
      <c r="P72">
        <f>AVERAGE(S_plus!W$2:'S_plus'!W72)</f>
        <v>103.7057931874127</v>
      </c>
      <c r="Q72">
        <f>AVERAGE(S_plus!X$2:'S_plus'!X72)</f>
        <v>111.33732086216901</v>
      </c>
      <c r="R72">
        <f>AVERAGE(S_plus!Y$2:'S_plus'!Y72)</f>
        <v>92.846385328114067</v>
      </c>
      <c r="S72">
        <f>AVERAGE(S_plus!Z$2:'S_plus'!Z72)</f>
        <v>107.82440464393659</v>
      </c>
      <c r="T72">
        <f>AVERAGE(S_plus!AA$2:'S_plus'!AA72)</f>
        <v>105.33891573822815</v>
      </c>
      <c r="U72">
        <f>AVERAGE(S_plus!AB$2:'S_plus'!AB72)</f>
        <v>99.622906191042276</v>
      </c>
      <c r="V72">
        <f>AVERAGE(S_plus!AC$2:'S_plus'!AC72)</f>
        <v>88.255291923974667</v>
      </c>
      <c r="W72">
        <f>AVERAGE(S_plus!AD$2:'S_plus'!AD72)</f>
        <v>97.464257553867654</v>
      </c>
      <c r="X72">
        <f>AVERAGE(S_plus!AE$2:'S_plus'!AE72)</f>
        <v>123.22432658055632</v>
      </c>
      <c r="Y72">
        <f>AVERAGE(S_plus!AF$2:'S_plus'!AF72)</f>
        <v>108.46467021736763</v>
      </c>
      <c r="Z72">
        <f>AVERAGE(S_plus!AG$2:'S_plus'!AG72)</f>
        <v>106.2265876959183</v>
      </c>
      <c r="AA72">
        <f>AVERAGE(S_plus!AH$2:'S_plus'!AH72)</f>
        <v>106.41270066181268</v>
      </c>
      <c r="AB72">
        <f>AVERAGE(S_plus!AI$2:'S_plus'!AI72)</f>
        <v>88.676546055449293</v>
      </c>
      <c r="AC72">
        <f>AVERAGE(S_plus!AJ$2:'S_plus'!AJ72)</f>
        <v>92.14001185695777</v>
      </c>
      <c r="AD72">
        <f>AVERAGE(S_plus!AK$2:'S_plus'!AK72)</f>
        <v>114.07459172736624</v>
      </c>
      <c r="AE72">
        <f>AVERAGE(S_plus!AL$2:'S_plus'!AL72)</f>
        <v>105.71771918328588</v>
      </c>
      <c r="AF72">
        <f>AVERAGE(S_plus!AM$2:'S_plus'!AM72)</f>
        <v>94.57881583132253</v>
      </c>
      <c r="AG72">
        <f>AVERAGE(S_plus!AN$2:'S_plus'!AN72)</f>
        <v>113.09826020443241</v>
      </c>
      <c r="AH72">
        <f>AVERAGE(S_plus!AO$2:'S_plus'!AO72)</f>
        <v>98.380715162181701</v>
      </c>
      <c r="AI72">
        <f>AVERAGE(S_plus!AP$2:'S_plus'!AP72)</f>
        <v>90.288259542280258</v>
      </c>
      <c r="AJ72">
        <f>AVERAGE(S_plus!AQ$2:'S_plus'!AQ72)</f>
        <v>105.59787058351549</v>
      </c>
      <c r="AK72">
        <f>AVERAGE(S_plus!AR$2:'S_plus'!AR72)</f>
        <v>100.23716571869718</v>
      </c>
      <c r="AL72">
        <f>AVERAGE(S_plus!AS$2:'S_plus'!AS72)</f>
        <v>117.47673706576481</v>
      </c>
      <c r="AM72">
        <f>AVERAGE(S_plus!AT$2:'S_plus'!AT72)</f>
        <v>92.884567179569032</v>
      </c>
      <c r="AN72">
        <f>AVERAGE(S_plus!AU$2:'S_plus'!AU72)</f>
        <v>100.14948957647043</v>
      </c>
      <c r="AO72">
        <f>AVERAGE(S_plus!AV$2:'S_plus'!AV72)</f>
        <v>107.64224821169573</v>
      </c>
      <c r="AP72">
        <f>AVERAGE(S_plus!AW$2:'S_plus'!AW72)</f>
        <v>115.51246789839433</v>
      </c>
      <c r="AQ72">
        <f>AVERAGE(S_plus!AX$2:'S_plus'!AX72)</f>
        <v>99.586994918973289</v>
      </c>
      <c r="AR72">
        <f>AVERAGE(S_plus!AY$2:'S_plus'!AY72)</f>
        <v>98.438475936673242</v>
      </c>
      <c r="AS72">
        <f>AVERAGE(S_plus!AZ$2:'S_plus'!AZ72)</f>
        <v>117.69440683259155</v>
      </c>
      <c r="AT72">
        <f>AVERAGE(S_plus!BA$2:'S_plus'!BA72)</f>
        <v>113.50407100732393</v>
      </c>
      <c r="AU72">
        <f>AVERAGE(S_plus!BB$2:'S_plus'!BB72)</f>
        <v>106.21662327622114</v>
      </c>
      <c r="AV72">
        <f>AVERAGE(S_plus!BC$2:'S_plus'!BC72)</f>
        <v>112.14859004719996</v>
      </c>
      <c r="AW72">
        <f>AVERAGE(S_plus!BD$2:'S_plus'!BD72)</f>
        <v>103.5868112602014</v>
      </c>
      <c r="AX72">
        <f>AVERAGE(S_plus!BE$2:'S_plus'!BE72)</f>
        <v>95.442858534759154</v>
      </c>
      <c r="AY72">
        <f>AVERAGE(S_plus!BF$2:'S_plus'!BF72)</f>
        <v>90.126063475568984</v>
      </c>
      <c r="AZ72">
        <f>AVERAGE(S_plus!BG$2:'S_plus'!BG72)</f>
        <v>93.885090737645058</v>
      </c>
      <c r="BA72">
        <f>AVERAGE(S_plus!BH$2:'S_plus'!BH72)</f>
        <v>101.15500281451409</v>
      </c>
      <c r="BB72">
        <f>AVERAGE(S_plus!BI$2:'S_plus'!BI72)</f>
        <v>106.69229614395778</v>
      </c>
      <c r="BC72">
        <f>AVERAGE(S_plus!BJ$2:'S_plus'!BJ72)</f>
        <v>105.93991843337744</v>
      </c>
      <c r="BD72">
        <f>AVERAGE(S_plus!BK$2:'S_plus'!BK72)</f>
        <v>97.428948625159137</v>
      </c>
      <c r="BE72">
        <f>AVERAGE(S_plus!BL$2:'S_plus'!BL72)</f>
        <v>90.010624741467581</v>
      </c>
      <c r="BF72">
        <f>AVERAGE(S_plus!BM$2:'S_plus'!BM72)</f>
        <v>99.137343054952098</v>
      </c>
      <c r="BG72">
        <f>AVERAGE(S_plus!BN$2:'S_plus'!BN72)</f>
        <v>102.85716017198172</v>
      </c>
      <c r="BH72">
        <f>AVERAGE(S_plus!BO$2:'S_plus'!BO72)</f>
        <v>86.862314290052154</v>
      </c>
      <c r="BI72">
        <f>AVERAGE(S_plus!BP$2:'S_plus'!BP72)</f>
        <v>88.388615631385946</v>
      </c>
      <c r="BJ72">
        <f>AVERAGE(S_plus!BQ$2:'S_plus'!BQ72)</f>
        <v>90.766349611215446</v>
      </c>
      <c r="BK72">
        <f>AVERAGE(S_plus!BR$2:'S_plus'!BR72)</f>
        <v>107.34231929807602</v>
      </c>
      <c r="BL72">
        <f>AVERAGE(S_plus!BS$2:'S_plus'!BS72)</f>
        <v>107.47697640973661</v>
      </c>
      <c r="BM72">
        <f>AVERAGE(S_plus!BT$2:'S_plus'!BT72)</f>
        <v>109.54710821869861</v>
      </c>
      <c r="BN72">
        <f>AVERAGE(S_plus!BU$2:'S_plus'!BU72)</f>
        <v>102.07796663923943</v>
      </c>
      <c r="BO72">
        <f>AVERAGE(S_plus!BV$2:'S_plus'!BV72)</f>
        <v>91.205016380438025</v>
      </c>
      <c r="BP72">
        <f>AVERAGE(S_plus!BW$2:'S_plus'!BW72)</f>
        <v>95.284246468076006</v>
      </c>
      <c r="BQ72">
        <f>AVERAGE(S_plus!BX$2:'S_plus'!BX72)</f>
        <v>82.664040341543654</v>
      </c>
      <c r="BR72">
        <f>AVERAGE(S_plus!BY$2:'S_plus'!BY72)</f>
        <v>100.99064118755072</v>
      </c>
      <c r="BS72">
        <f>AVERAGE(S_plus!BZ$2:'S_plus'!BZ72)</f>
        <v>102.47469219087603</v>
      </c>
      <c r="BT72">
        <f>AVERAGE(S_plus!CA$2:'S_plus'!CA72)</f>
        <v>97.769118625373252</v>
      </c>
      <c r="BU72">
        <f>AVERAGE(S_plus!CB$2:'S_plus'!CB72)</f>
        <v>100.90233266021127</v>
      </c>
      <c r="BV72">
        <f>AVERAGE(S_plus!CC$2:'S_plus'!CC72)</f>
        <v>89.828491390618296</v>
      </c>
      <c r="BW72">
        <f>AVERAGE(S_plus!CD$2:'S_plus'!CD72)</f>
        <v>98.332564606973236</v>
      </c>
      <c r="BX72">
        <f>AVERAGE(S_plus!CE$2:'S_plus'!CE72)</f>
        <v>97.023170587339422</v>
      </c>
      <c r="BY72">
        <f>AVERAGE(S_plus!CF$2:'S_plus'!CF72)</f>
        <v>89.696325886350706</v>
      </c>
      <c r="BZ72">
        <f>AVERAGE(S_plus!CG$2:'S_plus'!CG72)</f>
        <v>94.674920720692953</v>
      </c>
      <c r="CA72">
        <f>AVERAGE(S_plus!CH$2:'S_plus'!CH72)</f>
        <v>116.43496053194363</v>
      </c>
      <c r="CB72">
        <f>AVERAGE(S_plus!CI$2:'S_plus'!CI72)</f>
        <v>98.36033252397749</v>
      </c>
      <c r="CC72">
        <f>AVERAGE(S_plus!CJ$2:'S_plus'!CJ72)</f>
        <v>101.46500821841407</v>
      </c>
      <c r="CD72">
        <f>AVERAGE(S_plus!CK$2:'S_plus'!CK72)</f>
        <v>92.984235332040825</v>
      </c>
      <c r="CE72">
        <f>AVERAGE(S_plus!CL$2:'S_plus'!CL72)</f>
        <v>87.277780646518352</v>
      </c>
      <c r="CF72">
        <f>AVERAGE(S_plus!CM$2:'S_plus'!CM72)</f>
        <v>95.963117024460601</v>
      </c>
      <c r="CG72">
        <f>AVERAGE(S_plus!CN$2:'S_plus'!CN72)</f>
        <v>98.04540945705493</v>
      </c>
      <c r="CH72">
        <f>AVERAGE(S_plus!CO$2:'S_plus'!CO72)</f>
        <v>124.32510366056337</v>
      </c>
      <c r="CI72">
        <f>AVERAGE(S_plus!CP$2:'S_plus'!CP72)</f>
        <v>94.084202062612675</v>
      </c>
      <c r="CJ72">
        <f>AVERAGE(S_plus!CQ$2:'S_plus'!CQ72)</f>
        <v>101.27119319341831</v>
      </c>
      <c r="CK72">
        <f>AVERAGE(S_plus!CR$2:'S_plus'!CR72)</f>
        <v>102.9101173058436</v>
      </c>
      <c r="CL72">
        <f>AVERAGE(S_plus!CS$2:'S_plus'!CS72)</f>
        <v>103.62525441861831</v>
      </c>
      <c r="CM72">
        <f>AVERAGE(S_plus!CT$2:'S_plus'!CT72)</f>
        <v>112.87392009372677</v>
      </c>
      <c r="CN72">
        <f>AVERAGE(S_plus!CU$2:'S_plus'!CU72)</f>
        <v>102.73016690381266</v>
      </c>
      <c r="CO72">
        <f>AVERAGE(S_plus!CV$2:'S_plus'!CV72)</f>
        <v>93.136880876384495</v>
      </c>
      <c r="CP72">
        <f>AVERAGE(S_plus!CW$2:'S_plus'!CW72)</f>
        <v>108.15578438363518</v>
      </c>
      <c r="CQ72">
        <f>AVERAGE(S_plus!CX$2:'S_plus'!CX72)</f>
        <v>115.97892888520565</v>
      </c>
      <c r="CR72">
        <f>AVERAGE(S_plus!CY$2:'S_plus'!CY72)</f>
        <v>105.27859249179859</v>
      </c>
      <c r="CS72">
        <f>AVERAGE(S_plus!CZ$2:'S_plus'!CZ72)</f>
        <v>107.09917469797463</v>
      </c>
      <c r="CT72">
        <f>AVERAGE(S_plus!DA$2:'S_plus'!DA72)</f>
        <v>114.49639521787324</v>
      </c>
      <c r="CU72">
        <f>AVERAGE(S_plus!DB$2:'S_plus'!DB72)</f>
        <v>87.086879177512671</v>
      </c>
      <c r="CV72">
        <f>AVERAGE(S_plus!DC$2:'S_plus'!DC72)</f>
        <v>101.91858381792537</v>
      </c>
      <c r="CW72">
        <f>AVERAGE(S_plus!DD$2:'S_plus'!DD72)</f>
        <v>92.466709411778879</v>
      </c>
      <c r="CX72">
        <f>AVERAGE(S_plus!DE$2:'S_plus'!DE72)</f>
        <v>103.21923620467177</v>
      </c>
      <c r="CY72">
        <f>AVERAGE(S_plus!DF$2:'S_plus'!DF72)</f>
        <v>88.59270179453803</v>
      </c>
      <c r="CZ72">
        <f>AVERAGE(S_plus!DG$2:'S_plus'!DG72)</f>
        <v>90.347698473968975</v>
      </c>
      <c r="DA72">
        <f>AVERAGE(S_plus!DH$2:'S_plus'!DH72)</f>
        <v>100.48663896826761</v>
      </c>
    </row>
    <row r="73" spans="5:105" x14ac:dyDescent="0.25">
      <c r="E73">
        <f>E72+Asian!dt</f>
        <v>0.71000000000000041</v>
      </c>
      <c r="F73">
        <f>AVERAGE(S_plus!M$2:'S_plus'!M73)</f>
        <v>90.765816590093067</v>
      </c>
      <c r="G73">
        <f>AVERAGE(S_plus!N$2:'S_plus'!N73)</f>
        <v>94.831719710812479</v>
      </c>
      <c r="H73">
        <f>AVERAGE(S_plus!O$2:'S_plus'!O73)</f>
        <v>105.64532649723475</v>
      </c>
      <c r="I73">
        <f>AVERAGE(S_plus!P$2:'S_plus'!P73)</f>
        <v>98.380268183254145</v>
      </c>
      <c r="J73">
        <f>AVERAGE(S_plus!Q$2:'S_plus'!Q73)</f>
        <v>84.829804828547225</v>
      </c>
      <c r="K73">
        <f>AVERAGE(S_plus!R$2:'S_plus'!R73)</f>
        <v>95.158281227370836</v>
      </c>
      <c r="L73">
        <f>AVERAGE(S_plus!S$2:'S_plus'!S73)</f>
        <v>112.98900610458331</v>
      </c>
      <c r="M73">
        <f>AVERAGE(S_plus!T$2:'S_plus'!T73)</f>
        <v>83.05388172779584</v>
      </c>
      <c r="N73">
        <f>AVERAGE(S_plus!U$2:'S_plus'!U73)</f>
        <v>111.61026313568055</v>
      </c>
      <c r="O73">
        <f>AVERAGE(S_plus!V$2:'S_plus'!V73)</f>
        <v>105.2196363827361</v>
      </c>
      <c r="P73">
        <f>AVERAGE(S_plus!W$2:'S_plus'!W73)</f>
        <v>103.81865075629585</v>
      </c>
      <c r="Q73">
        <f>AVERAGE(S_plus!X$2:'S_plus'!X73)</f>
        <v>111.58001935251389</v>
      </c>
      <c r="R73">
        <f>AVERAGE(S_plus!Y$2:'S_plus'!Y73)</f>
        <v>92.814248600658317</v>
      </c>
      <c r="S73">
        <f>AVERAGE(S_plus!Z$2:'S_plus'!Z73)</f>
        <v>107.70209825162497</v>
      </c>
      <c r="T73">
        <f>AVERAGE(S_plus!AA$2:'S_plus'!AA73)</f>
        <v>105.38868064154443</v>
      </c>
      <c r="U73">
        <f>AVERAGE(S_plus!AB$2:'S_plus'!AB73)</f>
        <v>99.840706246361123</v>
      </c>
      <c r="V73">
        <f>AVERAGE(S_plus!AC$2:'S_plus'!AC73)</f>
        <v>88.138692868826411</v>
      </c>
      <c r="W73">
        <f>AVERAGE(S_plus!AD$2:'S_plus'!AD73)</f>
        <v>97.592673933647276</v>
      </c>
      <c r="X73">
        <f>AVERAGE(S_plus!AE$2:'S_plus'!AE73)</f>
        <v>123.40808590881248</v>
      </c>
      <c r="Y73">
        <f>AVERAGE(S_plus!AF$2:'S_plus'!AF73)</f>
        <v>108.9466204571403</v>
      </c>
      <c r="Z73">
        <f>AVERAGE(S_plus!AG$2:'S_plus'!AG73)</f>
        <v>106.25285943740555</v>
      </c>
      <c r="AA73">
        <f>AVERAGE(S_plus!AH$2:'S_plus'!AH73)</f>
        <v>106.55148547538472</v>
      </c>
      <c r="AB73">
        <f>AVERAGE(S_plus!AI$2:'S_plus'!AI73)</f>
        <v>88.589375909305545</v>
      </c>
      <c r="AC73">
        <f>AVERAGE(S_plus!AJ$2:'S_plus'!AJ73)</f>
        <v>92.051030690781957</v>
      </c>
      <c r="AD73">
        <f>AVERAGE(S_plus!AK$2:'S_plus'!AK73)</f>
        <v>113.94127772701394</v>
      </c>
      <c r="AE73">
        <f>AVERAGE(S_plus!AL$2:'S_plus'!AL73)</f>
        <v>105.75427393443469</v>
      </c>
      <c r="AF73">
        <f>AVERAGE(S_plus!AM$2:'S_plus'!AM73)</f>
        <v>94.523869209616663</v>
      </c>
      <c r="AG73">
        <f>AVERAGE(S_plus!AN$2:'S_plus'!AN73)</f>
        <v>112.9202043894403</v>
      </c>
      <c r="AH73">
        <f>AVERAGE(S_plus!AO$2:'S_plus'!AO73)</f>
        <v>98.399069128162509</v>
      </c>
      <c r="AI73">
        <f>AVERAGE(S_plus!AP$2:'S_plus'!AP73)</f>
        <v>90.313713601338861</v>
      </c>
      <c r="AJ73">
        <f>AVERAGE(S_plus!AQ$2:'S_plus'!AQ73)</f>
        <v>105.75700669586945</v>
      </c>
      <c r="AK73">
        <f>AVERAGE(S_plus!AR$2:'S_plus'!AR73)</f>
        <v>100.30863878961806</v>
      </c>
      <c r="AL73">
        <f>AVERAGE(S_plus!AS$2:'S_plus'!AS73)</f>
        <v>117.77644120399029</v>
      </c>
      <c r="AM73">
        <f>AVERAGE(S_plus!AT$2:'S_plus'!AT73)</f>
        <v>92.811950658048616</v>
      </c>
      <c r="AN73">
        <f>AVERAGE(S_plus!AU$2:'S_plus'!AU73)</f>
        <v>100.36034183922779</v>
      </c>
      <c r="AO73">
        <f>AVERAGE(S_plus!AV$2:'S_plus'!AV73)</f>
        <v>107.87340156350552</v>
      </c>
      <c r="AP73">
        <f>AVERAGE(S_plus!AW$2:'S_plus'!AW73)</f>
        <v>115.47943521994441</v>
      </c>
      <c r="AQ73">
        <f>AVERAGE(S_plus!AX$2:'S_plus'!AX73)</f>
        <v>99.550037234986164</v>
      </c>
      <c r="AR73">
        <f>AVERAGE(S_plus!AY$2:'S_plus'!AY73)</f>
        <v>98.451960640227782</v>
      </c>
      <c r="AS73">
        <f>AVERAGE(S_plus!AZ$2:'S_plus'!AZ73)</f>
        <v>117.76458906331946</v>
      </c>
      <c r="AT73">
        <f>AVERAGE(S_plus!BA$2:'S_plus'!BA73)</f>
        <v>113.68406773056944</v>
      </c>
      <c r="AU73">
        <f>AVERAGE(S_plus!BB$2:'S_plus'!BB73)</f>
        <v>106.25822298320419</v>
      </c>
      <c r="AV73">
        <f>AVERAGE(S_plus!BC$2:'S_plus'!BC73)</f>
        <v>112.15311329229441</v>
      </c>
      <c r="AW73">
        <f>AVERAGE(S_plus!BD$2:'S_plus'!BD73)</f>
        <v>103.80566780617082</v>
      </c>
      <c r="AX73">
        <f>AVERAGE(S_plus!BE$2:'S_plus'!BE73)</f>
        <v>95.456187046570847</v>
      </c>
      <c r="AY73">
        <f>AVERAGE(S_plus!BF$2:'S_plus'!BF73)</f>
        <v>90.097393012412482</v>
      </c>
      <c r="AZ73">
        <f>AVERAGE(S_plus!BG$2:'S_plus'!BG73)</f>
        <v>93.971087759830539</v>
      </c>
      <c r="BA73">
        <f>AVERAGE(S_plus!BH$2:'S_plus'!BH73)</f>
        <v>101.2748584902014</v>
      </c>
      <c r="BB73">
        <f>AVERAGE(S_plus!BI$2:'S_plus'!BI73)</f>
        <v>106.70815922431946</v>
      </c>
      <c r="BC73">
        <f>AVERAGE(S_plus!BJ$2:'S_plus'!BJ73)</f>
        <v>106.07440191546942</v>
      </c>
      <c r="BD73">
        <f>AVERAGE(S_plus!BK$2:'S_plus'!BK73)</f>
        <v>97.427091971004145</v>
      </c>
      <c r="BE73">
        <f>AVERAGE(S_plus!BL$2:'S_plus'!BL73)</f>
        <v>89.838139900229137</v>
      </c>
      <c r="BF73">
        <f>AVERAGE(S_plus!BM$2:'S_plus'!BM73)</f>
        <v>99.430018607258319</v>
      </c>
      <c r="BG73">
        <f>AVERAGE(S_plus!BN$2:'S_plus'!BN73)</f>
        <v>102.99748941591253</v>
      </c>
      <c r="BH73">
        <f>AVERAGE(S_plus!BO$2:'S_plus'!BO73)</f>
        <v>86.846732967947261</v>
      </c>
      <c r="BI73">
        <f>AVERAGE(S_plus!BP$2:'S_plus'!BP73)</f>
        <v>88.244109094906975</v>
      </c>
      <c r="BJ73">
        <f>AVERAGE(S_plus!BQ$2:'S_plus'!BQ73)</f>
        <v>90.794376012061065</v>
      </c>
      <c r="BK73">
        <f>AVERAGE(S_plus!BR$2:'S_plus'!BR73)</f>
        <v>107.41554517258885</v>
      </c>
      <c r="BL73">
        <f>AVERAGE(S_plus!BS$2:'S_plus'!BS73)</f>
        <v>107.73202885812915</v>
      </c>
      <c r="BM73">
        <f>AVERAGE(S_plus!BT$2:'S_plus'!BT73)</f>
        <v>109.62953724186947</v>
      </c>
      <c r="BN73">
        <f>AVERAGE(S_plus!BU$2:'S_plus'!BU73)</f>
        <v>102.00228294808194</v>
      </c>
      <c r="BO73">
        <f>AVERAGE(S_plus!BV$2:'S_plus'!BV73)</f>
        <v>91.109012701268057</v>
      </c>
      <c r="BP73">
        <f>AVERAGE(S_plus!BW$2:'S_plus'!BW73)</f>
        <v>95.432492222936062</v>
      </c>
      <c r="BQ73">
        <f>AVERAGE(S_plus!BX$2:'S_plus'!BX73)</f>
        <v>82.549729314949985</v>
      </c>
      <c r="BR73">
        <f>AVERAGE(S_plus!BY$2:'S_plus'!BY73)</f>
        <v>100.89225673218891</v>
      </c>
      <c r="BS73">
        <f>AVERAGE(S_plus!BZ$2:'S_plus'!BZ73)</f>
        <v>102.69448310171109</v>
      </c>
      <c r="BT73">
        <f>AVERAGE(S_plus!CA$2:'S_plus'!CA73)</f>
        <v>97.604244887718068</v>
      </c>
      <c r="BU73">
        <f>AVERAGE(S_plus!CB$2:'S_plus'!CB73)</f>
        <v>100.89459506380555</v>
      </c>
      <c r="BV73">
        <f>AVERAGE(S_plus!CC$2:'S_plus'!CC73)</f>
        <v>89.619524350701383</v>
      </c>
      <c r="BW73">
        <f>AVERAGE(S_plus!CD$2:'S_plus'!CD73)</f>
        <v>98.388696832056951</v>
      </c>
      <c r="BX73">
        <f>AVERAGE(S_plus!CE$2:'S_plus'!CE73)</f>
        <v>96.744136512073595</v>
      </c>
      <c r="BY73">
        <f>AVERAGE(S_plus!CF$2:'S_plus'!CF73)</f>
        <v>89.592764370548608</v>
      </c>
      <c r="BZ73">
        <f>AVERAGE(S_plus!CG$2:'S_plus'!CG73)</f>
        <v>94.791266165336111</v>
      </c>
      <c r="CA73">
        <f>AVERAGE(S_plus!CH$2:'S_plus'!CH73)</f>
        <v>116.71280030579163</v>
      </c>
      <c r="CB73">
        <f>AVERAGE(S_plus!CI$2:'S_plus'!CI73)</f>
        <v>98.20387385306114</v>
      </c>
      <c r="CC73">
        <f>AVERAGE(S_plus!CJ$2:'S_plus'!CJ73)</f>
        <v>101.40562801263472</v>
      </c>
      <c r="CD73">
        <f>AVERAGE(S_plus!CK$2:'S_plus'!CK73)</f>
        <v>92.96915640215137</v>
      </c>
      <c r="CE73">
        <f>AVERAGE(S_plus!CL$2:'S_plus'!CL73)</f>
        <v>87.217726610340321</v>
      </c>
      <c r="CF73">
        <f>AVERAGE(S_plus!CM$2:'S_plus'!CM73)</f>
        <v>95.826976392445872</v>
      </c>
      <c r="CG73">
        <f>AVERAGE(S_plus!CN$2:'S_plus'!CN73)</f>
        <v>98.051667878190273</v>
      </c>
      <c r="CH73">
        <f>AVERAGE(S_plus!CO$2:'S_plus'!CO73)</f>
        <v>124.69933086109722</v>
      </c>
      <c r="CI73">
        <f>AVERAGE(S_plus!CP$2:'S_plus'!CP73)</f>
        <v>94.015601031227774</v>
      </c>
      <c r="CJ73">
        <f>AVERAGE(S_plus!CQ$2:'S_plus'!CQ73)</f>
        <v>101.09322260515972</v>
      </c>
      <c r="CK73">
        <f>AVERAGE(S_plus!CR$2:'S_plus'!CR73)</f>
        <v>102.98255033235965</v>
      </c>
      <c r="CL73">
        <f>AVERAGE(S_plus!CS$2:'S_plus'!CS73)</f>
        <v>103.55247594049166</v>
      </c>
      <c r="CM73">
        <f>AVERAGE(S_plus!CT$2:'S_plus'!CT73)</f>
        <v>113.06356734456389</v>
      </c>
      <c r="CN73">
        <f>AVERAGE(S_plus!CU$2:'S_plus'!CU73)</f>
        <v>102.88144364123191</v>
      </c>
      <c r="CO73">
        <f>AVERAGE(S_plus!CV$2:'S_plus'!CV73)</f>
        <v>93.037427186537499</v>
      </c>
      <c r="CP73">
        <f>AVERAGE(S_plus!CW$2:'S_plus'!CW73)</f>
        <v>108.11997572777915</v>
      </c>
      <c r="CQ73">
        <f>AVERAGE(S_plus!CX$2:'S_plus'!CX73)</f>
        <v>116.16362222586946</v>
      </c>
      <c r="CR73">
        <f>AVERAGE(S_plus!CY$2:'S_plus'!CY73)</f>
        <v>105.53593562195415</v>
      </c>
      <c r="CS73">
        <f>AVERAGE(S_plus!CZ$2:'S_plus'!CZ73)</f>
        <v>107.08373807241942</v>
      </c>
      <c r="CT73">
        <f>AVERAGE(S_plus!DA$2:'S_plus'!DA73)</f>
        <v>114.60192892827779</v>
      </c>
      <c r="CU73">
        <f>AVERAGE(S_plus!DB$2:'S_plus'!DB73)</f>
        <v>86.925280303770833</v>
      </c>
      <c r="CV73">
        <f>AVERAGE(S_plus!DC$2:'S_plus'!DC73)</f>
        <v>102.05182316271808</v>
      </c>
      <c r="CW73">
        <f>AVERAGE(S_plus!DD$2:'S_plus'!DD73)</f>
        <v>92.50358760366251</v>
      </c>
      <c r="CX73">
        <f>AVERAGE(S_plus!DE$2:'S_plus'!DE73)</f>
        <v>103.27058909007911</v>
      </c>
      <c r="CY73">
        <f>AVERAGE(S_plus!DF$2:'S_plus'!DF73)</f>
        <v>88.408299178899995</v>
      </c>
      <c r="CZ73">
        <f>AVERAGE(S_plus!DG$2:'S_plus'!DG73)</f>
        <v>90.23539638083885</v>
      </c>
      <c r="DA73">
        <f>AVERAGE(S_plus!DH$2:'S_plus'!DH73)</f>
        <v>100.35300060784445</v>
      </c>
    </row>
    <row r="74" spans="5:105" x14ac:dyDescent="0.25">
      <c r="E74">
        <f>E73+Asian!dt</f>
        <v>0.72000000000000042</v>
      </c>
      <c r="F74">
        <f>AVERAGE(S_plus!M$2:'S_plus'!M74)</f>
        <v>90.703931887408231</v>
      </c>
      <c r="G74">
        <f>AVERAGE(S_plus!N$2:'S_plus'!N74)</f>
        <v>95.040723848828748</v>
      </c>
      <c r="H74">
        <f>AVERAGE(S_plus!O$2:'S_plus'!O74)</f>
        <v>105.70392735277947</v>
      </c>
      <c r="I74">
        <f>AVERAGE(S_plus!P$2:'S_plus'!P74)</f>
        <v>98.379166357878063</v>
      </c>
      <c r="J74">
        <f>AVERAGE(S_plus!Q$2:'S_plus'!Q74)</f>
        <v>84.587070291645205</v>
      </c>
      <c r="K74">
        <f>AVERAGE(S_plus!R$2:'S_plus'!R74)</f>
        <v>95.181633251135622</v>
      </c>
      <c r="L74">
        <f>AVERAGE(S_plus!S$2:'S_plus'!S74)</f>
        <v>112.84334021920546</v>
      </c>
      <c r="M74">
        <f>AVERAGE(S_plus!T$2:'S_plus'!T74)</f>
        <v>83.118357682220548</v>
      </c>
      <c r="N74">
        <f>AVERAGE(S_plus!U$2:'S_plus'!U74)</f>
        <v>111.7086076591644</v>
      </c>
      <c r="O74">
        <f>AVERAGE(S_plus!V$2:'S_plus'!V74)</f>
        <v>105.57773900990409</v>
      </c>
      <c r="P74">
        <f>AVERAGE(S_plus!W$2:'S_plus'!W74)</f>
        <v>103.89978712216852</v>
      </c>
      <c r="Q74">
        <f>AVERAGE(S_plus!X$2:'S_plus'!X74)</f>
        <v>111.87165694405479</v>
      </c>
      <c r="R74">
        <f>AVERAGE(S_plus!Y$2:'S_plus'!Y74)</f>
        <v>92.807349978632857</v>
      </c>
      <c r="S74">
        <f>AVERAGE(S_plus!Z$2:'S_plus'!Z74)</f>
        <v>107.58866146426162</v>
      </c>
      <c r="T74">
        <f>AVERAGE(S_plus!AA$2:'S_plus'!AA74)</f>
        <v>105.4400092682356</v>
      </c>
      <c r="U74">
        <f>AVERAGE(S_plus!AB$2:'S_plus'!AB74)</f>
        <v>100.01149498739727</v>
      </c>
      <c r="V74">
        <f>AVERAGE(S_plus!AC$2:'S_plus'!AC74)</f>
        <v>88.01846603662058</v>
      </c>
      <c r="W74">
        <f>AVERAGE(S_plus!AD$2:'S_plus'!AD74)</f>
        <v>97.76600298161101</v>
      </c>
      <c r="X74">
        <f>AVERAGE(S_plus!AE$2:'S_plus'!AE74)</f>
        <v>123.56409203067805</v>
      </c>
      <c r="Y74">
        <f>AVERAGE(S_plus!AF$2:'S_plus'!AF74)</f>
        <v>109.39593717012468</v>
      </c>
      <c r="Z74">
        <f>AVERAGE(S_plus!AG$2:'S_plus'!AG74)</f>
        <v>106.27272899405752</v>
      </c>
      <c r="AA74">
        <f>AVERAGE(S_plus!AH$2:'S_plus'!AH74)</f>
        <v>106.70792415877672</v>
      </c>
      <c r="AB74">
        <f>AVERAGE(S_plus!AI$2:'S_plus'!AI74)</f>
        <v>88.508165220642454</v>
      </c>
      <c r="AC74">
        <f>AVERAGE(S_plus!AJ$2:'S_plus'!AJ74)</f>
        <v>91.95075069890413</v>
      </c>
      <c r="AD74">
        <f>AVERAGE(S_plus!AK$2:'S_plus'!AK74)</f>
        <v>113.75730598789045</v>
      </c>
      <c r="AE74">
        <f>AVERAGE(S_plus!AL$2:'S_plus'!AL74)</f>
        <v>105.81880185156572</v>
      </c>
      <c r="AF74">
        <f>AVERAGE(S_plus!AM$2:'S_plus'!AM74)</f>
        <v>94.475691513982198</v>
      </c>
      <c r="AG74">
        <f>AVERAGE(S_plus!AN$2:'S_plus'!AN74)</f>
        <v>112.71541521856167</v>
      </c>
      <c r="AH74">
        <f>AVERAGE(S_plus!AO$2:'S_plus'!AO74)</f>
        <v>98.389774804612344</v>
      </c>
      <c r="AI74">
        <f>AVERAGE(S_plus!AP$2:'S_plus'!AP74)</f>
        <v>90.329951296636963</v>
      </c>
      <c r="AJ74">
        <f>AVERAGE(S_plus!AQ$2:'S_plus'!AQ74)</f>
        <v>105.89341615911782</v>
      </c>
      <c r="AK74">
        <f>AVERAGE(S_plus!AR$2:'S_plus'!AR74)</f>
        <v>100.37165898619863</v>
      </c>
      <c r="AL74">
        <f>AVERAGE(S_plus!AS$2:'S_plus'!AS74)</f>
        <v>118.08903778337398</v>
      </c>
      <c r="AM74">
        <f>AVERAGE(S_plus!AT$2:'S_plus'!AT74)</f>
        <v>92.706767585090418</v>
      </c>
      <c r="AN74">
        <f>AVERAGE(S_plus!AU$2:'S_plus'!AU74)</f>
        <v>100.63415974300548</v>
      </c>
      <c r="AO74">
        <f>AVERAGE(S_plus!AV$2:'S_plus'!AV74)</f>
        <v>108.07199990426572</v>
      </c>
      <c r="AP74">
        <f>AVERAGE(S_plus!AW$2:'S_plus'!AW74)</f>
        <v>115.44268754447941</v>
      </c>
      <c r="AQ74">
        <f>AVERAGE(S_plus!AX$2:'S_plus'!AX74)</f>
        <v>99.500481226379492</v>
      </c>
      <c r="AR74">
        <f>AVERAGE(S_plus!AY$2:'S_plus'!AY74)</f>
        <v>98.450105317641089</v>
      </c>
      <c r="AS74">
        <f>AVERAGE(S_plus!AZ$2:'S_plus'!AZ74)</f>
        <v>117.84668102886303</v>
      </c>
      <c r="AT74">
        <f>AVERAGE(S_plus!BA$2:'S_plus'!BA74)</f>
        <v>113.83815471326025</v>
      </c>
      <c r="AU74">
        <f>AVERAGE(S_plus!BB$2:'S_plus'!BB74)</f>
        <v>106.27328910707811</v>
      </c>
      <c r="AV74">
        <f>AVERAGE(S_plus!BC$2:'S_plus'!BC74)</f>
        <v>112.16579191471503</v>
      </c>
      <c r="AW74">
        <f>AVERAGE(S_plus!BD$2:'S_plus'!BD74)</f>
        <v>104.02272385941505</v>
      </c>
      <c r="AX74">
        <f>AVERAGE(S_plus!BE$2:'S_plus'!BE74)</f>
        <v>95.432590902353439</v>
      </c>
      <c r="AY74">
        <f>AVERAGE(S_plus!BF$2:'S_plus'!BF74)</f>
        <v>90.113618671598616</v>
      </c>
      <c r="AZ74">
        <f>AVERAGE(S_plus!BG$2:'S_plus'!BG74)</f>
        <v>94.022608351283537</v>
      </c>
      <c r="BA74">
        <f>AVERAGE(S_plus!BH$2:'S_plus'!BH74)</f>
        <v>101.37712514992467</v>
      </c>
      <c r="BB74">
        <f>AVERAGE(S_plus!BI$2:'S_plus'!BI74)</f>
        <v>106.71834384671234</v>
      </c>
      <c r="BC74">
        <f>AVERAGE(S_plus!BJ$2:'S_plus'!BJ74)</f>
        <v>106.22739224159999</v>
      </c>
      <c r="BD74">
        <f>AVERAGE(S_plus!BK$2:'S_plus'!BK74)</f>
        <v>97.434557316520539</v>
      </c>
      <c r="BE74">
        <f>AVERAGE(S_plus!BL$2:'S_plus'!BL74)</f>
        <v>89.652396751739701</v>
      </c>
      <c r="BF74">
        <f>AVERAGE(S_plus!BM$2:'S_plus'!BM74)</f>
        <v>99.716907739295877</v>
      </c>
      <c r="BG74">
        <f>AVERAGE(S_plus!BN$2:'S_plus'!BN74)</f>
        <v>103.15042154557126</v>
      </c>
      <c r="BH74">
        <f>AVERAGE(S_plus!BO$2:'S_plus'!BO74)</f>
        <v>86.814690127449353</v>
      </c>
      <c r="BI74">
        <f>AVERAGE(S_plus!BP$2:'S_plus'!BP74)</f>
        <v>88.109859350834284</v>
      </c>
      <c r="BJ74">
        <f>AVERAGE(S_plus!BQ$2:'S_plus'!BQ74)</f>
        <v>90.830294542425989</v>
      </c>
      <c r="BK74">
        <f>AVERAGE(S_plus!BR$2:'S_plus'!BR74)</f>
        <v>107.48443488229312</v>
      </c>
      <c r="BL74">
        <f>AVERAGE(S_plus!BS$2:'S_plus'!BS74)</f>
        <v>107.9224360399767</v>
      </c>
      <c r="BM74">
        <f>AVERAGE(S_plus!BT$2:'S_plus'!BT74)</f>
        <v>109.73752913429593</v>
      </c>
      <c r="BN74">
        <f>AVERAGE(S_plus!BU$2:'S_plus'!BU74)</f>
        <v>101.91823511991096</v>
      </c>
      <c r="BO74">
        <f>AVERAGE(S_plus!BV$2:'S_plus'!BV74)</f>
        <v>90.999720231101364</v>
      </c>
      <c r="BP74">
        <f>AVERAGE(S_plus!BW$2:'S_plus'!BW74)</f>
        <v>95.566946186443786</v>
      </c>
      <c r="BQ74">
        <f>AVERAGE(S_plus!BX$2:'S_plus'!BX74)</f>
        <v>82.434780603084917</v>
      </c>
      <c r="BR74">
        <f>AVERAGE(S_plus!BY$2:'S_plus'!BY74)</f>
        <v>100.77889758650277</v>
      </c>
      <c r="BS74">
        <f>AVERAGE(S_plus!BZ$2:'S_plus'!BZ74)</f>
        <v>102.94408115679722</v>
      </c>
      <c r="BT74">
        <f>AVERAGE(S_plus!CA$2:'S_plus'!CA74)</f>
        <v>97.457449677484945</v>
      </c>
      <c r="BU74">
        <f>AVERAGE(S_plus!CB$2:'S_plus'!CB74)</f>
        <v>100.84036092433973</v>
      </c>
      <c r="BV74">
        <f>AVERAGE(S_plus!CC$2:'S_plus'!CC74)</f>
        <v>89.432200059371226</v>
      </c>
      <c r="BW74">
        <f>AVERAGE(S_plus!CD$2:'S_plus'!CD74)</f>
        <v>98.474115590371241</v>
      </c>
      <c r="BX74">
        <f>AVERAGE(S_plus!CE$2:'S_plus'!CE74)</f>
        <v>96.450731931764366</v>
      </c>
      <c r="BY74">
        <f>AVERAGE(S_plus!CF$2:'S_plus'!CF74)</f>
        <v>89.459176476787675</v>
      </c>
      <c r="BZ74">
        <f>AVERAGE(S_plus!CG$2:'S_plus'!CG74)</f>
        <v>94.864344375961636</v>
      </c>
      <c r="CA74">
        <f>AVERAGE(S_plus!CH$2:'S_plus'!CH74)</f>
        <v>116.90251147131504</v>
      </c>
      <c r="CB74">
        <f>AVERAGE(S_plus!CI$2:'S_plus'!CI74)</f>
        <v>98.077669896526061</v>
      </c>
      <c r="CC74">
        <f>AVERAGE(S_plus!CJ$2:'S_plus'!CJ74)</f>
        <v>101.33979623032877</v>
      </c>
      <c r="CD74">
        <f>AVERAGE(S_plus!CK$2:'S_plus'!CK74)</f>
        <v>92.979881215938349</v>
      </c>
      <c r="CE74">
        <f>AVERAGE(S_plus!CL$2:'S_plus'!CL74)</f>
        <v>87.151613871050714</v>
      </c>
      <c r="CF74">
        <f>AVERAGE(S_plus!CM$2:'S_plus'!CM74)</f>
        <v>95.672784813258943</v>
      </c>
      <c r="CG74">
        <f>AVERAGE(S_plus!CN$2:'S_plus'!CN74)</f>
        <v>98.015207519842463</v>
      </c>
      <c r="CH74">
        <f>AVERAGE(S_plus!CO$2:'S_plus'!CO74)</f>
        <v>125.017626631</v>
      </c>
      <c r="CI74">
        <f>AVERAGE(S_plus!CP$2:'S_plus'!CP74)</f>
        <v>93.933045387990404</v>
      </c>
      <c r="CJ74">
        <f>AVERAGE(S_plus!CQ$2:'S_plus'!CQ74)</f>
        <v>100.9147705918233</v>
      </c>
      <c r="CK74">
        <f>AVERAGE(S_plus!CR$2:'S_plus'!CR74)</f>
        <v>102.98530467810815</v>
      </c>
      <c r="CL74">
        <f>AVERAGE(S_plus!CS$2:'S_plus'!CS74)</f>
        <v>103.48463699570411</v>
      </c>
      <c r="CM74">
        <f>AVERAGE(S_plus!CT$2:'S_plus'!CT74)</f>
        <v>113.25365020170685</v>
      </c>
      <c r="CN74">
        <f>AVERAGE(S_plus!CU$2:'S_plus'!CU74)</f>
        <v>103.05379685626984</v>
      </c>
      <c r="CO74">
        <f>AVERAGE(S_plus!CV$2:'S_plus'!CV74)</f>
        <v>92.860594320401361</v>
      </c>
      <c r="CP74">
        <f>AVERAGE(S_plus!CW$2:'S_plus'!CW74)</f>
        <v>108.10970696827532</v>
      </c>
      <c r="CQ74">
        <f>AVERAGE(S_plus!CX$2:'S_plus'!CX74)</f>
        <v>116.36205038004933</v>
      </c>
      <c r="CR74">
        <f>AVERAGE(S_plus!CY$2:'S_plus'!CY74)</f>
        <v>105.75597797399588</v>
      </c>
      <c r="CS74">
        <f>AVERAGE(S_plus!CZ$2:'S_plus'!CZ74)</f>
        <v>107.09045688989313</v>
      </c>
      <c r="CT74">
        <f>AVERAGE(S_plus!DA$2:'S_plus'!DA74)</f>
        <v>114.74578072938357</v>
      </c>
      <c r="CU74">
        <f>AVERAGE(S_plus!DB$2:'S_plus'!DB74)</f>
        <v>86.774776480391779</v>
      </c>
      <c r="CV74">
        <f>AVERAGE(S_plus!DC$2:'S_plus'!DC74)</f>
        <v>102.15737578258495</v>
      </c>
      <c r="CW74">
        <f>AVERAGE(S_plus!DD$2:'S_plus'!DD74)</f>
        <v>92.574643675012339</v>
      </c>
      <c r="CX74">
        <f>AVERAGE(S_plus!DE$2:'S_plus'!DE74)</f>
        <v>103.28114860337941</v>
      </c>
      <c r="CY74">
        <f>AVERAGE(S_plus!DF$2:'S_plus'!DF74)</f>
        <v>88.247931725880818</v>
      </c>
      <c r="CZ74">
        <f>AVERAGE(S_plus!DG$2:'S_plus'!DG74)</f>
        <v>90.157872800309562</v>
      </c>
      <c r="DA74">
        <f>AVERAGE(S_plus!DH$2:'S_plus'!DH74)</f>
        <v>100.2231430879918</v>
      </c>
    </row>
    <row r="75" spans="5:105" x14ac:dyDescent="0.25">
      <c r="E75">
        <f>E74+Asian!dt</f>
        <v>0.73000000000000043</v>
      </c>
      <c r="F75">
        <f>AVERAGE(S_plus!M$2:'S_plus'!M75)</f>
        <v>90.663491802275686</v>
      </c>
      <c r="G75">
        <f>AVERAGE(S_plus!N$2:'S_plus'!N75)</f>
        <v>95.213852384466193</v>
      </c>
      <c r="H75">
        <f>AVERAGE(S_plus!O$2:'S_plus'!O75)</f>
        <v>105.77610781187704</v>
      </c>
      <c r="I75">
        <f>AVERAGE(S_plus!P$2:'S_plus'!P75)</f>
        <v>98.387332114671608</v>
      </c>
      <c r="J75">
        <f>AVERAGE(S_plus!Q$2:'S_plus'!Q75)</f>
        <v>84.35293884635</v>
      </c>
      <c r="K75">
        <f>AVERAGE(S_plus!R$2:'S_plus'!R75)</f>
        <v>95.209857959006754</v>
      </c>
      <c r="L75">
        <f>AVERAGE(S_plus!S$2:'S_plus'!S75)</f>
        <v>112.70325457533781</v>
      </c>
      <c r="M75">
        <f>AVERAGE(S_plus!T$2:'S_plus'!T75)</f>
        <v>83.194336263535135</v>
      </c>
      <c r="N75">
        <f>AVERAGE(S_plus!U$2:'S_plus'!U75)</f>
        <v>111.79266520356757</v>
      </c>
      <c r="O75">
        <f>AVERAGE(S_plus!V$2:'S_plus'!V75)</f>
        <v>105.89622291966214</v>
      </c>
      <c r="P75">
        <f>AVERAGE(S_plus!W$2:'S_plus'!W75)</f>
        <v>103.97078798046354</v>
      </c>
      <c r="Q75">
        <f>AVERAGE(S_plus!X$2:'S_plus'!X75)</f>
        <v>112.18635360464864</v>
      </c>
      <c r="R75">
        <f>AVERAGE(S_plus!Y$2:'S_plus'!Y75)</f>
        <v>92.799307986737816</v>
      </c>
      <c r="S75">
        <f>AVERAGE(S_plus!Z$2:'S_plus'!Z75)</f>
        <v>107.47744666064862</v>
      </c>
      <c r="T75">
        <f>AVERAGE(S_plus!AA$2:'S_plus'!AA75)</f>
        <v>105.46428423190808</v>
      </c>
      <c r="U75">
        <f>AVERAGE(S_plus!AB$2:'S_plus'!AB75)</f>
        <v>100.17786605563515</v>
      </c>
      <c r="V75">
        <f>AVERAGE(S_plus!AC$2:'S_plus'!AC75)</f>
        <v>87.939073973789206</v>
      </c>
      <c r="W75">
        <f>AVERAGE(S_plus!AD$2:'S_plus'!AD75)</f>
        <v>97.911872592643292</v>
      </c>
      <c r="X75">
        <f>AVERAGE(S_plus!AE$2:'S_plus'!AE75)</f>
        <v>123.76561442315537</v>
      </c>
      <c r="Y75">
        <f>AVERAGE(S_plus!AF$2:'S_plus'!AF75)</f>
        <v>109.84833425936624</v>
      </c>
      <c r="Z75">
        <f>AVERAGE(S_plus!AG$2:'S_plus'!AG75)</f>
        <v>106.23269619888106</v>
      </c>
      <c r="AA75">
        <f>AVERAGE(S_plus!AH$2:'S_plus'!AH75)</f>
        <v>106.91671089063108</v>
      </c>
      <c r="AB75">
        <f>AVERAGE(S_plus!AI$2:'S_plus'!AI75)</f>
        <v>88.402530722732422</v>
      </c>
      <c r="AC75">
        <f>AVERAGE(S_plus!AJ$2:'S_plus'!AJ75)</f>
        <v>91.842874521128394</v>
      </c>
      <c r="AD75">
        <f>AVERAGE(S_plus!AK$2:'S_plus'!AK75)</f>
        <v>113.5384828919649</v>
      </c>
      <c r="AE75">
        <f>AVERAGE(S_plus!AL$2:'S_plus'!AL75)</f>
        <v>105.88678161605807</v>
      </c>
      <c r="AF75">
        <f>AVERAGE(S_plus!AM$2:'S_plus'!AM75)</f>
        <v>94.434714064882442</v>
      </c>
      <c r="AG75">
        <f>AVERAGE(S_plus!AN$2:'S_plus'!AN75)</f>
        <v>112.494808639173</v>
      </c>
      <c r="AH75">
        <f>AVERAGE(S_plus!AO$2:'S_plus'!AO75)</f>
        <v>98.392054391208106</v>
      </c>
      <c r="AI75">
        <f>AVERAGE(S_plus!AP$2:'S_plus'!AP75)</f>
        <v>90.37756223950268</v>
      </c>
      <c r="AJ75">
        <f>AVERAGE(S_plus!AQ$2:'S_plus'!AQ75)</f>
        <v>106.04012356692704</v>
      </c>
      <c r="AK75">
        <f>AVERAGE(S_plus!AR$2:'S_plus'!AR75)</f>
        <v>100.4157086403581</v>
      </c>
      <c r="AL75">
        <f>AVERAGE(S_plus!AS$2:'S_plus'!AS75)</f>
        <v>118.33196308604461</v>
      </c>
      <c r="AM75">
        <f>AVERAGE(S_plus!AT$2:'S_plus'!AT75)</f>
        <v>92.660550318786491</v>
      </c>
      <c r="AN75">
        <f>AVERAGE(S_plus!AU$2:'S_plus'!AU75)</f>
        <v>100.87795423438379</v>
      </c>
      <c r="AO75">
        <f>AVERAGE(S_plus!AV$2:'S_plus'!AV75)</f>
        <v>108.27496159776213</v>
      </c>
      <c r="AP75">
        <f>AVERAGE(S_plus!AW$2:'S_plus'!AW75)</f>
        <v>115.39939257110807</v>
      </c>
      <c r="AQ75">
        <f>AVERAGE(S_plus!AX$2:'S_plus'!AX75)</f>
        <v>99.511830243009499</v>
      </c>
      <c r="AR75">
        <f>AVERAGE(S_plus!AY$2:'S_plus'!AY75)</f>
        <v>98.428897499686485</v>
      </c>
      <c r="AS75">
        <f>AVERAGE(S_plus!AZ$2:'S_plus'!AZ75)</f>
        <v>117.93109649885136</v>
      </c>
      <c r="AT75">
        <f>AVERAGE(S_plus!BA$2:'S_plus'!BA75)</f>
        <v>113.96894003697294</v>
      </c>
      <c r="AU75">
        <f>AVERAGE(S_plus!BB$2:'S_plus'!BB75)</f>
        <v>106.25678173565814</v>
      </c>
      <c r="AV75">
        <f>AVERAGE(S_plus!BC$2:'S_plus'!BC75)</f>
        <v>112.19166987047565</v>
      </c>
      <c r="AW75">
        <f>AVERAGE(S_plus!BD$2:'S_plus'!BD75)</f>
        <v>104.22812093954458</v>
      </c>
      <c r="AX75">
        <f>AVERAGE(S_plus!BE$2:'S_plus'!BE75)</f>
        <v>95.449433835735135</v>
      </c>
      <c r="AY75">
        <f>AVERAGE(S_plus!BF$2:'S_plus'!BF75)</f>
        <v>90.074899250147283</v>
      </c>
      <c r="AZ75">
        <f>AVERAGE(S_plus!BG$2:'S_plus'!BG75)</f>
        <v>94.059180148017546</v>
      </c>
      <c r="BA75">
        <f>AVERAGE(S_plus!BH$2:'S_plus'!BH75)</f>
        <v>101.50326565903379</v>
      </c>
      <c r="BB75">
        <f>AVERAGE(S_plus!BI$2:'S_plus'!BI75)</f>
        <v>106.72494957050002</v>
      </c>
      <c r="BC75">
        <f>AVERAGE(S_plus!BJ$2:'S_plus'!BJ75)</f>
        <v>106.37702318972701</v>
      </c>
      <c r="BD75">
        <f>AVERAGE(S_plus!BK$2:'S_plus'!BK75)</f>
        <v>97.430499079140532</v>
      </c>
      <c r="BE75">
        <f>AVERAGE(S_plus!BL$2:'S_plus'!BL75)</f>
        <v>89.480798393301328</v>
      </c>
      <c r="BF75">
        <f>AVERAGE(S_plus!BM$2:'S_plus'!BM75)</f>
        <v>100.02058910908917</v>
      </c>
      <c r="BG75">
        <f>AVERAGE(S_plus!BN$2:'S_plus'!BN75)</f>
        <v>103.25387125464462</v>
      </c>
      <c r="BH75">
        <f>AVERAGE(S_plus!BO$2:'S_plus'!BO75)</f>
        <v>86.793373343337876</v>
      </c>
      <c r="BI75">
        <f>AVERAGE(S_plus!BP$2:'S_plus'!BP75)</f>
        <v>87.952066975143282</v>
      </c>
      <c r="BJ75">
        <f>AVERAGE(S_plus!BQ$2:'S_plus'!BQ75)</f>
        <v>90.88628342001077</v>
      </c>
      <c r="BK75">
        <f>AVERAGE(S_plus!BR$2:'S_plus'!BR75)</f>
        <v>107.58920426792429</v>
      </c>
      <c r="BL75">
        <f>AVERAGE(S_plus!BS$2:'S_plus'!BS75)</f>
        <v>108.0613715089635</v>
      </c>
      <c r="BM75">
        <f>AVERAGE(S_plus!BT$2:'S_plus'!BT75)</f>
        <v>109.82988791833246</v>
      </c>
      <c r="BN75">
        <f>AVERAGE(S_plus!BU$2:'S_plus'!BU75)</f>
        <v>101.7807457691662</v>
      </c>
      <c r="BO75">
        <f>AVERAGE(S_plus!BV$2:'S_plus'!BV75)</f>
        <v>90.882442557122971</v>
      </c>
      <c r="BP75">
        <f>AVERAGE(S_plus!BW$2:'S_plus'!BW75)</f>
        <v>95.74610641954591</v>
      </c>
      <c r="BQ75">
        <f>AVERAGE(S_plus!BX$2:'S_plus'!BX75)</f>
        <v>82.327517604086481</v>
      </c>
      <c r="BR75">
        <f>AVERAGE(S_plus!BY$2:'S_plus'!BY75)</f>
        <v>100.61094441620543</v>
      </c>
      <c r="BS75">
        <f>AVERAGE(S_plus!BZ$2:'S_plus'!BZ75)</f>
        <v>103.24110632639456</v>
      </c>
      <c r="BT75">
        <f>AVERAGE(S_plus!CA$2:'S_plus'!CA75)</f>
        <v>97.321481714758136</v>
      </c>
      <c r="BU75">
        <f>AVERAGE(S_plus!CB$2:'S_plus'!CB75)</f>
        <v>100.8434558173892</v>
      </c>
      <c r="BV75">
        <f>AVERAGE(S_plus!CC$2:'S_plus'!CC75)</f>
        <v>89.227009789133774</v>
      </c>
      <c r="BW75">
        <f>AVERAGE(S_plus!CD$2:'S_plus'!CD75)</f>
        <v>98.563548850460805</v>
      </c>
      <c r="BX75">
        <f>AVERAGE(S_plus!CE$2:'S_plus'!CE75)</f>
        <v>96.179476395567548</v>
      </c>
      <c r="BY75">
        <f>AVERAGE(S_plus!CF$2:'S_plus'!CF75)</f>
        <v>89.312457098722973</v>
      </c>
      <c r="BZ75">
        <f>AVERAGE(S_plus!CG$2:'S_plus'!CG75)</f>
        <v>94.969575377543237</v>
      </c>
      <c r="CA75">
        <f>AVERAGE(S_plus!CH$2:'S_plus'!CH75)</f>
        <v>116.99259464545943</v>
      </c>
      <c r="CB75">
        <f>AVERAGE(S_plus!CI$2:'S_plus'!CI75)</f>
        <v>97.984599186332474</v>
      </c>
      <c r="CC75">
        <f>AVERAGE(S_plus!CJ$2:'S_plus'!CJ75)</f>
        <v>101.28619744047296</v>
      </c>
      <c r="CD75">
        <f>AVERAGE(S_plus!CK$2:'S_plus'!CK75)</f>
        <v>93.001288236218912</v>
      </c>
      <c r="CE75">
        <f>AVERAGE(S_plus!CL$2:'S_plus'!CL75)</f>
        <v>87.094498217491918</v>
      </c>
      <c r="CF75">
        <f>AVERAGE(S_plus!CM$2:'S_plus'!CM75)</f>
        <v>95.533626828524362</v>
      </c>
      <c r="CG75">
        <f>AVERAGE(S_plus!CN$2:'S_plus'!CN75)</f>
        <v>98.006344227812164</v>
      </c>
      <c r="CH75">
        <f>AVERAGE(S_plus!CO$2:'S_plus'!CO75)</f>
        <v>125.3224499195946</v>
      </c>
      <c r="CI75">
        <f>AVERAGE(S_plus!CP$2:'S_plus'!CP75)</f>
        <v>93.844132988648639</v>
      </c>
      <c r="CJ75">
        <f>AVERAGE(S_plus!CQ$2:'S_plus'!CQ75)</f>
        <v>100.71370483362568</v>
      </c>
      <c r="CK75">
        <f>AVERAGE(S_plus!CR$2:'S_plus'!CR75)</f>
        <v>102.93854025844047</v>
      </c>
      <c r="CL75">
        <f>AVERAGE(S_plus!CS$2:'S_plus'!CS75)</f>
        <v>103.4101355355</v>
      </c>
      <c r="CM75">
        <f>AVERAGE(S_plus!CT$2:'S_plus'!CT75)</f>
        <v>113.43376925856215</v>
      </c>
      <c r="CN75">
        <f>AVERAGE(S_plus!CU$2:'S_plus'!CU75)</f>
        <v>103.18618797504998</v>
      </c>
      <c r="CO75">
        <f>AVERAGE(S_plus!CV$2:'S_plus'!CV75)</f>
        <v>92.738711922331078</v>
      </c>
      <c r="CP75">
        <f>AVERAGE(S_plus!CW$2:'S_plus'!CW75)</f>
        <v>108.04854793128511</v>
      </c>
      <c r="CQ75">
        <f>AVERAGE(S_plus!CX$2:'S_plus'!CX75)</f>
        <v>116.53809858044056</v>
      </c>
      <c r="CR75">
        <f>AVERAGE(S_plus!CY$2:'S_plus'!CY75)</f>
        <v>105.97648869626622</v>
      </c>
      <c r="CS75">
        <f>AVERAGE(S_plus!CZ$2:'S_plus'!CZ75)</f>
        <v>107.11233207698918</v>
      </c>
      <c r="CT75">
        <f>AVERAGE(S_plus!DA$2:'S_plus'!DA75)</f>
        <v>114.90479431555404</v>
      </c>
      <c r="CU75">
        <f>AVERAGE(S_plus!DB$2:'S_plus'!DB75)</f>
        <v>86.661645810275672</v>
      </c>
      <c r="CV75">
        <f>AVERAGE(S_plus!DC$2:'S_plus'!DC75)</f>
        <v>102.28540463759057</v>
      </c>
      <c r="CW75">
        <f>AVERAGE(S_plus!DD$2:'S_plus'!DD75)</f>
        <v>92.658499051806771</v>
      </c>
      <c r="CX75">
        <f>AVERAGE(S_plus!DE$2:'S_plus'!DE75)</f>
        <v>103.28321806384724</v>
      </c>
      <c r="CY75">
        <f>AVERAGE(S_plus!DF$2:'S_plus'!DF75)</f>
        <v>88.108150562422964</v>
      </c>
      <c r="CZ75">
        <f>AVERAGE(S_plus!DG$2:'S_plus'!DG75)</f>
        <v>90.073820274997274</v>
      </c>
      <c r="DA75">
        <f>AVERAGE(S_plus!DH$2:'S_plus'!DH75)</f>
        <v>100.09182183901623</v>
      </c>
    </row>
    <row r="76" spans="5:105" x14ac:dyDescent="0.25">
      <c r="E76">
        <f>E75+Asian!dt</f>
        <v>0.74000000000000044</v>
      </c>
      <c r="F76">
        <f>AVERAGE(S_plus!M$2:'S_plus'!M76)</f>
        <v>90.629549899112007</v>
      </c>
      <c r="G76">
        <f>AVERAGE(S_plus!N$2:'S_plus'!N76)</f>
        <v>95.410246622046643</v>
      </c>
      <c r="H76">
        <f>AVERAGE(S_plus!O$2:'S_plus'!O76)</f>
        <v>105.81482317119868</v>
      </c>
      <c r="I76">
        <f>AVERAGE(S_plus!P$2:'S_plus'!P76)</f>
        <v>98.373845997549324</v>
      </c>
      <c r="J76">
        <f>AVERAGE(S_plus!Q$2:'S_plus'!Q76)</f>
        <v>84.110293360380012</v>
      </c>
      <c r="K76">
        <f>AVERAGE(S_plus!R$2:'S_plus'!R76)</f>
        <v>95.221446179729327</v>
      </c>
      <c r="L76">
        <f>AVERAGE(S_plus!S$2:'S_plus'!S76)</f>
        <v>112.57735219874664</v>
      </c>
      <c r="M76">
        <f>AVERAGE(S_plus!T$2:'S_plus'!T76)</f>
        <v>83.267898881998661</v>
      </c>
      <c r="N76">
        <f>AVERAGE(S_plus!U$2:'S_plus'!U76)</f>
        <v>111.8874591404</v>
      </c>
      <c r="O76">
        <f>AVERAGE(S_plus!V$2:'S_plus'!V76)</f>
        <v>106.19496675766665</v>
      </c>
      <c r="P76">
        <f>AVERAGE(S_plus!W$2:'S_plus'!W76)</f>
        <v>104.03666723324402</v>
      </c>
      <c r="Q76">
        <f>AVERAGE(S_plus!X$2:'S_plus'!X76)</f>
        <v>112.47452340390667</v>
      </c>
      <c r="R76">
        <f>AVERAGE(S_plus!Y$2:'S_plus'!Y76)</f>
        <v>92.803725701643984</v>
      </c>
      <c r="S76">
        <f>AVERAGE(S_plus!Z$2:'S_plus'!Z76)</f>
        <v>107.37128878234665</v>
      </c>
      <c r="T76">
        <f>AVERAGE(S_plus!AA$2:'S_plus'!AA76)</f>
        <v>105.49495076200265</v>
      </c>
      <c r="U76">
        <f>AVERAGE(S_plus!AB$2:'S_plus'!AB76)</f>
        <v>100.33104143848001</v>
      </c>
      <c r="V76">
        <f>AVERAGE(S_plus!AC$2:'S_plus'!AC76)</f>
        <v>87.878329452433348</v>
      </c>
      <c r="W76">
        <f>AVERAGE(S_plus!AD$2:'S_plus'!AD76)</f>
        <v>98.044166919954705</v>
      </c>
      <c r="X76">
        <f>AVERAGE(S_plus!AE$2:'S_plus'!AE76)</f>
        <v>123.93776722816663</v>
      </c>
      <c r="Y76">
        <f>AVERAGE(S_plus!AF$2:'S_plus'!AF76)</f>
        <v>110.2423401867747</v>
      </c>
      <c r="Z76">
        <f>AVERAGE(S_plus!AG$2:'S_plus'!AG76)</f>
        <v>106.23333584674931</v>
      </c>
      <c r="AA76">
        <f>AVERAGE(S_plus!AH$2:'S_plus'!AH76)</f>
        <v>107.04381209128934</v>
      </c>
      <c r="AB76">
        <f>AVERAGE(S_plus!AI$2:'S_plus'!AI76)</f>
        <v>88.313045962566662</v>
      </c>
      <c r="AC76">
        <f>AVERAGE(S_plus!AJ$2:'S_plus'!AJ76)</f>
        <v>91.77485197720668</v>
      </c>
      <c r="AD76">
        <f>AVERAGE(S_plus!AK$2:'S_plus'!AK76)</f>
        <v>113.32416011101472</v>
      </c>
      <c r="AE76">
        <f>AVERAGE(S_plus!AL$2:'S_plus'!AL76)</f>
        <v>105.94931755964397</v>
      </c>
      <c r="AF76">
        <f>AVERAGE(S_plus!AM$2:'S_plus'!AM76)</f>
        <v>94.424381708480013</v>
      </c>
      <c r="AG76">
        <f>AVERAGE(S_plus!AN$2:'S_plus'!AN76)</f>
        <v>112.26232262974801</v>
      </c>
      <c r="AH76">
        <f>AVERAGE(S_plus!AO$2:'S_plus'!AO76)</f>
        <v>98.416588683312</v>
      </c>
      <c r="AI76">
        <f>AVERAGE(S_plus!AP$2:'S_plus'!AP76)</f>
        <v>90.445275617145313</v>
      </c>
      <c r="AJ76">
        <f>AVERAGE(S_plus!AQ$2:'S_plus'!AQ76)</f>
        <v>106.15510852215468</v>
      </c>
      <c r="AK76">
        <f>AVERAGE(S_plus!AR$2:'S_plus'!AR76)</f>
        <v>100.44293239775334</v>
      </c>
      <c r="AL76">
        <f>AVERAGE(S_plus!AS$2:'S_plus'!AS76)</f>
        <v>118.58790189696403</v>
      </c>
      <c r="AM76">
        <f>AVERAGE(S_plus!AT$2:'S_plus'!AT76)</f>
        <v>92.621955573798672</v>
      </c>
      <c r="AN76">
        <f>AVERAGE(S_plus!AU$2:'S_plus'!AU76)</f>
        <v>101.15895640240534</v>
      </c>
      <c r="AO76">
        <f>AVERAGE(S_plus!AV$2:'S_plus'!AV76)</f>
        <v>108.52743359241863</v>
      </c>
      <c r="AP76">
        <f>AVERAGE(S_plus!AW$2:'S_plus'!AW76)</f>
        <v>115.40182962629331</v>
      </c>
      <c r="AQ76">
        <f>AVERAGE(S_plus!AX$2:'S_plus'!AX76)</f>
        <v>99.518914023356047</v>
      </c>
      <c r="AR76">
        <f>AVERAGE(S_plus!AY$2:'S_plus'!AY76)</f>
        <v>98.390330857414668</v>
      </c>
      <c r="AS76">
        <f>AVERAGE(S_plus!AZ$2:'S_plus'!AZ76)</f>
        <v>117.96732991480002</v>
      </c>
      <c r="AT76">
        <f>AVERAGE(S_plus!BA$2:'S_plus'!BA76)</f>
        <v>114.10528647101332</v>
      </c>
      <c r="AU76">
        <f>AVERAGE(S_plus!BB$2:'S_plus'!BB76)</f>
        <v>106.27730050511603</v>
      </c>
      <c r="AV76">
        <f>AVERAGE(S_plus!BC$2:'S_plus'!BC76)</f>
        <v>112.20554000730932</v>
      </c>
      <c r="AW76">
        <f>AVERAGE(S_plus!BD$2:'S_plus'!BD76)</f>
        <v>104.42156699261731</v>
      </c>
      <c r="AX76">
        <f>AVERAGE(S_plus!BE$2:'S_plus'!BE76)</f>
        <v>95.475700418152016</v>
      </c>
      <c r="AY76">
        <f>AVERAGE(S_plus!BF$2:'S_plus'!BF76)</f>
        <v>90.013571942759981</v>
      </c>
      <c r="AZ76">
        <f>AVERAGE(S_plus!BG$2:'S_plus'!BG76)</f>
        <v>94.080131632334641</v>
      </c>
      <c r="BA76">
        <f>AVERAGE(S_plus!BH$2:'S_plus'!BH76)</f>
        <v>101.63527835735333</v>
      </c>
      <c r="BB76">
        <f>AVERAGE(S_plus!BI$2:'S_plus'!BI76)</f>
        <v>106.77113368978668</v>
      </c>
      <c r="BC76">
        <f>AVERAGE(S_plus!BJ$2:'S_plus'!BJ76)</f>
        <v>106.51339105717064</v>
      </c>
      <c r="BD76">
        <f>AVERAGE(S_plus!BK$2:'S_plus'!BK76)</f>
        <v>97.462777234175988</v>
      </c>
      <c r="BE76">
        <f>AVERAGE(S_plus!BL$2:'S_plus'!BL76)</f>
        <v>89.297754150374644</v>
      </c>
      <c r="BF76">
        <f>AVERAGE(S_plus!BM$2:'S_plus'!BM76)</f>
        <v>100.29140978666132</v>
      </c>
      <c r="BG76">
        <f>AVERAGE(S_plus!BN$2:'S_plus'!BN76)</f>
        <v>103.35474635322271</v>
      </c>
      <c r="BH76">
        <f>AVERAGE(S_plus!BO$2:'S_plus'!BO76)</f>
        <v>86.769660366577369</v>
      </c>
      <c r="BI76">
        <f>AVERAGE(S_plus!BP$2:'S_plus'!BP76)</f>
        <v>87.818822820065378</v>
      </c>
      <c r="BJ76">
        <f>AVERAGE(S_plus!BQ$2:'S_plus'!BQ76)</f>
        <v>90.993495144687955</v>
      </c>
      <c r="BK76">
        <f>AVERAGE(S_plus!BR$2:'S_plus'!BR76)</f>
        <v>107.65385882439196</v>
      </c>
      <c r="BL76">
        <f>AVERAGE(S_plus!BS$2:'S_plus'!BS76)</f>
        <v>108.17987580392398</v>
      </c>
      <c r="BM76">
        <f>AVERAGE(S_plus!BT$2:'S_plus'!BT76)</f>
        <v>109.95978415716803</v>
      </c>
      <c r="BN76">
        <f>AVERAGE(S_plus!BU$2:'S_plus'!BU76)</f>
        <v>101.64581357944665</v>
      </c>
      <c r="BO76">
        <f>AVERAGE(S_plus!BV$2:'S_plus'!BV76)</f>
        <v>90.755616179895995</v>
      </c>
      <c r="BP76">
        <f>AVERAGE(S_plus!BW$2:'S_plus'!BW76)</f>
        <v>95.904690442991964</v>
      </c>
      <c r="BQ76">
        <f>AVERAGE(S_plus!BX$2:'S_plus'!BX76)</f>
        <v>82.205931373827994</v>
      </c>
      <c r="BR76">
        <f>AVERAGE(S_plus!BY$2:'S_plus'!BY76)</f>
        <v>100.43134408109336</v>
      </c>
      <c r="BS76">
        <f>AVERAGE(S_plus!BZ$2:'S_plus'!BZ76)</f>
        <v>103.5244506852293</v>
      </c>
      <c r="BT76">
        <f>AVERAGE(S_plus!CA$2:'S_plus'!CA76)</f>
        <v>97.177994351596027</v>
      </c>
      <c r="BU76">
        <f>AVERAGE(S_plus!CB$2:'S_plus'!CB76)</f>
        <v>100.86060820365067</v>
      </c>
      <c r="BV76">
        <f>AVERAGE(S_plus!CC$2:'S_plus'!CC76)</f>
        <v>88.995946588187991</v>
      </c>
      <c r="BW76">
        <f>AVERAGE(S_plus!CD$2:'S_plus'!CD76)</f>
        <v>98.698918269627995</v>
      </c>
      <c r="BX76">
        <f>AVERAGE(S_plus!CE$2:'S_plus'!CE76)</f>
        <v>95.936921597647981</v>
      </c>
      <c r="BY76">
        <f>AVERAGE(S_plus!CF$2:'S_plus'!CF76)</f>
        <v>89.171340854320007</v>
      </c>
      <c r="BZ76">
        <f>AVERAGE(S_plus!CG$2:'S_plus'!CG76)</f>
        <v>95.116563008135998</v>
      </c>
      <c r="CA76">
        <f>AVERAGE(S_plus!CH$2:'S_plus'!CH76)</f>
        <v>117.08471611490664</v>
      </c>
      <c r="CB76">
        <f>AVERAGE(S_plus!CI$2:'S_plus'!CI76)</f>
        <v>97.899536388509375</v>
      </c>
      <c r="CC76">
        <f>AVERAGE(S_plus!CJ$2:'S_plus'!CJ76)</f>
        <v>101.26622128862134</v>
      </c>
      <c r="CD76">
        <f>AVERAGE(S_plus!CK$2:'S_plus'!CK76)</f>
        <v>93.044020645429327</v>
      </c>
      <c r="CE76">
        <f>AVERAGE(S_plus!CL$2:'S_plus'!CL76)</f>
        <v>87.066283823845353</v>
      </c>
      <c r="CF76">
        <f>AVERAGE(S_plus!CM$2:'S_plus'!CM76)</f>
        <v>95.414096009756037</v>
      </c>
      <c r="CG76">
        <f>AVERAGE(S_plus!CN$2:'S_plus'!CN76)</f>
        <v>98.035829870667996</v>
      </c>
      <c r="CH76">
        <f>AVERAGE(S_plus!CO$2:'S_plus'!CO76)</f>
        <v>125.58271628617334</v>
      </c>
      <c r="CI76">
        <f>AVERAGE(S_plus!CP$2:'S_plus'!CP76)</f>
        <v>93.746181217045333</v>
      </c>
      <c r="CJ76">
        <f>AVERAGE(S_plus!CQ$2:'S_plus'!CQ76)</f>
        <v>100.50983980859468</v>
      </c>
      <c r="CK76">
        <f>AVERAGE(S_plus!CR$2:'S_plus'!CR76)</f>
        <v>102.86624074669326</v>
      </c>
      <c r="CL76">
        <f>AVERAGE(S_plus!CS$2:'S_plus'!CS76)</f>
        <v>103.32581536157467</v>
      </c>
      <c r="CM76">
        <f>AVERAGE(S_plus!CT$2:'S_plus'!CT76)</f>
        <v>113.605046011128</v>
      </c>
      <c r="CN76">
        <f>AVERAGE(S_plus!CU$2:'S_plus'!CU76)</f>
        <v>103.28076236802264</v>
      </c>
      <c r="CO76">
        <f>AVERAGE(S_plus!CV$2:'S_plus'!CV76)</f>
        <v>92.633852279427998</v>
      </c>
      <c r="CP76">
        <f>AVERAGE(S_plus!CW$2:'S_plus'!CW76)</f>
        <v>107.97953222994796</v>
      </c>
      <c r="CQ76">
        <f>AVERAGE(S_plus!CX$2:'S_plus'!CX76)</f>
        <v>116.7449311851947</v>
      </c>
      <c r="CR76">
        <f>AVERAGE(S_plus!CY$2:'S_plus'!CY76)</f>
        <v>106.18511298287599</v>
      </c>
      <c r="CS76">
        <f>AVERAGE(S_plus!CZ$2:'S_plus'!CZ76)</f>
        <v>107.10747341148266</v>
      </c>
      <c r="CT76">
        <f>AVERAGE(S_plus!DA$2:'S_plus'!DA76)</f>
        <v>115.09417917806665</v>
      </c>
      <c r="CU76">
        <f>AVERAGE(S_plus!DB$2:'S_plus'!DB76)</f>
        <v>86.568289055785328</v>
      </c>
      <c r="CV76">
        <f>AVERAGE(S_plus!DC$2:'S_plus'!DC76)</f>
        <v>102.3860258190627</v>
      </c>
      <c r="CW76">
        <f>AVERAGE(S_plus!DD$2:'S_plus'!DD76)</f>
        <v>92.74442158674934</v>
      </c>
      <c r="CX76">
        <f>AVERAGE(S_plus!DE$2:'S_plus'!DE76)</f>
        <v>103.32011203855595</v>
      </c>
      <c r="CY76">
        <f>AVERAGE(S_plus!DF$2:'S_plus'!DF76)</f>
        <v>87.97856317919333</v>
      </c>
      <c r="CZ76">
        <f>AVERAGE(S_plus!DG$2:'S_plus'!DG76)</f>
        <v>90.016814625059979</v>
      </c>
      <c r="DA76">
        <f>AVERAGE(S_plus!DH$2:'S_plus'!DH76)</f>
        <v>99.953750632381343</v>
      </c>
    </row>
    <row r="77" spans="5:105" x14ac:dyDescent="0.25">
      <c r="E77">
        <f>E76+Asian!dt</f>
        <v>0.75000000000000044</v>
      </c>
      <c r="F77">
        <f>AVERAGE(S_plus!M$2:'S_plus'!M77)</f>
        <v>90.592901636305271</v>
      </c>
      <c r="G77">
        <f>AVERAGE(S_plus!N$2:'S_plus'!N77)</f>
        <v>95.579023882177609</v>
      </c>
      <c r="H77">
        <f>AVERAGE(S_plus!O$2:'S_plus'!O77)</f>
        <v>105.83143520211712</v>
      </c>
      <c r="I77">
        <f>AVERAGE(S_plus!P$2:'S_plus'!P77)</f>
        <v>98.343436215078938</v>
      </c>
      <c r="J77">
        <f>AVERAGE(S_plus!Q$2:'S_plus'!Q77)</f>
        <v>83.870306903492107</v>
      </c>
      <c r="K77">
        <f>AVERAGE(S_plus!R$2:'S_plus'!R77)</f>
        <v>95.21709308887894</v>
      </c>
      <c r="L77">
        <f>AVERAGE(S_plus!S$2:'S_plus'!S77)</f>
        <v>112.42914955788156</v>
      </c>
      <c r="M77">
        <f>AVERAGE(S_plus!T$2:'S_plus'!T77)</f>
        <v>83.355678883171052</v>
      </c>
      <c r="N77">
        <f>AVERAGE(S_plus!U$2:'S_plus'!U77)</f>
        <v>111.94719104682893</v>
      </c>
      <c r="O77">
        <f>AVERAGE(S_plus!V$2:'S_plus'!V77)</f>
        <v>106.4524481220263</v>
      </c>
      <c r="P77">
        <f>AVERAGE(S_plus!W$2:'S_plus'!W77)</f>
        <v>104.08906269263554</v>
      </c>
      <c r="Q77">
        <f>AVERAGE(S_plus!X$2:'S_plus'!X77)</f>
        <v>112.78974433980262</v>
      </c>
      <c r="R77">
        <f>AVERAGE(S_plus!Y$2:'S_plus'!Y77)</f>
        <v>92.785855366414467</v>
      </c>
      <c r="S77">
        <f>AVERAGE(S_plus!Z$2:'S_plus'!Z77)</f>
        <v>107.23622607452761</v>
      </c>
      <c r="T77">
        <f>AVERAGE(S_plus!AA$2:'S_plus'!AA77)</f>
        <v>105.53204815684471</v>
      </c>
      <c r="U77">
        <f>AVERAGE(S_plus!AB$2:'S_plus'!AB77)</f>
        <v>100.49416259085528</v>
      </c>
      <c r="V77">
        <f>AVERAGE(S_plus!AC$2:'S_plus'!AC77)</f>
        <v>87.84807285709212</v>
      </c>
      <c r="W77">
        <f>AVERAGE(S_plus!AD$2:'S_plus'!AD77)</f>
        <v>98.124980339494769</v>
      </c>
      <c r="X77">
        <f>AVERAGE(S_plus!AE$2:'S_plus'!AE77)</f>
        <v>124.11176639992759</v>
      </c>
      <c r="Y77">
        <f>AVERAGE(S_plus!AF$2:'S_plus'!AF77)</f>
        <v>110.63885865594871</v>
      </c>
      <c r="Z77">
        <f>AVERAGE(S_plus!AG$2:'S_plus'!AG77)</f>
        <v>106.2102227708184</v>
      </c>
      <c r="AA77">
        <f>AVERAGE(S_plus!AH$2:'S_plus'!AH77)</f>
        <v>107.114228704325</v>
      </c>
      <c r="AB77">
        <f>AVERAGE(S_plus!AI$2:'S_plus'!AI77)</f>
        <v>88.26336825137632</v>
      </c>
      <c r="AC77">
        <f>AVERAGE(S_plus!AJ$2:'S_plus'!AJ77)</f>
        <v>91.696464100273701</v>
      </c>
      <c r="AD77">
        <f>AVERAGE(S_plus!AK$2:'S_plus'!AK77)</f>
        <v>113.10481381457767</v>
      </c>
      <c r="AE77">
        <f>AVERAGE(S_plus!AL$2:'S_plus'!AL77)</f>
        <v>106.01119575905655</v>
      </c>
      <c r="AF77">
        <f>AVERAGE(S_plus!AM$2:'S_plus'!AM77)</f>
        <v>94.414832153925005</v>
      </c>
      <c r="AG77">
        <f>AVERAGE(S_plus!AN$2:'S_plus'!AN77)</f>
        <v>112.08215516513292</v>
      </c>
      <c r="AH77">
        <f>AVERAGE(S_plus!AO$2:'S_plus'!AO77)</f>
        <v>98.478642785715792</v>
      </c>
      <c r="AI77">
        <f>AVERAGE(S_plus!AP$2:'S_plus'!AP77)</f>
        <v>90.493395599047332</v>
      </c>
      <c r="AJ77">
        <f>AVERAGE(S_plus!AQ$2:'S_plus'!AQ77)</f>
        <v>106.29223513381054</v>
      </c>
      <c r="AK77">
        <f>AVERAGE(S_plus!AR$2:'S_plus'!AR77)</f>
        <v>100.46314173991448</v>
      </c>
      <c r="AL77">
        <f>AVERAGE(S_plus!AS$2:'S_plus'!AS77)</f>
        <v>118.83744118916188</v>
      </c>
      <c r="AM77">
        <f>AVERAGE(S_plus!AT$2:'S_plus'!AT77)</f>
        <v>92.606317787839487</v>
      </c>
      <c r="AN77">
        <f>AVERAGE(S_plus!AU$2:'S_plus'!AU77)</f>
        <v>101.41753653111053</v>
      </c>
      <c r="AO77">
        <f>AVERAGE(S_plus!AV$2:'S_plus'!AV77)</f>
        <v>108.80002851768943</v>
      </c>
      <c r="AP77">
        <f>AVERAGE(S_plus!AW$2:'S_plus'!AW77)</f>
        <v>115.41152765846049</v>
      </c>
      <c r="AQ77">
        <f>AVERAGE(S_plus!AX$2:'S_plus'!AX77)</f>
        <v>99.560037284325048</v>
      </c>
      <c r="AR77">
        <f>AVERAGE(S_plus!AY$2:'S_plus'!AY77)</f>
        <v>98.309455510346055</v>
      </c>
      <c r="AS77">
        <f>AVERAGE(S_plus!AZ$2:'S_plus'!AZ77)</f>
        <v>118.0073767129737</v>
      </c>
      <c r="AT77">
        <f>AVERAGE(S_plus!BA$2:'S_plus'!BA77)</f>
        <v>114.24128454615787</v>
      </c>
      <c r="AU77">
        <f>AVERAGE(S_plus!BB$2:'S_plus'!BB77)</f>
        <v>106.30127010269344</v>
      </c>
      <c r="AV77">
        <f>AVERAGE(S_plus!BC$2:'S_plus'!BC77)</f>
        <v>112.26941137093682</v>
      </c>
      <c r="AW77">
        <f>AVERAGE(S_plus!BD$2:'S_plus'!BD77)</f>
        <v>104.58740006717498</v>
      </c>
      <c r="AX77">
        <f>AVERAGE(S_plus!BE$2:'S_plus'!BE77)</f>
        <v>95.49891368985395</v>
      </c>
      <c r="AY77">
        <f>AVERAGE(S_plus!BF$2:'S_plus'!BF77)</f>
        <v>89.971265083973663</v>
      </c>
      <c r="AZ77">
        <f>AVERAGE(S_plus!BG$2:'S_plus'!BG77)</f>
        <v>94.078328630715774</v>
      </c>
      <c r="BA77">
        <f>AVERAGE(S_plus!BH$2:'S_plus'!BH77)</f>
        <v>101.71302218907238</v>
      </c>
      <c r="BB77">
        <f>AVERAGE(S_plus!BI$2:'S_plus'!BI77)</f>
        <v>106.77769227998685</v>
      </c>
      <c r="BC77">
        <f>AVERAGE(S_plus!BJ$2:'S_plus'!BJ77)</f>
        <v>106.64271513929998</v>
      </c>
      <c r="BD77">
        <f>AVERAGE(S_plus!BK$2:'S_plus'!BK77)</f>
        <v>97.487105053938151</v>
      </c>
      <c r="BE77">
        <f>AVERAGE(S_plus!BL$2:'S_plus'!BL77)</f>
        <v>89.092205421907877</v>
      </c>
      <c r="BF77">
        <f>AVERAGE(S_plus!BM$2:'S_plus'!BM77)</f>
        <v>100.57788185241577</v>
      </c>
      <c r="BG77">
        <f>AVERAGE(S_plus!BN$2:'S_plus'!BN77)</f>
        <v>103.47157194114082</v>
      </c>
      <c r="BH77">
        <f>AVERAGE(S_plus!BO$2:'S_plus'!BO77)</f>
        <v>86.736226959409251</v>
      </c>
      <c r="BI77">
        <f>AVERAGE(S_plus!BP$2:'S_plus'!BP77)</f>
        <v>87.692670070561874</v>
      </c>
      <c r="BJ77">
        <f>AVERAGE(S_plus!BQ$2:'S_plus'!BQ77)</f>
        <v>91.107284143413111</v>
      </c>
      <c r="BK77">
        <f>AVERAGE(S_plus!BR$2:'S_plus'!BR77)</f>
        <v>107.70599243582102</v>
      </c>
      <c r="BL77">
        <f>AVERAGE(S_plus!BS$2:'S_plus'!BS77)</f>
        <v>108.26954970359604</v>
      </c>
      <c r="BM77">
        <f>AVERAGE(S_plus!BT$2:'S_plus'!BT77)</f>
        <v>110.16728992673161</v>
      </c>
      <c r="BN77">
        <f>AVERAGE(S_plus!BU$2:'S_plus'!BU77)</f>
        <v>101.49505883846315</v>
      </c>
      <c r="BO77">
        <f>AVERAGE(S_plus!BV$2:'S_plus'!BV77)</f>
        <v>90.685487293621051</v>
      </c>
      <c r="BP77">
        <f>AVERAGE(S_plus!BW$2:'S_plus'!BW77)</f>
        <v>96.093787588781538</v>
      </c>
      <c r="BQ77">
        <f>AVERAGE(S_plus!BX$2:'S_plus'!BX77)</f>
        <v>82.044973930113144</v>
      </c>
      <c r="BR77">
        <f>AVERAGE(S_plus!BY$2:'S_plus'!BY77)</f>
        <v>100.22660744905791</v>
      </c>
      <c r="BS77">
        <f>AVERAGE(S_plus!BZ$2:'S_plus'!BZ77)</f>
        <v>103.78189260822629</v>
      </c>
      <c r="BT77">
        <f>AVERAGE(S_plus!CA$2:'S_plus'!CA77)</f>
        <v>97.073391369188172</v>
      </c>
      <c r="BU77">
        <f>AVERAGE(S_plus!CB$2:'S_plus'!CB77)</f>
        <v>100.87305716172106</v>
      </c>
      <c r="BV77">
        <f>AVERAGE(S_plus!CC$2:'S_plus'!CC77)</f>
        <v>88.781246269432884</v>
      </c>
      <c r="BW77">
        <f>AVERAGE(S_plus!CD$2:'S_plus'!CD77)</f>
        <v>98.837957864185526</v>
      </c>
      <c r="BX77">
        <f>AVERAGE(S_plus!CE$2:'S_plus'!CE77)</f>
        <v>95.680022687214461</v>
      </c>
      <c r="BY77">
        <f>AVERAGE(S_plus!CF$2:'S_plus'!CF77)</f>
        <v>89.057685681603957</v>
      </c>
      <c r="BZ77">
        <f>AVERAGE(S_plus!CG$2:'S_plus'!CG77)</f>
        <v>95.220085009568422</v>
      </c>
      <c r="CA77">
        <f>AVERAGE(S_plus!CH$2:'S_plus'!CH77)</f>
        <v>117.14883657365789</v>
      </c>
      <c r="CB77">
        <f>AVERAGE(S_plus!CI$2:'S_plus'!CI77)</f>
        <v>97.809484335396093</v>
      </c>
      <c r="CC77">
        <f>AVERAGE(S_plus!CJ$2:'S_plus'!CJ77)</f>
        <v>101.27440358653421</v>
      </c>
      <c r="CD77">
        <f>AVERAGE(S_plus!CK$2:'S_plus'!CK77)</f>
        <v>93.112080219113153</v>
      </c>
      <c r="CE77">
        <f>AVERAGE(S_plus!CL$2:'S_plus'!CL77)</f>
        <v>87.060682729584229</v>
      </c>
      <c r="CF77">
        <f>AVERAGE(S_plus!CM$2:'S_plus'!CM77)</f>
        <v>95.292076830713199</v>
      </c>
      <c r="CG77">
        <f>AVERAGE(S_plus!CN$2:'S_plus'!CN77)</f>
        <v>98.019271839228949</v>
      </c>
      <c r="CH77">
        <f>AVERAGE(S_plus!CO$2:'S_plus'!CO77)</f>
        <v>125.79720028692104</v>
      </c>
      <c r="CI77">
        <f>AVERAGE(S_plus!CP$2:'S_plus'!CP77)</f>
        <v>93.672282513451322</v>
      </c>
      <c r="CJ77">
        <f>AVERAGE(S_plus!CQ$2:'S_plus'!CQ77)</f>
        <v>100.33562904861316</v>
      </c>
      <c r="CK77">
        <f>AVERAGE(S_plus!CR$2:'S_plus'!CR77)</f>
        <v>102.75763501508283</v>
      </c>
      <c r="CL77">
        <f>AVERAGE(S_plus!CS$2:'S_plus'!CS77)</f>
        <v>103.25779891187895</v>
      </c>
      <c r="CM77">
        <f>AVERAGE(S_plus!CT$2:'S_plus'!CT77)</f>
        <v>113.80360346104736</v>
      </c>
      <c r="CN77">
        <f>AVERAGE(S_plus!CU$2:'S_plus'!CU77)</f>
        <v>103.3803351521276</v>
      </c>
      <c r="CO77">
        <f>AVERAGE(S_plus!CV$2:'S_plus'!CV77)</f>
        <v>92.532509322936846</v>
      </c>
      <c r="CP77">
        <f>AVERAGE(S_plus!CW$2:'S_plus'!CW77)</f>
        <v>107.92196719715919</v>
      </c>
      <c r="CQ77">
        <f>AVERAGE(S_plus!CX$2:'S_plus'!CX77)</f>
        <v>117.00030969735003</v>
      </c>
      <c r="CR77">
        <f>AVERAGE(S_plus!CY$2:'S_plus'!CY77)</f>
        <v>106.37781907554869</v>
      </c>
      <c r="CS77">
        <f>AVERAGE(S_plus!CZ$2:'S_plus'!CZ77)</f>
        <v>107.11890336383156</v>
      </c>
      <c r="CT77">
        <f>AVERAGE(S_plus!DA$2:'S_plus'!DA77)</f>
        <v>115.27657449213156</v>
      </c>
      <c r="CU77">
        <f>AVERAGE(S_plus!DB$2:'S_plus'!DB77)</f>
        <v>86.46231444344869</v>
      </c>
      <c r="CV77">
        <f>AVERAGE(S_plus!DC$2:'S_plus'!DC77)</f>
        <v>102.44724346500924</v>
      </c>
      <c r="CW77">
        <f>AVERAGE(S_plus!DD$2:'S_plus'!DD77)</f>
        <v>92.870674522002631</v>
      </c>
      <c r="CX77">
        <f>AVERAGE(S_plus!DE$2:'S_plus'!DE77)</f>
        <v>103.38087654510126</v>
      </c>
      <c r="CY77">
        <f>AVERAGE(S_plus!DF$2:'S_plus'!DF77)</f>
        <v>87.871126138922364</v>
      </c>
      <c r="CZ77">
        <f>AVERAGE(S_plus!DG$2:'S_plus'!DG77)</f>
        <v>89.987391831638135</v>
      </c>
      <c r="DA77">
        <f>AVERAGE(S_plus!DH$2:'S_plus'!DH77)</f>
        <v>99.820127246093421</v>
      </c>
    </row>
    <row r="78" spans="5:105" x14ac:dyDescent="0.25">
      <c r="E78">
        <f>E77+Asian!dt</f>
        <v>0.76000000000000045</v>
      </c>
      <c r="F78">
        <f>AVERAGE(S_plus!M$2:'S_plus'!M78)</f>
        <v>90.534871010555861</v>
      </c>
      <c r="G78">
        <f>AVERAGE(S_plus!N$2:'S_plus'!N78)</f>
        <v>95.726494839110373</v>
      </c>
      <c r="H78">
        <f>AVERAGE(S_plus!O$2:'S_plus'!O78)</f>
        <v>105.85790493694678</v>
      </c>
      <c r="I78">
        <f>AVERAGE(S_plus!P$2:'S_plus'!P78)</f>
        <v>98.357185319974022</v>
      </c>
      <c r="J78">
        <f>AVERAGE(S_plus!Q$2:'S_plus'!Q78)</f>
        <v>83.620880144035084</v>
      </c>
      <c r="K78">
        <f>AVERAGE(S_plus!R$2:'S_plus'!R78)</f>
        <v>95.208720943605186</v>
      </c>
      <c r="L78">
        <f>AVERAGE(S_plus!S$2:'S_plus'!S78)</f>
        <v>112.26853786784415</v>
      </c>
      <c r="M78">
        <f>AVERAGE(S_plus!T$2:'S_plus'!T78)</f>
        <v>83.443262562707787</v>
      </c>
      <c r="N78">
        <f>AVERAGE(S_plus!U$2:'S_plus'!U78)</f>
        <v>112.00352771422075</v>
      </c>
      <c r="O78">
        <f>AVERAGE(S_plus!V$2:'S_plus'!V78)</f>
        <v>106.68325587590908</v>
      </c>
      <c r="P78">
        <f>AVERAGE(S_plus!W$2:'S_plus'!W78)</f>
        <v>104.17454208174418</v>
      </c>
      <c r="Q78">
        <f>AVERAGE(S_plus!X$2:'S_plus'!X78)</f>
        <v>113.10906920180517</v>
      </c>
      <c r="R78">
        <f>AVERAGE(S_plus!Y$2:'S_plus'!Y78)</f>
        <v>92.769508239496091</v>
      </c>
      <c r="S78">
        <f>AVERAGE(S_plus!Z$2:'S_plus'!Z78)</f>
        <v>107.10202390391815</v>
      </c>
      <c r="T78">
        <f>AVERAGE(S_plus!AA$2:'S_plus'!AA78)</f>
        <v>105.58056339101556</v>
      </c>
      <c r="U78">
        <f>AVERAGE(S_plus!AB$2:'S_plus'!AB78)</f>
        <v>100.63294806823379</v>
      </c>
      <c r="V78">
        <f>AVERAGE(S_plus!AC$2:'S_plus'!AC78)</f>
        <v>87.813428419162349</v>
      </c>
      <c r="W78">
        <f>AVERAGE(S_plus!AD$2:'S_plus'!AD78)</f>
        <v>98.205834816787046</v>
      </c>
      <c r="X78">
        <f>AVERAGE(S_plus!AE$2:'S_plus'!AE78)</f>
        <v>124.27124772330517</v>
      </c>
      <c r="Y78">
        <f>AVERAGE(S_plus!AF$2:'S_plus'!AF78)</f>
        <v>111.00582201214418</v>
      </c>
      <c r="Z78">
        <f>AVERAGE(S_plus!AG$2:'S_plus'!AG78)</f>
        <v>106.19247652462595</v>
      </c>
      <c r="AA78">
        <f>AVERAGE(S_plus!AH$2:'S_plus'!AH78)</f>
        <v>107.18551895190521</v>
      </c>
      <c r="AB78">
        <f>AVERAGE(S_plus!AI$2:'S_plus'!AI78)</f>
        <v>88.199718193820772</v>
      </c>
      <c r="AC78">
        <f>AVERAGE(S_plus!AJ$2:'S_plus'!AJ78)</f>
        <v>91.610638865406514</v>
      </c>
      <c r="AD78">
        <f>AVERAGE(S_plus!AK$2:'S_plus'!AK78)</f>
        <v>112.90998666568446</v>
      </c>
      <c r="AE78">
        <f>AVERAGE(S_plus!AL$2:'S_plus'!AL78)</f>
        <v>106.10174612683502</v>
      </c>
      <c r="AF78">
        <f>AVERAGE(S_plus!AM$2:'S_plus'!AM78)</f>
        <v>94.424877812980526</v>
      </c>
      <c r="AG78">
        <f>AVERAGE(S_plus!AN$2:'S_plus'!AN78)</f>
        <v>111.89346622444936</v>
      </c>
      <c r="AH78">
        <f>AVERAGE(S_plus!AO$2:'S_plus'!AO78)</f>
        <v>98.558091586849343</v>
      </c>
      <c r="AI78">
        <f>AVERAGE(S_plus!AP$2:'S_plus'!AP78)</f>
        <v>90.540653559767506</v>
      </c>
      <c r="AJ78">
        <f>AVERAGE(S_plus!AQ$2:'S_plus'!AQ78)</f>
        <v>106.38729318326753</v>
      </c>
      <c r="AK78">
        <f>AVERAGE(S_plus!AR$2:'S_plus'!AR78)</f>
        <v>100.47420799504545</v>
      </c>
      <c r="AL78">
        <f>AVERAGE(S_plus!AS$2:'S_plus'!AS78)</f>
        <v>119.08041956267927</v>
      </c>
      <c r="AM78">
        <f>AVERAGE(S_plus!AT$2:'S_plus'!AT78)</f>
        <v>92.578723258432476</v>
      </c>
      <c r="AN78">
        <f>AVERAGE(S_plus!AU$2:'S_plus'!AU78)</f>
        <v>101.68860611897921</v>
      </c>
      <c r="AO78">
        <f>AVERAGE(S_plus!AV$2:'S_plus'!AV78)</f>
        <v>109.0251946528623</v>
      </c>
      <c r="AP78">
        <f>AVERAGE(S_plus!AW$2:'S_plus'!AW78)</f>
        <v>115.39364916545452</v>
      </c>
      <c r="AQ78">
        <f>AVERAGE(S_plus!AX$2:'S_plus'!AX78)</f>
        <v>99.577749474762399</v>
      </c>
      <c r="AR78">
        <f>AVERAGE(S_plus!AY$2:'S_plus'!AY78)</f>
        <v>98.232318460392207</v>
      </c>
      <c r="AS78">
        <f>AVERAGE(S_plus!AZ$2:'S_plus'!AZ78)</f>
        <v>118.0480070051948</v>
      </c>
      <c r="AT78">
        <f>AVERAGE(S_plus!BA$2:'S_plus'!BA78)</f>
        <v>114.36381762583113</v>
      </c>
      <c r="AU78">
        <f>AVERAGE(S_plus!BB$2:'S_plus'!BB78)</f>
        <v>106.32073229085327</v>
      </c>
      <c r="AV78">
        <f>AVERAGE(S_plus!BC$2:'S_plus'!BC78)</f>
        <v>112.30417782819738</v>
      </c>
      <c r="AW78">
        <f>AVERAGE(S_plus!BD$2:'S_plus'!BD78)</f>
        <v>104.7321639891727</v>
      </c>
      <c r="AX78">
        <f>AVERAGE(S_plus!BE$2:'S_plus'!BE78)</f>
        <v>95.502213010577933</v>
      </c>
      <c r="AY78">
        <f>AVERAGE(S_plus!BF$2:'S_plus'!BF78)</f>
        <v>89.930522398896088</v>
      </c>
      <c r="AZ78">
        <f>AVERAGE(S_plus!BG$2:'S_plus'!BG78)</f>
        <v>94.040870441357129</v>
      </c>
      <c r="BA78">
        <f>AVERAGE(S_plus!BH$2:'S_plus'!BH78)</f>
        <v>101.76346206640909</v>
      </c>
      <c r="BB78">
        <f>AVERAGE(S_plus!BI$2:'S_plus'!BI78)</f>
        <v>106.72948939527274</v>
      </c>
      <c r="BC78">
        <f>AVERAGE(S_plus!BJ$2:'S_plus'!BJ78)</f>
        <v>106.77643214524413</v>
      </c>
      <c r="BD78">
        <f>AVERAGE(S_plus!BK$2:'S_plus'!BK78)</f>
        <v>97.558385975822077</v>
      </c>
      <c r="BE78">
        <f>AVERAGE(S_plus!BL$2:'S_plus'!BL78)</f>
        <v>88.9081424667649</v>
      </c>
      <c r="BF78">
        <f>AVERAGE(S_plus!BM$2:'S_plus'!BM78)</f>
        <v>100.89960827082596</v>
      </c>
      <c r="BG78">
        <f>AVERAGE(S_plus!BN$2:'S_plus'!BN78)</f>
        <v>103.62201884985328</v>
      </c>
      <c r="BH78">
        <f>AVERAGE(S_plus!BO$2:'S_plus'!BO78)</f>
        <v>86.716153994766273</v>
      </c>
      <c r="BI78">
        <f>AVERAGE(S_plus!BP$2:'S_plus'!BP78)</f>
        <v>87.572619460050689</v>
      </c>
      <c r="BJ78">
        <f>AVERAGE(S_plus!BQ$2:'S_plus'!BQ78)</f>
        <v>91.210611588836329</v>
      </c>
      <c r="BK78">
        <f>AVERAGE(S_plus!BR$2:'S_plus'!BR78)</f>
        <v>107.74445152892723</v>
      </c>
      <c r="BL78">
        <f>AVERAGE(S_plus!BS$2:'S_plus'!BS78)</f>
        <v>108.35183000018571</v>
      </c>
      <c r="BM78">
        <f>AVERAGE(S_plus!BT$2:'S_plus'!BT78)</f>
        <v>110.33475220276107</v>
      </c>
      <c r="BN78">
        <f>AVERAGE(S_plus!BU$2:'S_plus'!BU78)</f>
        <v>101.34345864318959</v>
      </c>
      <c r="BO78">
        <f>AVERAGE(S_plus!BV$2:'S_plus'!BV78)</f>
        <v>90.632071659028568</v>
      </c>
      <c r="BP78">
        <f>AVERAGE(S_plus!BW$2:'S_plus'!BW78)</f>
        <v>96.296983103368802</v>
      </c>
      <c r="BQ78">
        <f>AVERAGE(S_plus!BX$2:'S_plus'!BX78)</f>
        <v>81.879749380558437</v>
      </c>
      <c r="BR78">
        <f>AVERAGE(S_plus!BY$2:'S_plus'!BY78)</f>
        <v>100.01041023463767</v>
      </c>
      <c r="BS78">
        <f>AVERAGE(S_plus!BZ$2:'S_plus'!BZ78)</f>
        <v>104.09474880034023</v>
      </c>
      <c r="BT78">
        <f>AVERAGE(S_plus!CA$2:'S_plus'!CA78)</f>
        <v>96.980140749571447</v>
      </c>
      <c r="BU78">
        <f>AVERAGE(S_plus!CB$2:'S_plus'!CB78)</f>
        <v>100.88335653368571</v>
      </c>
      <c r="BV78">
        <f>AVERAGE(S_plus!CC$2:'S_plus'!CC78)</f>
        <v>88.557387487937646</v>
      </c>
      <c r="BW78">
        <f>AVERAGE(S_plus!CD$2:'S_plus'!CD78)</f>
        <v>98.987262870079221</v>
      </c>
      <c r="BX78">
        <f>AVERAGE(S_plus!CE$2:'S_plus'!CE78)</f>
        <v>95.434609220886998</v>
      </c>
      <c r="BY78">
        <f>AVERAGE(S_plus!CF$2:'S_plus'!CF78)</f>
        <v>88.937239791770139</v>
      </c>
      <c r="BZ78">
        <f>AVERAGE(S_plus!CG$2:'S_plus'!CG78)</f>
        <v>95.364799231106502</v>
      </c>
      <c r="CA78">
        <f>AVERAGE(S_plus!CH$2:'S_plus'!CH78)</f>
        <v>117.21782913561037</v>
      </c>
      <c r="CB78">
        <f>AVERAGE(S_plus!CI$2:'S_plus'!CI78)</f>
        <v>97.704428590227309</v>
      </c>
      <c r="CC78">
        <f>AVERAGE(S_plus!CJ$2:'S_plus'!CJ78)</f>
        <v>101.31933549524156</v>
      </c>
      <c r="CD78">
        <f>AVERAGE(S_plus!CK$2:'S_plus'!CK78)</f>
        <v>93.196633473541553</v>
      </c>
      <c r="CE78">
        <f>AVERAGE(S_plus!CL$2:'S_plus'!CL78)</f>
        <v>87.048515139841584</v>
      </c>
      <c r="CF78">
        <f>AVERAGE(S_plus!CM$2:'S_plus'!CM78)</f>
        <v>95.157850914602648</v>
      </c>
      <c r="CG78">
        <f>AVERAGE(S_plus!CN$2:'S_plus'!CN78)</f>
        <v>98.001926452297397</v>
      </c>
      <c r="CH78">
        <f>AVERAGE(S_plus!CO$2:'S_plus'!CO78)</f>
        <v>126.01314500848051</v>
      </c>
      <c r="CI78">
        <f>AVERAGE(S_plus!CP$2:'S_plus'!CP78)</f>
        <v>93.619236376146759</v>
      </c>
      <c r="CJ78">
        <f>AVERAGE(S_plus!CQ$2:'S_plus'!CQ78)</f>
        <v>100.14359172088962</v>
      </c>
      <c r="CK78">
        <f>AVERAGE(S_plus!CR$2:'S_plus'!CR78)</f>
        <v>102.65143868638825</v>
      </c>
      <c r="CL78">
        <f>AVERAGE(S_plus!CS$2:'S_plus'!CS78)</f>
        <v>103.1779199233039</v>
      </c>
      <c r="CM78">
        <f>AVERAGE(S_plus!CT$2:'S_plus'!CT78)</f>
        <v>113.97650911089089</v>
      </c>
      <c r="CN78">
        <f>AVERAGE(S_plus!CU$2:'S_plus'!CU78)</f>
        <v>103.50776407799607</v>
      </c>
      <c r="CO78">
        <f>AVERAGE(S_plus!CV$2:'S_plus'!CV78)</f>
        <v>92.431522053280517</v>
      </c>
      <c r="CP78">
        <f>AVERAGE(S_plus!CW$2:'S_plus'!CW78)</f>
        <v>107.85911608255974</v>
      </c>
      <c r="CQ78">
        <f>AVERAGE(S_plus!CX$2:'S_plus'!CX78)</f>
        <v>117.30680701186496</v>
      </c>
      <c r="CR78">
        <f>AVERAGE(S_plus!CY$2:'S_plus'!CY78)</f>
        <v>106.65746596107402</v>
      </c>
      <c r="CS78">
        <f>AVERAGE(S_plus!CZ$2:'S_plus'!CZ78)</f>
        <v>107.0976195122753</v>
      </c>
      <c r="CT78">
        <f>AVERAGE(S_plus!DA$2:'S_plus'!DA78)</f>
        <v>115.37784158522075</v>
      </c>
      <c r="CU78">
        <f>AVERAGE(S_plus!DB$2:'S_plus'!DB78)</f>
        <v>86.325518945174025</v>
      </c>
      <c r="CV78">
        <f>AVERAGE(S_plus!DC$2:'S_plus'!DC78)</f>
        <v>102.51852444395718</v>
      </c>
      <c r="CW78">
        <f>AVERAGE(S_plus!DD$2:'S_plus'!DD78)</f>
        <v>92.970347587509096</v>
      </c>
      <c r="CX78">
        <f>AVERAGE(S_plus!DE$2:'S_plus'!DE78)</f>
        <v>103.4271040358532</v>
      </c>
      <c r="CY78">
        <f>AVERAGE(S_plus!DF$2:'S_plus'!DF78)</f>
        <v>87.783405693102594</v>
      </c>
      <c r="CZ78">
        <f>AVERAGE(S_plus!DG$2:'S_plus'!DG78)</f>
        <v>89.918075727232434</v>
      </c>
      <c r="DA78">
        <f>AVERAGE(S_plus!DH$2:'S_plus'!DH78)</f>
        <v>99.685104160853257</v>
      </c>
    </row>
    <row r="79" spans="5:105" x14ac:dyDescent="0.25">
      <c r="E79">
        <f>E78+Asian!dt</f>
        <v>0.77000000000000046</v>
      </c>
      <c r="F79">
        <f>AVERAGE(S_plus!M$2:'S_plus'!M79)</f>
        <v>90.430515050544884</v>
      </c>
      <c r="G79">
        <f>AVERAGE(S_plus!N$2:'S_plus'!N79)</f>
        <v>95.857818172839714</v>
      </c>
      <c r="H79">
        <f>AVERAGE(S_plus!O$2:'S_plus'!O79)</f>
        <v>105.8308568885372</v>
      </c>
      <c r="I79">
        <f>AVERAGE(S_plus!P$2:'S_plus'!P79)</f>
        <v>98.413042616679476</v>
      </c>
      <c r="J79">
        <f>AVERAGE(S_plus!Q$2:'S_plus'!Q79)</f>
        <v>83.410783752603848</v>
      </c>
      <c r="K79">
        <f>AVERAGE(S_plus!R$2:'S_plus'!R79)</f>
        <v>95.22398095706923</v>
      </c>
      <c r="L79">
        <f>AVERAGE(S_plus!S$2:'S_plus'!S79)</f>
        <v>112.10094168437051</v>
      </c>
      <c r="M79">
        <f>AVERAGE(S_plus!T$2:'S_plus'!T79)</f>
        <v>83.488816434946145</v>
      </c>
      <c r="N79">
        <f>AVERAGE(S_plus!U$2:'S_plus'!U79)</f>
        <v>112.08674134711538</v>
      </c>
      <c r="O79">
        <f>AVERAGE(S_plus!V$2:'S_plus'!V79)</f>
        <v>106.90920131002564</v>
      </c>
      <c r="P79">
        <f>AVERAGE(S_plus!W$2:'S_plus'!W79)</f>
        <v>104.28845245988848</v>
      </c>
      <c r="Q79">
        <f>AVERAGE(S_plus!X$2:'S_plus'!X79)</f>
        <v>113.40711753430769</v>
      </c>
      <c r="R79">
        <f>AVERAGE(S_plus!Y$2:'S_plus'!Y79)</f>
        <v>92.74565022398717</v>
      </c>
      <c r="S79">
        <f>AVERAGE(S_plus!Z$2:'S_plus'!Z79)</f>
        <v>106.96029338207434</v>
      </c>
      <c r="T79">
        <f>AVERAGE(S_plus!AA$2:'S_plus'!AA79)</f>
        <v>105.56247510872049</v>
      </c>
      <c r="U79">
        <f>AVERAGE(S_plus!AB$2:'S_plus'!AB79)</f>
        <v>100.77642804160259</v>
      </c>
      <c r="V79">
        <f>AVERAGE(S_plus!AC$2:'S_plus'!AC79)</f>
        <v>87.721034156066679</v>
      </c>
      <c r="W79">
        <f>AVERAGE(S_plus!AD$2:'S_plus'!AD79)</f>
        <v>98.268090882353889</v>
      </c>
      <c r="X79">
        <f>AVERAGE(S_plus!AE$2:'S_plus'!AE79)</f>
        <v>124.41221318040381</v>
      </c>
      <c r="Y79">
        <f>AVERAGE(S_plus!AF$2:'S_plus'!AF79)</f>
        <v>111.33544501757824</v>
      </c>
      <c r="Z79">
        <f>AVERAGE(S_plus!AG$2:'S_plus'!AG79)</f>
        <v>106.23660260531022</v>
      </c>
      <c r="AA79">
        <f>AVERAGE(S_plus!AH$2:'S_plus'!AH79)</f>
        <v>107.26329882545771</v>
      </c>
      <c r="AB79">
        <f>AVERAGE(S_plus!AI$2:'S_plus'!AI79)</f>
        <v>88.150028596129488</v>
      </c>
      <c r="AC79">
        <f>AVERAGE(S_plus!AJ$2:'S_plus'!AJ79)</f>
        <v>91.545707211429516</v>
      </c>
      <c r="AD79">
        <f>AVERAGE(S_plus!AK$2:'S_plus'!AK79)</f>
        <v>112.73229403213594</v>
      </c>
      <c r="AE79">
        <f>AVERAGE(S_plus!AL$2:'S_plus'!AL79)</f>
        <v>106.23470847876023</v>
      </c>
      <c r="AF79">
        <f>AVERAGE(S_plus!AM$2:'S_plus'!AM79)</f>
        <v>94.463428389889756</v>
      </c>
      <c r="AG79">
        <f>AVERAGE(S_plus!AN$2:'S_plus'!AN79)</f>
        <v>111.69553775824744</v>
      </c>
      <c r="AH79">
        <f>AVERAGE(S_plus!AO$2:'S_plus'!AO79)</f>
        <v>98.621432005056406</v>
      </c>
      <c r="AI79">
        <f>AVERAGE(S_plus!AP$2:'S_plus'!AP79)</f>
        <v>90.625492155744837</v>
      </c>
      <c r="AJ79">
        <f>AVERAGE(S_plus!AQ$2:'S_plus'!AQ79)</f>
        <v>106.47077767189232</v>
      </c>
      <c r="AK79">
        <f>AVERAGE(S_plus!AR$2:'S_plus'!AR79)</f>
        <v>100.52290344158334</v>
      </c>
      <c r="AL79">
        <f>AVERAGE(S_plus!AS$2:'S_plus'!AS79)</f>
        <v>119.35083318452952</v>
      </c>
      <c r="AM79">
        <f>AVERAGE(S_plus!AT$2:'S_plus'!AT79)</f>
        <v>92.583175147946164</v>
      </c>
      <c r="AN79">
        <f>AVERAGE(S_plus!AU$2:'S_plus'!AU79)</f>
        <v>101.9704554054282</v>
      </c>
      <c r="AO79">
        <f>AVERAGE(S_plus!AV$2:'S_plus'!AV79)</f>
        <v>109.19326301014611</v>
      </c>
      <c r="AP79">
        <f>AVERAGE(S_plus!AW$2:'S_plus'!AW79)</f>
        <v>115.36431146244868</v>
      </c>
      <c r="AQ79">
        <f>AVERAGE(S_plus!AX$2:'S_plus'!AX79)</f>
        <v>99.59872549643211</v>
      </c>
      <c r="AR79">
        <f>AVERAGE(S_plus!AY$2:'S_plus'!AY79)</f>
        <v>98.154945683725629</v>
      </c>
      <c r="AS79">
        <f>AVERAGE(S_plus!AZ$2:'S_plus'!AZ79)</f>
        <v>118.07655658279486</v>
      </c>
      <c r="AT79">
        <f>AVERAGE(S_plus!BA$2:'S_plus'!BA79)</f>
        <v>114.5141916029487</v>
      </c>
      <c r="AU79">
        <f>AVERAGE(S_plus!BB$2:'S_plus'!BB79)</f>
        <v>106.28704567511156</v>
      </c>
      <c r="AV79">
        <f>AVERAGE(S_plus!BC$2:'S_plus'!BC79)</f>
        <v>112.36352270056665</v>
      </c>
      <c r="AW79">
        <f>AVERAGE(S_plus!BD$2:'S_plus'!BD79)</f>
        <v>104.93050615004228</v>
      </c>
      <c r="AX79">
        <f>AVERAGE(S_plus!BE$2:'S_plus'!BE79)</f>
        <v>95.526856671242328</v>
      </c>
      <c r="AY79">
        <f>AVERAGE(S_plus!BF$2:'S_plus'!BF79)</f>
        <v>89.885140701443589</v>
      </c>
      <c r="AZ79">
        <f>AVERAGE(S_plus!BG$2:'S_plus'!BG79)</f>
        <v>93.971849042880748</v>
      </c>
      <c r="BA79">
        <f>AVERAGE(S_plus!BH$2:'S_plus'!BH79)</f>
        <v>101.90539236308334</v>
      </c>
      <c r="BB79">
        <f>AVERAGE(S_plus!BI$2:'S_plus'!BI79)</f>
        <v>106.64476715888463</v>
      </c>
      <c r="BC79">
        <f>AVERAGE(S_plus!BJ$2:'S_plus'!BJ79)</f>
        <v>106.9380259049846</v>
      </c>
      <c r="BD79">
        <f>AVERAGE(S_plus!BK$2:'S_plus'!BK79)</f>
        <v>97.654504073824356</v>
      </c>
      <c r="BE79">
        <f>AVERAGE(S_plus!BL$2:'S_plus'!BL79)</f>
        <v>88.71259022489869</v>
      </c>
      <c r="BF79">
        <f>AVERAGE(S_plus!BM$2:'S_plus'!BM79)</f>
        <v>101.17125481755897</v>
      </c>
      <c r="BG79">
        <f>AVERAGE(S_plus!BN$2:'S_plus'!BN79)</f>
        <v>103.79530987748336</v>
      </c>
      <c r="BH79">
        <f>AVERAGE(S_plus!BO$2:'S_plus'!BO79)</f>
        <v>86.726472722883372</v>
      </c>
      <c r="BI79">
        <f>AVERAGE(S_plus!BP$2:'S_plus'!BP79)</f>
        <v>87.451595843570544</v>
      </c>
      <c r="BJ79">
        <f>AVERAGE(S_plus!BQ$2:'S_plus'!BQ79)</f>
        <v>91.330797080594849</v>
      </c>
      <c r="BK79">
        <f>AVERAGE(S_plus!BR$2:'S_plus'!BR79)</f>
        <v>107.79152793581278</v>
      </c>
      <c r="BL79">
        <f>AVERAGE(S_plus!BS$2:'S_plus'!BS79)</f>
        <v>108.42040718920897</v>
      </c>
      <c r="BM79">
        <f>AVERAGE(S_plus!BT$2:'S_plus'!BT79)</f>
        <v>110.48063674239235</v>
      </c>
      <c r="BN79">
        <f>AVERAGE(S_plus!BU$2:'S_plus'!BU79)</f>
        <v>101.17625689740255</v>
      </c>
      <c r="BO79">
        <f>AVERAGE(S_plus!BV$2:'S_plus'!BV79)</f>
        <v>90.569800798061536</v>
      </c>
      <c r="BP79">
        <f>AVERAGE(S_plus!BW$2:'S_plus'!BW79)</f>
        <v>96.501098918005098</v>
      </c>
      <c r="BQ79">
        <f>AVERAGE(S_plus!BX$2:'S_plus'!BX79)</f>
        <v>81.726631989483323</v>
      </c>
      <c r="BR79">
        <f>AVERAGE(S_plus!BY$2:'S_plus'!BY79)</f>
        <v>99.83789871923463</v>
      </c>
      <c r="BS79">
        <f>AVERAGE(S_plus!BZ$2:'S_plus'!BZ79)</f>
        <v>104.38795894418202</v>
      </c>
      <c r="BT79">
        <f>AVERAGE(S_plus!CA$2:'S_plus'!CA79)</f>
        <v>96.908312116715408</v>
      </c>
      <c r="BU79">
        <f>AVERAGE(S_plus!CB$2:'S_plus'!CB79)</f>
        <v>100.88606758570258</v>
      </c>
      <c r="BV79">
        <f>AVERAGE(S_plus!CC$2:'S_plus'!CC79)</f>
        <v>88.324182790989738</v>
      </c>
      <c r="BW79">
        <f>AVERAGE(S_plus!CD$2:'S_plus'!CD79)</f>
        <v>99.10411000668077</v>
      </c>
      <c r="BX79">
        <f>AVERAGE(S_plus!CE$2:'S_plus'!CE79)</f>
        <v>95.245779084639736</v>
      </c>
      <c r="BY79">
        <f>AVERAGE(S_plus!CF$2:'S_plus'!CF79)</f>
        <v>88.817725996205127</v>
      </c>
      <c r="BZ79">
        <f>AVERAGE(S_plus!CG$2:'S_plus'!CG79)</f>
        <v>95.472030039438465</v>
      </c>
      <c r="CA79">
        <f>AVERAGE(S_plus!CH$2:'S_plus'!CH79)</f>
        <v>117.29980883805128</v>
      </c>
      <c r="CB79">
        <f>AVERAGE(S_plus!CI$2:'S_plus'!CI79)</f>
        <v>97.582319793606445</v>
      </c>
      <c r="CC79">
        <f>AVERAGE(S_plus!CJ$2:'S_plus'!CJ79)</f>
        <v>101.37633321725129</v>
      </c>
      <c r="CD79">
        <f>AVERAGE(S_plus!CK$2:'S_plus'!CK79)</f>
        <v>93.294058451380764</v>
      </c>
      <c r="CE79">
        <f>AVERAGE(S_plus!CL$2:'S_plus'!CL79)</f>
        <v>87.043685635605158</v>
      </c>
      <c r="CF79">
        <f>AVERAGE(S_plus!CM$2:'S_plus'!CM79)</f>
        <v>95.010455399955177</v>
      </c>
      <c r="CG79">
        <f>AVERAGE(S_plus!CN$2:'S_plus'!CN79)</f>
        <v>98.020519233646155</v>
      </c>
      <c r="CH79">
        <f>AVERAGE(S_plus!CO$2:'S_plus'!CO79)</f>
        <v>126.24745204938462</v>
      </c>
      <c r="CI79">
        <f>AVERAGE(S_plus!CP$2:'S_plus'!CP79)</f>
        <v>93.535372399433342</v>
      </c>
      <c r="CJ79">
        <f>AVERAGE(S_plus!CQ$2:'S_plus'!CQ79)</f>
        <v>99.947978002221802</v>
      </c>
      <c r="CK79">
        <f>AVERAGE(S_plus!CR$2:'S_plus'!CR79)</f>
        <v>102.54356033252174</v>
      </c>
      <c r="CL79">
        <f>AVERAGE(S_plus!CS$2:'S_plus'!CS79)</f>
        <v>103.10887715846795</v>
      </c>
      <c r="CM79">
        <f>AVERAGE(S_plus!CT$2:'S_plus'!CT79)</f>
        <v>114.21874242181536</v>
      </c>
      <c r="CN79">
        <f>AVERAGE(S_plus!CU$2:'S_plus'!CU79)</f>
        <v>103.65652628659868</v>
      </c>
      <c r="CO79">
        <f>AVERAGE(S_plus!CV$2:'S_plus'!CV79)</f>
        <v>92.302182124802556</v>
      </c>
      <c r="CP79">
        <f>AVERAGE(S_plus!CW$2:'S_plus'!CW79)</f>
        <v>107.78901603142435</v>
      </c>
      <c r="CQ79">
        <f>AVERAGE(S_plus!CX$2:'S_plus'!CX79)</f>
        <v>117.53247257736669</v>
      </c>
      <c r="CR79">
        <f>AVERAGE(S_plus!CY$2:'S_plus'!CY79)</f>
        <v>106.91027914173976</v>
      </c>
      <c r="CS79">
        <f>AVERAGE(S_plus!CZ$2:'S_plus'!CZ79)</f>
        <v>107.08066055387434</v>
      </c>
      <c r="CT79">
        <f>AVERAGE(S_plus!DA$2:'S_plus'!DA79)</f>
        <v>115.46674331882048</v>
      </c>
      <c r="CU79">
        <f>AVERAGE(S_plus!DB$2:'S_plus'!DB79)</f>
        <v>86.164352705025635</v>
      </c>
      <c r="CV79">
        <f>AVERAGE(S_plus!DC$2:'S_plus'!DC79)</f>
        <v>102.60738855321414</v>
      </c>
      <c r="CW79">
        <f>AVERAGE(S_plus!DD$2:'S_plus'!DD79)</f>
        <v>93.082813823669227</v>
      </c>
      <c r="CX79">
        <f>AVERAGE(S_plus!DE$2:'S_plus'!DE79)</f>
        <v>103.4639927746243</v>
      </c>
      <c r="CY79">
        <f>AVERAGE(S_plus!DF$2:'S_plus'!DF79)</f>
        <v>87.671472546356412</v>
      </c>
      <c r="CZ79">
        <f>AVERAGE(S_plus!DG$2:'S_plus'!DG79)</f>
        <v>89.867692311649961</v>
      </c>
      <c r="DA79">
        <f>AVERAGE(S_plus!DH$2:'S_plus'!DH79)</f>
        <v>99.590086188791034</v>
      </c>
    </row>
    <row r="80" spans="5:105" x14ac:dyDescent="0.25">
      <c r="E80">
        <f>E79+Asian!dt</f>
        <v>0.78000000000000047</v>
      </c>
      <c r="F80">
        <f>AVERAGE(S_plus!M$2:'S_plus'!M80)</f>
        <v>90.298658439869627</v>
      </c>
      <c r="G80">
        <f>AVERAGE(S_plus!N$2:'S_plus'!N80)</f>
        <v>95.99964963267719</v>
      </c>
      <c r="H80">
        <f>AVERAGE(S_plus!O$2:'S_plus'!O80)</f>
        <v>105.81485683193546</v>
      </c>
      <c r="I80">
        <f>AVERAGE(S_plus!P$2:'S_plus'!P80)</f>
        <v>98.423082571313927</v>
      </c>
      <c r="J80">
        <f>AVERAGE(S_plus!Q$2:'S_plus'!Q80)</f>
        <v>83.194395846582282</v>
      </c>
      <c r="K80">
        <f>AVERAGE(S_plus!R$2:'S_plus'!R80)</f>
        <v>95.245177989499993</v>
      </c>
      <c r="L80">
        <f>AVERAGE(S_plus!S$2:'S_plus'!S80)</f>
        <v>111.95049099922657</v>
      </c>
      <c r="M80">
        <f>AVERAGE(S_plus!T$2:'S_plus'!T80)</f>
        <v>83.574959691379732</v>
      </c>
      <c r="N80">
        <f>AVERAGE(S_plus!U$2:'S_plus'!U80)</f>
        <v>112.15857851022784</v>
      </c>
      <c r="O80">
        <f>AVERAGE(S_plus!V$2:'S_plus'!V80)</f>
        <v>107.16808619069619</v>
      </c>
      <c r="P80">
        <f>AVERAGE(S_plus!W$2:'S_plus'!W80)</f>
        <v>104.4041739669785</v>
      </c>
      <c r="Q80">
        <f>AVERAGE(S_plus!X$2:'S_plus'!X80)</f>
        <v>113.66797909201266</v>
      </c>
      <c r="R80">
        <f>AVERAGE(S_plus!Y$2:'S_plus'!Y80)</f>
        <v>92.713934670646822</v>
      </c>
      <c r="S80">
        <f>AVERAGE(S_plus!Z$2:'S_plus'!Z80)</f>
        <v>106.84540006232656</v>
      </c>
      <c r="T80">
        <f>AVERAGE(S_plus!AA$2:'S_plus'!AA80)</f>
        <v>105.52931753319238</v>
      </c>
      <c r="U80">
        <f>AVERAGE(S_plus!AB$2:'S_plus'!AB80)</f>
        <v>100.9365197506709</v>
      </c>
      <c r="V80">
        <f>AVERAGE(S_plus!AC$2:'S_plus'!AC80)</f>
        <v>87.66395576770887</v>
      </c>
      <c r="W80">
        <f>AVERAGE(S_plus!AD$2:'S_plus'!AD80)</f>
        <v>98.282786221192438</v>
      </c>
      <c r="X80">
        <f>AVERAGE(S_plus!AE$2:'S_plus'!AE80)</f>
        <v>124.57394903286703</v>
      </c>
      <c r="Y80">
        <f>AVERAGE(S_plus!AF$2:'S_plus'!AF80)</f>
        <v>111.65789226497598</v>
      </c>
      <c r="Z80">
        <f>AVERAGE(S_plus!AG$2:'S_plus'!AG80)</f>
        <v>106.2967142318506</v>
      </c>
      <c r="AA80">
        <f>AVERAGE(S_plus!AH$2:'S_plus'!AH80)</f>
        <v>107.35862913250254</v>
      </c>
      <c r="AB80">
        <f>AVERAGE(S_plus!AI$2:'S_plus'!AI80)</f>
        <v>88.124463271424048</v>
      </c>
      <c r="AC80">
        <f>AVERAGE(S_plus!AJ$2:'S_plus'!AJ80)</f>
        <v>91.513422054762046</v>
      </c>
      <c r="AD80">
        <f>AVERAGE(S_plus!AK$2:'S_plus'!AK80)</f>
        <v>112.5314553546127</v>
      </c>
      <c r="AE80">
        <f>AVERAGE(S_plus!AL$2:'S_plus'!AL80)</f>
        <v>106.42381458002909</v>
      </c>
      <c r="AF80">
        <f>AVERAGE(S_plus!AM$2:'S_plus'!AM80)</f>
        <v>94.516120190559505</v>
      </c>
      <c r="AG80">
        <f>AVERAGE(S_plus!AN$2:'S_plus'!AN80)</f>
        <v>111.52145957035442</v>
      </c>
      <c r="AH80">
        <f>AVERAGE(S_plus!AO$2:'S_plus'!AO80)</f>
        <v>98.659571679853158</v>
      </c>
      <c r="AI80">
        <f>AVERAGE(S_plus!AP$2:'S_plus'!AP80)</f>
        <v>90.713799348679714</v>
      </c>
      <c r="AJ80">
        <f>AVERAGE(S_plus!AQ$2:'S_plus'!AQ80)</f>
        <v>106.55628593250127</v>
      </c>
      <c r="AK80">
        <f>AVERAGE(S_plus!AR$2:'S_plus'!AR80)</f>
        <v>100.59607623712026</v>
      </c>
      <c r="AL80">
        <f>AVERAGE(S_plus!AS$2:'S_plus'!AS80)</f>
        <v>119.55272781458612</v>
      </c>
      <c r="AM80">
        <f>AVERAGE(S_plus!AT$2:'S_plus'!AT80)</f>
        <v>92.57259545133418</v>
      </c>
      <c r="AN80">
        <f>AVERAGE(S_plus!AU$2:'S_plus'!AU80)</f>
        <v>102.25493347090379</v>
      </c>
      <c r="AO80">
        <f>AVERAGE(S_plus!AV$2:'S_plus'!AV80)</f>
        <v>109.38926345018223</v>
      </c>
      <c r="AP80">
        <f>AVERAGE(S_plus!AW$2:'S_plus'!AW80)</f>
        <v>115.35450676041769</v>
      </c>
      <c r="AQ80">
        <f>AVERAGE(S_plus!AX$2:'S_plus'!AX80)</f>
        <v>99.593487011376013</v>
      </c>
      <c r="AR80">
        <f>AVERAGE(S_plus!AY$2:'S_plus'!AY80)</f>
        <v>98.059168372335435</v>
      </c>
      <c r="AS80">
        <f>AVERAGE(S_plus!AZ$2:'S_plus'!AZ80)</f>
        <v>118.18659828393669</v>
      </c>
      <c r="AT80">
        <f>AVERAGE(S_plus!BA$2:'S_plus'!BA80)</f>
        <v>114.66122929801264</v>
      </c>
      <c r="AU80">
        <f>AVERAGE(S_plus!BB$2:'S_plus'!BB80)</f>
        <v>106.20689116371774</v>
      </c>
      <c r="AV80">
        <f>AVERAGE(S_plus!BC$2:'S_plus'!BC80)</f>
        <v>112.39140688554683</v>
      </c>
      <c r="AW80">
        <f>AVERAGE(S_plus!BD$2:'S_plus'!BD80)</f>
        <v>105.11533959080124</v>
      </c>
      <c r="AX80">
        <f>AVERAGE(S_plus!BE$2:'S_plus'!BE80)</f>
        <v>95.548228745286082</v>
      </c>
      <c r="AY80">
        <f>AVERAGE(S_plus!BF$2:'S_plus'!BF80)</f>
        <v>89.831721950924049</v>
      </c>
      <c r="AZ80">
        <f>AVERAGE(S_plus!BG$2:'S_plus'!BG80)</f>
        <v>93.849614542299975</v>
      </c>
      <c r="BA80">
        <f>AVERAGE(S_plus!BH$2:'S_plus'!BH80)</f>
        <v>102.04504256004431</v>
      </c>
      <c r="BB80">
        <f>AVERAGE(S_plus!BI$2:'S_plus'!BI80)</f>
        <v>106.53764805662152</v>
      </c>
      <c r="BC80">
        <f>AVERAGE(S_plus!BJ$2:'S_plus'!BJ80)</f>
        <v>107.07392056349111</v>
      </c>
      <c r="BD80">
        <f>AVERAGE(S_plus!BK$2:'S_plus'!BK80)</f>
        <v>97.744766049611385</v>
      </c>
      <c r="BE80">
        <f>AVERAGE(S_plus!BL$2:'S_plus'!BL80)</f>
        <v>88.547919179302511</v>
      </c>
      <c r="BF80">
        <f>AVERAGE(S_plus!BM$2:'S_plus'!BM80)</f>
        <v>101.48201194633671</v>
      </c>
      <c r="BG80">
        <f>AVERAGE(S_plus!BN$2:'S_plus'!BN80)</f>
        <v>103.99771401407219</v>
      </c>
      <c r="BH80">
        <f>AVERAGE(S_plus!BO$2:'S_plus'!BO80)</f>
        <v>86.730834166345602</v>
      </c>
      <c r="BI80">
        <f>AVERAGE(S_plus!BP$2:'S_plus'!BP80)</f>
        <v>87.335660250755737</v>
      </c>
      <c r="BJ80">
        <f>AVERAGE(S_plus!BQ$2:'S_plus'!BQ80)</f>
        <v>91.428587049569586</v>
      </c>
      <c r="BK80">
        <f>AVERAGE(S_plus!BR$2:'S_plus'!BR80)</f>
        <v>107.80664250237213</v>
      </c>
      <c r="BL80">
        <f>AVERAGE(S_plus!BS$2:'S_plus'!BS80)</f>
        <v>108.47026842823165</v>
      </c>
      <c r="BM80">
        <f>AVERAGE(S_plus!BT$2:'S_plus'!BT80)</f>
        <v>110.66145831014688</v>
      </c>
      <c r="BN80">
        <f>AVERAGE(S_plus!BU$2:'S_plus'!BU80)</f>
        <v>101.00012763456455</v>
      </c>
      <c r="BO80">
        <f>AVERAGE(S_plus!BV$2:'S_plus'!BV80)</f>
        <v>90.510848975720251</v>
      </c>
      <c r="BP80">
        <f>AVERAGE(S_plus!BW$2:'S_plus'!BW80)</f>
        <v>96.692923984498705</v>
      </c>
      <c r="BQ80">
        <f>AVERAGE(S_plus!BX$2:'S_plus'!BX80)</f>
        <v>81.594704513399989</v>
      </c>
      <c r="BR80">
        <f>AVERAGE(S_plus!BY$2:'S_plus'!BY80)</f>
        <v>99.639357569077234</v>
      </c>
      <c r="BS80">
        <f>AVERAGE(S_plus!BZ$2:'S_plus'!BZ80)</f>
        <v>104.68210026916707</v>
      </c>
      <c r="BT80">
        <f>AVERAGE(S_plus!CA$2:'S_plus'!CA80)</f>
        <v>96.827658267200022</v>
      </c>
      <c r="BU80">
        <f>AVERAGE(S_plus!CB$2:'S_plus'!CB80)</f>
        <v>100.85126603277342</v>
      </c>
      <c r="BV80">
        <f>AVERAGE(S_plus!CC$2:'S_plus'!CC80)</f>
        <v>88.137611516253159</v>
      </c>
      <c r="BW80">
        <f>AVERAGE(S_plus!CD$2:'S_plus'!CD80)</f>
        <v>99.246393261545578</v>
      </c>
      <c r="BX80">
        <f>AVERAGE(S_plus!CE$2:'S_plus'!CE80)</f>
        <v>95.06441438972783</v>
      </c>
      <c r="BY80">
        <f>AVERAGE(S_plus!CF$2:'S_plus'!CF80)</f>
        <v>88.678471550282282</v>
      </c>
      <c r="BZ80">
        <f>AVERAGE(S_plus!CG$2:'S_plus'!CG80)</f>
        <v>95.569383745496197</v>
      </c>
      <c r="CA80">
        <f>AVERAGE(S_plus!CH$2:'S_plus'!CH80)</f>
        <v>117.35607124213924</v>
      </c>
      <c r="CB80">
        <f>AVERAGE(S_plus!CI$2:'S_plus'!CI80)</f>
        <v>97.450856459762065</v>
      </c>
      <c r="CC80">
        <f>AVERAGE(S_plus!CJ$2:'S_plus'!CJ80)</f>
        <v>101.40798624229873</v>
      </c>
      <c r="CD80">
        <f>AVERAGE(S_plus!CK$2:'S_plus'!CK80)</f>
        <v>93.42673508761645</v>
      </c>
      <c r="CE80">
        <f>AVERAGE(S_plus!CL$2:'S_plus'!CL80)</f>
        <v>87.038015289012677</v>
      </c>
      <c r="CF80">
        <f>AVERAGE(S_plus!CM$2:'S_plus'!CM80)</f>
        <v>94.850104164981062</v>
      </c>
      <c r="CG80">
        <f>AVERAGE(S_plus!CN$2:'S_plus'!CN80)</f>
        <v>98.039181337992403</v>
      </c>
      <c r="CH80">
        <f>AVERAGE(S_plus!CO$2:'S_plus'!CO80)</f>
        <v>126.52833889829114</v>
      </c>
      <c r="CI80">
        <f>AVERAGE(S_plus!CP$2:'S_plus'!CP80)</f>
        <v>93.444818672602537</v>
      </c>
      <c r="CJ80">
        <f>AVERAGE(S_plus!CQ$2:'S_plus'!CQ80)</f>
        <v>99.737064922874694</v>
      </c>
      <c r="CK80">
        <f>AVERAGE(S_plus!CR$2:'S_plus'!CR80)</f>
        <v>102.44428045014678</v>
      </c>
      <c r="CL80">
        <f>AVERAGE(S_plus!CS$2:'S_plus'!CS80)</f>
        <v>103.01107344511645</v>
      </c>
      <c r="CM80">
        <f>AVERAGE(S_plus!CT$2:'S_plus'!CT80)</f>
        <v>114.40768280391896</v>
      </c>
      <c r="CN80">
        <f>AVERAGE(S_plus!CU$2:'S_plus'!CU80)</f>
        <v>103.8108163705278</v>
      </c>
      <c r="CO80">
        <f>AVERAGE(S_plus!CV$2:'S_plus'!CV80)</f>
        <v>92.138654889810127</v>
      </c>
      <c r="CP80">
        <f>AVERAGE(S_plus!CW$2:'S_plus'!CW80)</f>
        <v>107.76577591768479</v>
      </c>
      <c r="CQ80">
        <f>AVERAGE(S_plus!CX$2:'S_plus'!CX80)</f>
        <v>117.74343339599497</v>
      </c>
      <c r="CR80">
        <f>AVERAGE(S_plus!CY$2:'S_plus'!CY80)</f>
        <v>107.12630960375571</v>
      </c>
      <c r="CS80">
        <f>AVERAGE(S_plus!CZ$2:'S_plus'!CZ80)</f>
        <v>107.06815837377466</v>
      </c>
      <c r="CT80">
        <f>AVERAGE(S_plus!DA$2:'S_plus'!DA80)</f>
        <v>115.4967679635316</v>
      </c>
      <c r="CU80">
        <f>AVERAGE(S_plus!DB$2:'S_plus'!DB80)</f>
        <v>86.013966816321513</v>
      </c>
      <c r="CV80">
        <f>AVERAGE(S_plus!DC$2:'S_plus'!DC80)</f>
        <v>102.68264222433801</v>
      </c>
      <c r="CW80">
        <f>AVERAGE(S_plus!DD$2:'S_plus'!DD80)</f>
        <v>93.15904256250127</v>
      </c>
      <c r="CX80">
        <f>AVERAGE(S_plus!DE$2:'S_plus'!DE80)</f>
        <v>103.50356844486957</v>
      </c>
      <c r="CY80">
        <f>AVERAGE(S_plus!DF$2:'S_plus'!DF80)</f>
        <v>87.568634155624054</v>
      </c>
      <c r="CZ80">
        <f>AVERAGE(S_plus!DG$2:'S_plus'!DG80)</f>
        <v>89.814345860106286</v>
      </c>
      <c r="DA80">
        <f>AVERAGE(S_plus!DH$2:'S_plus'!DH80)</f>
        <v>99.471761343141793</v>
      </c>
    </row>
    <row r="81" spans="5:105" x14ac:dyDescent="0.25">
      <c r="E81">
        <f>E80+Asian!dt</f>
        <v>0.79000000000000048</v>
      </c>
      <c r="F81">
        <f>AVERAGE(S_plus!M$2:'S_plus'!M81)</f>
        <v>90.189269843622512</v>
      </c>
      <c r="G81">
        <f>AVERAGE(S_plus!N$2:'S_plus'!N81)</f>
        <v>96.157449586206241</v>
      </c>
      <c r="H81">
        <f>AVERAGE(S_plus!O$2:'S_plus'!O81)</f>
        <v>105.79542056142377</v>
      </c>
      <c r="I81">
        <f>AVERAGE(S_plus!P$2:'S_plus'!P81)</f>
        <v>98.452858942647495</v>
      </c>
      <c r="J81">
        <f>AVERAGE(S_plus!Q$2:'S_plus'!Q81)</f>
        <v>82.972383243591253</v>
      </c>
      <c r="K81">
        <f>AVERAGE(S_plus!R$2:'S_plus'!R81)</f>
        <v>95.262099036270001</v>
      </c>
      <c r="L81">
        <f>AVERAGE(S_plus!S$2:'S_plus'!S81)</f>
        <v>111.82392997624875</v>
      </c>
      <c r="M81">
        <f>AVERAGE(S_plus!T$2:'S_plus'!T81)</f>
        <v>83.660246032124988</v>
      </c>
      <c r="N81">
        <f>AVERAGE(S_plus!U$2:'S_plus'!U81)</f>
        <v>112.19881363350001</v>
      </c>
      <c r="O81">
        <f>AVERAGE(S_plus!V$2:'S_plus'!V81)</f>
        <v>107.4551221353375</v>
      </c>
      <c r="P81">
        <f>AVERAGE(S_plus!W$2:'S_plus'!W81)</f>
        <v>104.52074740052876</v>
      </c>
      <c r="Q81">
        <f>AVERAGE(S_plus!X$2:'S_plus'!X81)</f>
        <v>113.9863542669375</v>
      </c>
      <c r="R81">
        <f>AVERAGE(S_plus!Y$2:'S_plus'!Y81)</f>
        <v>92.667701607763746</v>
      </c>
      <c r="S81">
        <f>AVERAGE(S_plus!Z$2:'S_plus'!Z81)</f>
        <v>106.78413417259749</v>
      </c>
      <c r="T81">
        <f>AVERAGE(S_plus!AA$2:'S_plus'!AA81)</f>
        <v>105.50773934866497</v>
      </c>
      <c r="U81">
        <f>AVERAGE(S_plus!AB$2:'S_plus'!AB81)</f>
        <v>101.081400881725</v>
      </c>
      <c r="V81">
        <f>AVERAGE(S_plus!AC$2:'S_plus'!AC81)</f>
        <v>87.601205988933756</v>
      </c>
      <c r="W81">
        <f>AVERAGE(S_plus!AD$2:'S_plus'!AD81)</f>
        <v>98.266054718960035</v>
      </c>
      <c r="X81">
        <f>AVERAGE(S_plus!AE$2:'S_plus'!AE81)</f>
        <v>124.74787777901869</v>
      </c>
      <c r="Y81">
        <f>AVERAGE(S_plus!AF$2:'S_plus'!AF81)</f>
        <v>111.93805336620127</v>
      </c>
      <c r="Z81">
        <f>AVERAGE(S_plus!AG$2:'S_plus'!AG81)</f>
        <v>106.38379667013996</v>
      </c>
      <c r="AA81">
        <f>AVERAGE(S_plus!AH$2:'S_plus'!AH81)</f>
        <v>107.47978571652126</v>
      </c>
      <c r="AB81">
        <f>AVERAGE(S_plus!AI$2:'S_plus'!AI81)</f>
        <v>88.075290368018756</v>
      </c>
      <c r="AC81">
        <f>AVERAGE(S_plus!AJ$2:'S_plus'!AJ81)</f>
        <v>91.52694264861627</v>
      </c>
      <c r="AD81">
        <f>AVERAGE(S_plus!AK$2:'S_plus'!AK81)</f>
        <v>112.3128639951063</v>
      </c>
      <c r="AE81">
        <f>AVERAGE(S_plus!AL$2:'S_plus'!AL81)</f>
        <v>106.60911199779123</v>
      </c>
      <c r="AF81">
        <f>AVERAGE(S_plus!AM$2:'S_plus'!AM81)</f>
        <v>94.585430809265006</v>
      </c>
      <c r="AG81">
        <f>AVERAGE(S_plus!AN$2:'S_plus'!AN81)</f>
        <v>111.383018529125</v>
      </c>
      <c r="AH81">
        <f>AVERAGE(S_plus!AO$2:'S_plus'!AO81)</f>
        <v>98.681329331179995</v>
      </c>
      <c r="AI81">
        <f>AVERAGE(S_plus!AP$2:'S_plus'!AP81)</f>
        <v>90.841768973758718</v>
      </c>
      <c r="AJ81">
        <f>AVERAGE(S_plus!AQ$2:'S_plus'!AQ81)</f>
        <v>106.69560774633251</v>
      </c>
      <c r="AK81">
        <f>AVERAGE(S_plus!AR$2:'S_plus'!AR81)</f>
        <v>100.63795482676875</v>
      </c>
      <c r="AL81">
        <f>AVERAGE(S_plus!AS$2:'S_plus'!AS81)</f>
        <v>119.72697425789129</v>
      </c>
      <c r="AM81">
        <f>AVERAGE(S_plus!AT$2:'S_plus'!AT81)</f>
        <v>92.564981211686259</v>
      </c>
      <c r="AN81">
        <f>AVERAGE(S_plus!AU$2:'S_plus'!AU81)</f>
        <v>102.50713009609248</v>
      </c>
      <c r="AO81">
        <f>AVERAGE(S_plus!AV$2:'S_plus'!AV81)</f>
        <v>109.57233117899246</v>
      </c>
      <c r="AP81">
        <f>AVERAGE(S_plus!AW$2:'S_plus'!AW81)</f>
        <v>115.34008057371247</v>
      </c>
      <c r="AQ81">
        <f>AVERAGE(S_plus!AX$2:'S_plus'!AX81)</f>
        <v>99.571149239477563</v>
      </c>
      <c r="AR81">
        <f>AVERAGE(S_plus!AY$2:'S_plus'!AY81)</f>
        <v>97.961715204411249</v>
      </c>
      <c r="AS81">
        <f>AVERAGE(S_plus!AZ$2:'S_plus'!AZ81)</f>
        <v>118.29152672394999</v>
      </c>
      <c r="AT81">
        <f>AVERAGE(S_plus!BA$2:'S_plus'!BA81)</f>
        <v>114.831414396825</v>
      </c>
      <c r="AU81">
        <f>AVERAGE(S_plus!BB$2:'S_plus'!BB81)</f>
        <v>106.17079638499627</v>
      </c>
      <c r="AV81">
        <f>AVERAGE(S_plus!BC$2:'S_plus'!BC81)</f>
        <v>112.43438507855248</v>
      </c>
      <c r="AW81">
        <f>AVERAGE(S_plus!BD$2:'S_plus'!BD81)</f>
        <v>105.36546956080372</v>
      </c>
      <c r="AX81">
        <f>AVERAGE(S_plus!BE$2:'S_plus'!BE81)</f>
        <v>95.597194602573765</v>
      </c>
      <c r="AY81">
        <f>AVERAGE(S_plus!BF$2:'S_plus'!BF81)</f>
        <v>89.739054046839996</v>
      </c>
      <c r="AZ81">
        <f>AVERAGE(S_plus!BG$2:'S_plus'!BG81)</f>
        <v>93.742866120939965</v>
      </c>
      <c r="BA81">
        <f>AVERAGE(S_plus!BH$2:'S_plus'!BH81)</f>
        <v>102.14457279000626</v>
      </c>
      <c r="BB81">
        <f>AVERAGE(S_plus!BI$2:'S_plus'!BI81)</f>
        <v>106.44430514625876</v>
      </c>
      <c r="BC81">
        <f>AVERAGE(S_plus!BJ$2:'S_plus'!BJ81)</f>
        <v>107.18022889047248</v>
      </c>
      <c r="BD81">
        <f>AVERAGE(S_plus!BK$2:'S_plus'!BK81)</f>
        <v>97.880974579278742</v>
      </c>
      <c r="BE81">
        <f>AVERAGE(S_plus!BL$2:'S_plus'!BL81)</f>
        <v>88.380775106786231</v>
      </c>
      <c r="BF81">
        <f>AVERAGE(S_plus!BM$2:'S_plus'!BM81)</f>
        <v>101.7602640581575</v>
      </c>
      <c r="BG81">
        <f>AVERAGE(S_plus!BN$2:'S_plus'!BN81)</f>
        <v>104.18316593177128</v>
      </c>
      <c r="BH81">
        <f>AVERAGE(S_plus!BO$2:'S_plus'!BO81)</f>
        <v>86.716999899892542</v>
      </c>
      <c r="BI81">
        <f>AVERAGE(S_plus!BP$2:'S_plus'!BP81)</f>
        <v>87.20891919389004</v>
      </c>
      <c r="BJ81">
        <f>AVERAGE(S_plus!BQ$2:'S_plus'!BQ81)</f>
        <v>91.497696082992462</v>
      </c>
      <c r="BK81">
        <f>AVERAGE(S_plus!BR$2:'S_plus'!BR81)</f>
        <v>107.88389805345498</v>
      </c>
      <c r="BL81">
        <f>AVERAGE(S_plus!BS$2:'S_plus'!BS81)</f>
        <v>108.54810835076626</v>
      </c>
      <c r="BM81">
        <f>AVERAGE(S_plus!BT$2:'S_plus'!BT81)</f>
        <v>110.79229302927006</v>
      </c>
      <c r="BN81">
        <f>AVERAGE(S_plus!BU$2:'S_plus'!BU81)</f>
        <v>100.81073375981998</v>
      </c>
      <c r="BO81">
        <f>AVERAGE(S_plus!BV$2:'S_plus'!BV81)</f>
        <v>90.463058438887487</v>
      </c>
      <c r="BP81">
        <f>AVERAGE(S_plus!BW$2:'S_plus'!BW81)</f>
        <v>96.899966455842474</v>
      </c>
      <c r="BQ81">
        <f>AVERAGE(S_plus!BX$2:'S_plus'!BX81)</f>
        <v>81.474288886586237</v>
      </c>
      <c r="BR81">
        <f>AVERAGE(S_plus!BY$2:'S_plus'!BY81)</f>
        <v>99.43511134340001</v>
      </c>
      <c r="BS81">
        <f>AVERAGE(S_plus!BZ$2:'S_plus'!BZ81)</f>
        <v>104.97958190115249</v>
      </c>
      <c r="BT81">
        <f>AVERAGE(S_plus!CA$2:'S_plus'!CA81)</f>
        <v>96.712684936518784</v>
      </c>
      <c r="BU81">
        <f>AVERAGE(S_plus!CB$2:'S_plus'!CB81)</f>
        <v>100.7881565335675</v>
      </c>
      <c r="BV81">
        <f>AVERAGE(S_plus!CC$2:'S_plus'!CC81)</f>
        <v>87.969462307184983</v>
      </c>
      <c r="BW81">
        <f>AVERAGE(S_plus!CD$2:'S_plus'!CD81)</f>
        <v>99.381388029051251</v>
      </c>
      <c r="BX81">
        <f>AVERAGE(S_plus!CE$2:'S_plus'!CE81)</f>
        <v>94.861918602167492</v>
      </c>
      <c r="BY81">
        <f>AVERAGE(S_plus!CF$2:'S_plus'!CF81)</f>
        <v>88.523979624320006</v>
      </c>
      <c r="BZ81">
        <f>AVERAGE(S_plus!CG$2:'S_plus'!CG81)</f>
        <v>95.685649094439995</v>
      </c>
      <c r="CA81">
        <f>AVERAGE(S_plus!CH$2:'S_plus'!CH81)</f>
        <v>117.42919205594998</v>
      </c>
      <c r="CB81">
        <f>AVERAGE(S_plus!CI$2:'S_plus'!CI81)</f>
        <v>97.330359537933788</v>
      </c>
      <c r="CC81">
        <f>AVERAGE(S_plus!CJ$2:'S_plus'!CJ81)</f>
        <v>101.43583804695751</v>
      </c>
      <c r="CD81">
        <f>AVERAGE(S_plus!CK$2:'S_plus'!CK81)</f>
        <v>93.528696198121239</v>
      </c>
      <c r="CE81">
        <f>AVERAGE(S_plus!CL$2:'S_plus'!CL81)</f>
        <v>87.034265980037532</v>
      </c>
      <c r="CF81">
        <f>AVERAGE(S_plus!CM$2:'S_plus'!CM81)</f>
        <v>94.718891957015046</v>
      </c>
      <c r="CG81">
        <f>AVERAGE(S_plus!CN$2:'S_plus'!CN81)</f>
        <v>98.080626401479989</v>
      </c>
      <c r="CH81">
        <f>AVERAGE(S_plus!CO$2:'S_plus'!CO81)</f>
        <v>126.77575699672499</v>
      </c>
      <c r="CI81">
        <f>AVERAGE(S_plus!CP$2:'S_plus'!CP81)</f>
        <v>93.325049513397502</v>
      </c>
      <c r="CJ81">
        <f>AVERAGE(S_plus!CQ$2:'S_plus'!CQ81)</f>
        <v>99.515726999836261</v>
      </c>
      <c r="CK81">
        <f>AVERAGE(S_plus!CR$2:'S_plus'!CR81)</f>
        <v>102.36718009406744</v>
      </c>
      <c r="CL81">
        <f>AVERAGE(S_plus!CS$2:'S_plus'!CS81)</f>
        <v>102.90471422219625</v>
      </c>
      <c r="CM81">
        <f>AVERAGE(S_plus!CT$2:'S_plus'!CT81)</f>
        <v>114.57690144865747</v>
      </c>
      <c r="CN81">
        <f>AVERAGE(S_plus!CU$2:'S_plus'!CU81)</f>
        <v>103.97635994625871</v>
      </c>
      <c r="CO81">
        <f>AVERAGE(S_plus!CV$2:'S_plus'!CV81)</f>
        <v>91.987509242569985</v>
      </c>
      <c r="CP81">
        <f>AVERAGE(S_plus!CW$2:'S_plus'!CW81)</f>
        <v>107.76322397152623</v>
      </c>
      <c r="CQ81">
        <f>AVERAGE(S_plus!CX$2:'S_plus'!CX81)</f>
        <v>117.91283252014503</v>
      </c>
      <c r="CR81">
        <f>AVERAGE(S_plus!CY$2:'S_plus'!CY81)</f>
        <v>107.26976958237125</v>
      </c>
      <c r="CS81">
        <f>AVERAGE(S_plus!CZ$2:'S_plus'!CZ81)</f>
        <v>107.04852000768999</v>
      </c>
      <c r="CT81">
        <f>AVERAGE(S_plus!DA$2:'S_plus'!DA81)</f>
        <v>115.53858692599995</v>
      </c>
      <c r="CU81">
        <f>AVERAGE(S_plus!DB$2:'S_plus'!DB81)</f>
        <v>85.846851481659996</v>
      </c>
      <c r="CV81">
        <f>AVERAGE(S_plus!DC$2:'S_plus'!DC81)</f>
        <v>102.76552138912129</v>
      </c>
      <c r="CW81">
        <f>AVERAGE(S_plus!DD$2:'S_plus'!DD81)</f>
        <v>93.268824184882504</v>
      </c>
      <c r="CX81">
        <f>AVERAGE(S_plus!DE$2:'S_plus'!DE81)</f>
        <v>103.53974524472119</v>
      </c>
      <c r="CY81">
        <f>AVERAGE(S_plus!DF$2:'S_plus'!DF81)</f>
        <v>87.478593810221241</v>
      </c>
      <c r="CZ81">
        <f>AVERAGE(S_plus!DG$2:'S_plus'!DG81)</f>
        <v>89.769120283604963</v>
      </c>
      <c r="DA81">
        <f>AVERAGE(S_plus!DH$2:'S_plus'!DH81)</f>
        <v>99.318386373491265</v>
      </c>
    </row>
    <row r="82" spans="5:105" x14ac:dyDescent="0.25">
      <c r="E82">
        <f>E81+Asian!dt</f>
        <v>0.80000000000000049</v>
      </c>
      <c r="F82">
        <f>AVERAGE(S_plus!M$2:'S_plus'!M82)</f>
        <v>90.081480394007414</v>
      </c>
      <c r="G82">
        <f>AVERAGE(S_plus!N$2:'S_plus'!N82)</f>
        <v>96.314202757858013</v>
      </c>
      <c r="H82">
        <f>AVERAGE(S_plus!O$2:'S_plus'!O82)</f>
        <v>105.78916212628273</v>
      </c>
      <c r="I82">
        <f>AVERAGE(S_plus!P$2:'S_plus'!P82)</f>
        <v>98.45961491667407</v>
      </c>
      <c r="J82">
        <f>AVERAGE(S_plus!Q$2:'S_plus'!Q82)</f>
        <v>82.766310987062965</v>
      </c>
      <c r="K82">
        <f>AVERAGE(S_plus!R$2:'S_plus'!R82)</f>
        <v>95.288077001100007</v>
      </c>
      <c r="L82">
        <f>AVERAGE(S_plus!S$2:'S_plus'!S82)</f>
        <v>111.70929182751728</v>
      </c>
      <c r="M82">
        <f>AVERAGE(S_plus!T$2:'S_plus'!T82)</f>
        <v>83.72719617656665</v>
      </c>
      <c r="N82">
        <f>AVERAGE(S_plus!U$2:'S_plus'!U82)</f>
        <v>112.2058352629753</v>
      </c>
      <c r="O82">
        <f>AVERAGE(S_plus!V$2:'S_plus'!V82)</f>
        <v>107.77464260069137</v>
      </c>
      <c r="P82">
        <f>AVERAGE(S_plus!W$2:'S_plus'!W82)</f>
        <v>104.59467936742348</v>
      </c>
      <c r="Q82">
        <f>AVERAGE(S_plus!X$2:'S_plus'!X82)</f>
        <v>114.25661833341974</v>
      </c>
      <c r="R82">
        <f>AVERAGE(S_plus!Y$2:'S_plus'!Y82)</f>
        <v>92.648565339709876</v>
      </c>
      <c r="S82">
        <f>AVERAGE(S_plus!Z$2:'S_plus'!Z82)</f>
        <v>106.7351674852938</v>
      </c>
      <c r="T82">
        <f>AVERAGE(S_plus!AA$2:'S_plus'!AA82)</f>
        <v>105.47954384368144</v>
      </c>
      <c r="U82">
        <f>AVERAGE(S_plus!AB$2:'S_plus'!AB82)</f>
        <v>101.20903385091357</v>
      </c>
      <c r="V82">
        <f>AVERAGE(S_plus!AC$2:'S_plus'!AC82)</f>
        <v>87.560842383966673</v>
      </c>
      <c r="W82">
        <f>AVERAGE(S_plus!AD$2:'S_plus'!AD82)</f>
        <v>98.242896320164235</v>
      </c>
      <c r="X82">
        <f>AVERAGE(S_plus!AE$2:'S_plus'!AE82)</f>
        <v>124.92185772410488</v>
      </c>
      <c r="Y82">
        <f>AVERAGE(S_plus!AF$2:'S_plus'!AF82)</f>
        <v>112.19182208589015</v>
      </c>
      <c r="Z82">
        <f>AVERAGE(S_plus!AG$2:'S_plus'!AG82)</f>
        <v>106.52479560731108</v>
      </c>
      <c r="AA82">
        <f>AVERAGE(S_plus!AH$2:'S_plus'!AH82)</f>
        <v>107.59057224424323</v>
      </c>
      <c r="AB82">
        <f>AVERAGE(S_plus!AI$2:'S_plus'!AI82)</f>
        <v>88.054307025444444</v>
      </c>
      <c r="AC82">
        <f>AVERAGE(S_plus!AJ$2:'S_plus'!AJ82)</f>
        <v>91.527283811612378</v>
      </c>
      <c r="AD82">
        <f>AVERAGE(S_plus!AK$2:'S_plus'!AK82)</f>
        <v>112.08128136960747</v>
      </c>
      <c r="AE82">
        <f>AVERAGE(S_plus!AL$2:'S_plus'!AL82)</f>
        <v>106.77666110989257</v>
      </c>
      <c r="AF82">
        <f>AVERAGE(S_plus!AM$2:'S_plus'!AM82)</f>
        <v>94.69285273553335</v>
      </c>
      <c r="AG82">
        <f>AVERAGE(S_plus!AN$2:'S_plus'!AN82)</f>
        <v>111.2848012001358</v>
      </c>
      <c r="AH82">
        <f>AVERAGE(S_plus!AO$2:'S_plus'!AO82)</f>
        <v>98.71940100044938</v>
      </c>
      <c r="AI82">
        <f>AVERAGE(S_plus!AP$2:'S_plus'!AP82)</f>
        <v>90.984165506453053</v>
      </c>
      <c r="AJ82">
        <f>AVERAGE(S_plus!AQ$2:'S_plus'!AQ82)</f>
        <v>106.82014677350124</v>
      </c>
      <c r="AK82">
        <f>AVERAGE(S_plus!AR$2:'S_plus'!AR82)</f>
        <v>100.65573420338889</v>
      </c>
      <c r="AL82">
        <f>AVERAGE(S_plus!AS$2:'S_plus'!AS82)</f>
        <v>119.89408274211486</v>
      </c>
      <c r="AM82">
        <f>AVERAGE(S_plus!AT$2:'S_plus'!AT82)</f>
        <v>92.586037495482714</v>
      </c>
      <c r="AN82">
        <f>AVERAGE(S_plus!AU$2:'S_plus'!AU82)</f>
        <v>102.71409874957283</v>
      </c>
      <c r="AO82">
        <f>AVERAGE(S_plus!AV$2:'S_plus'!AV82)</f>
        <v>109.73066365614071</v>
      </c>
      <c r="AP82">
        <f>AVERAGE(S_plus!AW$2:'S_plus'!AW82)</f>
        <v>115.27389436903701</v>
      </c>
      <c r="AQ82">
        <f>AVERAGE(S_plus!AX$2:'S_plus'!AX82)</f>
        <v>99.513714001935867</v>
      </c>
      <c r="AR82">
        <f>AVERAGE(S_plus!AY$2:'S_plus'!AY82)</f>
        <v>97.855230661659249</v>
      </c>
      <c r="AS82">
        <f>AVERAGE(S_plus!AZ$2:'S_plus'!AZ82)</f>
        <v>118.42938725062962</v>
      </c>
      <c r="AT82">
        <f>AVERAGE(S_plus!BA$2:'S_plus'!BA82)</f>
        <v>114.97845888635803</v>
      </c>
      <c r="AU82">
        <f>AVERAGE(S_plus!BB$2:'S_plus'!BB82)</f>
        <v>106.13258131995927</v>
      </c>
      <c r="AV82">
        <f>AVERAGE(S_plus!BC$2:'S_plus'!BC82)</f>
        <v>112.42334260581728</v>
      </c>
      <c r="AW82">
        <f>AVERAGE(S_plus!BD$2:'S_plus'!BD82)</f>
        <v>105.56342853380615</v>
      </c>
      <c r="AX82">
        <f>AVERAGE(S_plus!BE$2:'S_plus'!BE82)</f>
        <v>95.62640186413212</v>
      </c>
      <c r="AY82">
        <f>AVERAGE(S_plus!BF$2:'S_plus'!BF82)</f>
        <v>89.645523364879011</v>
      </c>
      <c r="AZ82">
        <f>AVERAGE(S_plus!BG$2:'S_plus'!BG82)</f>
        <v>93.643222219462928</v>
      </c>
      <c r="BA82">
        <f>AVERAGE(S_plus!BH$2:'S_plus'!BH82)</f>
        <v>102.24570359742593</v>
      </c>
      <c r="BB82">
        <f>AVERAGE(S_plus!BI$2:'S_plus'!BI82)</f>
        <v>106.38550985381113</v>
      </c>
      <c r="BC82">
        <f>AVERAGE(S_plus!BJ$2:'S_plus'!BJ82)</f>
        <v>107.29136649539257</v>
      </c>
      <c r="BD82">
        <f>AVERAGE(S_plus!BK$2:'S_plus'!BK82)</f>
        <v>98.039532061769137</v>
      </c>
      <c r="BE82">
        <f>AVERAGE(S_plus!BL$2:'S_plus'!BL82)</f>
        <v>88.206243397576529</v>
      </c>
      <c r="BF82">
        <f>AVERAGE(S_plus!BM$2:'S_plus'!BM82)</f>
        <v>102.01800045094566</v>
      </c>
      <c r="BG82">
        <f>AVERAGE(S_plus!BN$2:'S_plus'!BN82)</f>
        <v>104.35076341170003</v>
      </c>
      <c r="BH82">
        <f>AVERAGE(S_plus!BO$2:'S_plus'!BO82)</f>
        <v>86.736452282132134</v>
      </c>
      <c r="BI82">
        <f>AVERAGE(S_plus!BP$2:'S_plus'!BP82)</f>
        <v>87.064857637217315</v>
      </c>
      <c r="BJ82">
        <f>AVERAGE(S_plus!BQ$2:'S_plus'!BQ82)</f>
        <v>91.60536264441231</v>
      </c>
      <c r="BK82">
        <f>AVERAGE(S_plus!BR$2:'S_plus'!BR82)</f>
        <v>107.98177235199259</v>
      </c>
      <c r="BL82">
        <f>AVERAGE(S_plus!BS$2:'S_plus'!BS82)</f>
        <v>108.63663959527533</v>
      </c>
      <c r="BM82">
        <f>AVERAGE(S_plus!BT$2:'S_plus'!BT82)</f>
        <v>110.94529067979759</v>
      </c>
      <c r="BN82">
        <f>AVERAGE(S_plus!BU$2:'S_plus'!BU82)</f>
        <v>100.61696015570492</v>
      </c>
      <c r="BO82">
        <f>AVERAGE(S_plus!BV$2:'S_plus'!BV82)</f>
        <v>90.437193337823459</v>
      </c>
      <c r="BP82">
        <f>AVERAGE(S_plus!BW$2:'S_plus'!BW82)</f>
        <v>97.07883399562219</v>
      </c>
      <c r="BQ82">
        <f>AVERAGE(S_plus!BX$2:'S_plus'!BX82)</f>
        <v>81.375253878540718</v>
      </c>
      <c r="BR82">
        <f>AVERAGE(S_plus!BY$2:'S_plus'!BY82)</f>
        <v>99.208244959497549</v>
      </c>
      <c r="BS82">
        <f>AVERAGE(S_plus!BZ$2:'S_plus'!BZ82)</f>
        <v>105.29875408817529</v>
      </c>
      <c r="BT82">
        <f>AVERAGE(S_plus!CA$2:'S_plus'!CA82)</f>
        <v>96.543137672221022</v>
      </c>
      <c r="BU82">
        <f>AVERAGE(S_plus!CB$2:'S_plus'!CB82)</f>
        <v>100.69301639467285</v>
      </c>
      <c r="BV82">
        <f>AVERAGE(S_plus!CC$2:'S_plus'!CC82)</f>
        <v>87.790328041387639</v>
      </c>
      <c r="BW82">
        <f>AVERAGE(S_plus!CD$2:'S_plus'!CD82)</f>
        <v>99.487108106223459</v>
      </c>
      <c r="BX82">
        <f>AVERAGE(S_plus!CE$2:'S_plus'!CE82)</f>
        <v>94.652233560241967</v>
      </c>
      <c r="BY82">
        <f>AVERAGE(S_plus!CF$2:'S_plus'!CF82)</f>
        <v>88.368523996359272</v>
      </c>
      <c r="BZ82">
        <f>AVERAGE(S_plus!CG$2:'S_plus'!CG82)</f>
        <v>95.798751942693826</v>
      </c>
      <c r="CA82">
        <f>AVERAGE(S_plus!CH$2:'S_plus'!CH82)</f>
        <v>117.4547344924321</v>
      </c>
      <c r="CB82">
        <f>AVERAGE(S_plus!CI$2:'S_plus'!CI82)</f>
        <v>97.206028696798811</v>
      </c>
      <c r="CC82">
        <f>AVERAGE(S_plus!CJ$2:'S_plus'!CJ82)</f>
        <v>101.4697596793531</v>
      </c>
      <c r="CD82">
        <f>AVERAGE(S_plus!CK$2:'S_plus'!CK82)</f>
        <v>93.604066060558011</v>
      </c>
      <c r="CE82">
        <f>AVERAGE(S_plus!CL$2:'S_plus'!CL82)</f>
        <v>87.030648218896332</v>
      </c>
      <c r="CF82">
        <f>AVERAGE(S_plus!CM$2:'S_plus'!CM82)</f>
        <v>94.609505953353136</v>
      </c>
      <c r="CG82">
        <f>AVERAGE(S_plus!CN$2:'S_plus'!CN82)</f>
        <v>98.180653548362955</v>
      </c>
      <c r="CH82">
        <f>AVERAGE(S_plus!CO$2:'S_plus'!CO82)</f>
        <v>127.00939291260492</v>
      </c>
      <c r="CI82">
        <f>AVERAGE(S_plus!CP$2:'S_plus'!CP82)</f>
        <v>93.210042158248157</v>
      </c>
      <c r="CJ82">
        <f>AVERAGE(S_plus!CQ$2:'S_plus'!CQ82)</f>
        <v>99.306247980418533</v>
      </c>
      <c r="CK82">
        <f>AVERAGE(S_plus!CR$2:'S_plus'!CR82)</f>
        <v>102.27546059612463</v>
      </c>
      <c r="CL82">
        <f>AVERAGE(S_plus!CS$2:'S_plus'!CS82)</f>
        <v>102.80514566784939</v>
      </c>
      <c r="CM82">
        <f>AVERAGE(S_plus!CT$2:'S_plus'!CT82)</f>
        <v>114.77606504508145</v>
      </c>
      <c r="CN82">
        <f>AVERAGE(S_plus!CU$2:'S_plus'!CU82)</f>
        <v>104.14767905939132</v>
      </c>
      <c r="CO82">
        <f>AVERAGE(S_plus!CV$2:'S_plus'!CV82)</f>
        <v>91.852844110403694</v>
      </c>
      <c r="CP82">
        <f>AVERAGE(S_plus!CW$2:'S_plus'!CW82)</f>
        <v>107.76816216340863</v>
      </c>
      <c r="CQ82">
        <f>AVERAGE(S_plus!CX$2:'S_plus'!CX82)</f>
        <v>118.04776183892102</v>
      </c>
      <c r="CR82">
        <f>AVERAGE(S_plus!CY$2:'S_plus'!CY82)</f>
        <v>107.45469945814446</v>
      </c>
      <c r="CS82">
        <f>AVERAGE(S_plus!CZ$2:'S_plus'!CZ82)</f>
        <v>107.04100293827406</v>
      </c>
      <c r="CT82">
        <f>AVERAGE(S_plus!DA$2:'S_plus'!DA82)</f>
        <v>115.5853039655555</v>
      </c>
      <c r="CU82">
        <f>AVERAGE(S_plus!DB$2:'S_plus'!DB82)</f>
        <v>85.685059119612347</v>
      </c>
      <c r="CV82">
        <f>AVERAGE(S_plus!DC$2:'S_plus'!DC82)</f>
        <v>102.85070621189759</v>
      </c>
      <c r="CW82">
        <f>AVERAGE(S_plus!DD$2:'S_plus'!DD82)</f>
        <v>93.349327769544445</v>
      </c>
      <c r="CX82">
        <f>AVERAGE(S_plus!DE$2:'S_plus'!DE82)</f>
        <v>103.59177081632957</v>
      </c>
      <c r="CY82">
        <f>AVERAGE(S_plus!DF$2:'S_plus'!DF82)</f>
        <v>87.376476956851846</v>
      </c>
      <c r="CZ82">
        <f>AVERAGE(S_plus!DG$2:'S_plus'!DG82)</f>
        <v>89.704856980802433</v>
      </c>
      <c r="DA82">
        <f>AVERAGE(S_plus!DH$2:'S_plus'!DH82)</f>
        <v>99.195539577395067</v>
      </c>
    </row>
    <row r="83" spans="5:105" x14ac:dyDescent="0.25">
      <c r="E83">
        <f>E82+Asian!dt</f>
        <v>0.8100000000000005</v>
      </c>
      <c r="F83">
        <f>AVERAGE(S_plus!M$2:'S_plus'!M83)</f>
        <v>90.017533654346352</v>
      </c>
      <c r="G83">
        <f>AVERAGE(S_plus!N$2:'S_plus'!N83)</f>
        <v>96.403305642420719</v>
      </c>
      <c r="H83">
        <f>AVERAGE(S_plus!O$2:'S_plus'!O83)</f>
        <v>105.78066618035245</v>
      </c>
      <c r="I83">
        <f>AVERAGE(S_plus!P$2:'S_plus'!P83)</f>
        <v>98.512575030751208</v>
      </c>
      <c r="J83">
        <f>AVERAGE(S_plus!Q$2:'S_plus'!Q83)</f>
        <v>82.546358456739028</v>
      </c>
      <c r="K83">
        <f>AVERAGE(S_plus!R$2:'S_plus'!R83)</f>
        <v>95.295243297001221</v>
      </c>
      <c r="L83">
        <f>AVERAGE(S_plus!S$2:'S_plus'!S83)</f>
        <v>111.58208704898658</v>
      </c>
      <c r="M83">
        <f>AVERAGE(S_plus!T$2:'S_plus'!T83)</f>
        <v>83.777746089432924</v>
      </c>
      <c r="N83">
        <f>AVERAGE(S_plus!U$2:'S_plus'!U83)</f>
        <v>112.20768795956097</v>
      </c>
      <c r="O83">
        <f>AVERAGE(S_plus!V$2:'S_plus'!V83)</f>
        <v>108.09436040414633</v>
      </c>
      <c r="P83">
        <f>AVERAGE(S_plus!W$2:'S_plus'!W83)</f>
        <v>104.70758854807686</v>
      </c>
      <c r="Q83">
        <f>AVERAGE(S_plus!X$2:'S_plus'!X83)</f>
        <v>114.53493570963414</v>
      </c>
      <c r="R83">
        <f>AVERAGE(S_plus!Y$2:'S_plus'!Y83)</f>
        <v>92.657516626623163</v>
      </c>
      <c r="S83">
        <f>AVERAGE(S_plus!Z$2:'S_plus'!Z83)</f>
        <v>106.67081054148535</v>
      </c>
      <c r="T83">
        <f>AVERAGE(S_plus!AA$2:'S_plus'!AA83)</f>
        <v>105.43410827468533</v>
      </c>
      <c r="U83">
        <f>AVERAGE(S_plus!AB$2:'S_plus'!AB83)</f>
        <v>101.31248591681707</v>
      </c>
      <c r="V83">
        <f>AVERAGE(S_plus!AC$2:'S_plus'!AC83)</f>
        <v>87.553239974034156</v>
      </c>
      <c r="W83">
        <f>AVERAGE(S_plus!AD$2:'S_plus'!AD83)</f>
        <v>98.201435137493945</v>
      </c>
      <c r="X83">
        <f>AVERAGE(S_plus!AE$2:'S_plus'!AE83)</f>
        <v>125.06396172257922</v>
      </c>
      <c r="Y83">
        <f>AVERAGE(S_plus!AF$2:'S_plus'!AF83)</f>
        <v>112.47082689870857</v>
      </c>
      <c r="Z83">
        <f>AVERAGE(S_plus!AG$2:'S_plus'!AG83)</f>
        <v>106.70388427070972</v>
      </c>
      <c r="AA83">
        <f>AVERAGE(S_plus!AH$2:'S_plus'!AH83)</f>
        <v>107.70265323827687</v>
      </c>
      <c r="AB83">
        <f>AVERAGE(S_plus!AI$2:'S_plus'!AI83)</f>
        <v>88.00960441555732</v>
      </c>
      <c r="AC83">
        <f>AVERAGE(S_plus!AJ$2:'S_plus'!AJ83)</f>
        <v>91.501547742041495</v>
      </c>
      <c r="AD83">
        <f>AVERAGE(S_plus!AK$2:'S_plus'!AK83)</f>
        <v>111.86037967819396</v>
      </c>
      <c r="AE83">
        <f>AVERAGE(S_plus!AL$2:'S_plus'!AL83)</f>
        <v>106.9200517170768</v>
      </c>
      <c r="AF83">
        <f>AVERAGE(S_plus!AM$2:'S_plus'!AM83)</f>
        <v>94.834491583551227</v>
      </c>
      <c r="AG83">
        <f>AVERAGE(S_plus!AN$2:'S_plus'!AN83)</f>
        <v>111.16798991186586</v>
      </c>
      <c r="AH83">
        <f>AVERAGE(S_plus!AO$2:'S_plus'!AO83)</f>
        <v>98.751172077687798</v>
      </c>
      <c r="AI83">
        <f>AVERAGE(S_plus!AP$2:'S_plus'!AP83)</f>
        <v>91.097303735301182</v>
      </c>
      <c r="AJ83">
        <f>AVERAGE(S_plus!AQ$2:'S_plus'!AQ83)</f>
        <v>106.94737792895855</v>
      </c>
      <c r="AK83">
        <f>AVERAGE(S_plus!AR$2:'S_plus'!AR83)</f>
        <v>100.65275829433537</v>
      </c>
      <c r="AL83">
        <f>AVERAGE(S_plus!AS$2:'S_plus'!AS83)</f>
        <v>120.02634591690615</v>
      </c>
      <c r="AM83">
        <f>AVERAGE(S_plus!AT$2:'S_plus'!AT83)</f>
        <v>92.578306672246356</v>
      </c>
      <c r="AN83">
        <f>AVERAGE(S_plus!AU$2:'S_plus'!AU83)</f>
        <v>102.93920746741952</v>
      </c>
      <c r="AO83">
        <f>AVERAGE(S_plus!AV$2:'S_plus'!AV83)</f>
        <v>109.83013674078532</v>
      </c>
      <c r="AP83">
        <f>AVERAGE(S_plus!AW$2:'S_plus'!AW83)</f>
        <v>115.21805252404876</v>
      </c>
      <c r="AQ83">
        <f>AVERAGE(S_plus!AX$2:'S_plus'!AX83)</f>
        <v>99.484996213680546</v>
      </c>
      <c r="AR83">
        <f>AVERAGE(S_plus!AY$2:'S_plus'!AY83)</f>
        <v>97.723968895158535</v>
      </c>
      <c r="AS83">
        <f>AVERAGE(S_plus!AZ$2:'S_plus'!AZ83)</f>
        <v>118.53836754091461</v>
      </c>
      <c r="AT83">
        <f>AVERAGE(S_plus!BA$2:'S_plus'!BA83)</f>
        <v>115.09225797909755</v>
      </c>
      <c r="AU83">
        <f>AVERAGE(S_plus!BB$2:'S_plus'!BB83)</f>
        <v>106.12121614852074</v>
      </c>
      <c r="AV83">
        <f>AVERAGE(S_plus!BC$2:'S_plus'!BC83)</f>
        <v>112.40865710328292</v>
      </c>
      <c r="AW83">
        <f>AVERAGE(S_plus!BD$2:'S_plus'!BD83)</f>
        <v>105.77239484479631</v>
      </c>
      <c r="AX83">
        <f>AVERAGE(S_plus!BE$2:'S_plus'!BE83)</f>
        <v>95.64271824717197</v>
      </c>
      <c r="AY83">
        <f>AVERAGE(S_plus!BF$2:'S_plus'!BF83)</f>
        <v>89.561339247201218</v>
      </c>
      <c r="AZ83">
        <f>AVERAGE(S_plus!BG$2:'S_plus'!BG83)</f>
        <v>93.565867048617051</v>
      </c>
      <c r="BA83">
        <f>AVERAGE(S_plus!BH$2:'S_plus'!BH83)</f>
        <v>102.39458761664024</v>
      </c>
      <c r="BB83">
        <f>AVERAGE(S_plus!BI$2:'S_plus'!BI83)</f>
        <v>106.33002288058172</v>
      </c>
      <c r="BC83">
        <f>AVERAGE(S_plus!BJ$2:'S_plus'!BJ83)</f>
        <v>107.39544919696095</v>
      </c>
      <c r="BD83">
        <f>AVERAGE(S_plus!BK$2:'S_plus'!BK83)</f>
        <v>98.190621957406094</v>
      </c>
      <c r="BE83">
        <f>AVERAGE(S_plus!BL$2:'S_plus'!BL83)</f>
        <v>88.02410842018412</v>
      </c>
      <c r="BF83">
        <f>AVERAGE(S_plus!BM$2:'S_plus'!BM83)</f>
        <v>102.28118581393414</v>
      </c>
      <c r="BG83">
        <f>AVERAGE(S_plus!BN$2:'S_plus'!BN83)</f>
        <v>104.48305944381346</v>
      </c>
      <c r="BH83">
        <f>AVERAGE(S_plus!BO$2:'S_plus'!BO83)</f>
        <v>86.767431595381751</v>
      </c>
      <c r="BI83">
        <f>AVERAGE(S_plus!BP$2:'S_plus'!BP83)</f>
        <v>86.94353289025247</v>
      </c>
      <c r="BJ83">
        <f>AVERAGE(S_plus!BQ$2:'S_plus'!BQ83)</f>
        <v>91.696609153485326</v>
      </c>
      <c r="BK83">
        <f>AVERAGE(S_plus!BR$2:'S_plus'!BR83)</f>
        <v>108.08869117935853</v>
      </c>
      <c r="BL83">
        <f>AVERAGE(S_plus!BS$2:'S_plus'!BS83)</f>
        <v>108.70121556872319</v>
      </c>
      <c r="BM83">
        <f>AVERAGE(S_plus!BT$2:'S_plus'!BT83)</f>
        <v>111.14082041961714</v>
      </c>
      <c r="BN83">
        <f>AVERAGE(S_plus!BU$2:'S_plus'!BU83)</f>
        <v>100.41291234755242</v>
      </c>
      <c r="BO83">
        <f>AVERAGE(S_plus!BV$2:'S_plus'!BV83)</f>
        <v>90.430127528895127</v>
      </c>
      <c r="BP83">
        <f>AVERAGE(S_plus!BW$2:'S_plus'!BW83)</f>
        <v>97.279060921748751</v>
      </c>
      <c r="BQ83">
        <f>AVERAGE(S_plus!BX$2:'S_plus'!BX83)</f>
        <v>81.287754334303642</v>
      </c>
      <c r="BR83">
        <f>AVERAGE(S_plus!BY$2:'S_plus'!BY83)</f>
        <v>99.007646193746368</v>
      </c>
      <c r="BS83">
        <f>AVERAGE(S_plus!BZ$2:'S_plus'!BZ83)</f>
        <v>105.58244025074632</v>
      </c>
      <c r="BT83">
        <f>AVERAGE(S_plus!CA$2:'S_plus'!CA83)</f>
        <v>96.350217138330521</v>
      </c>
      <c r="BU83">
        <f>AVERAGE(S_plus!CB$2:'S_plus'!CB83)</f>
        <v>100.6046881681622</v>
      </c>
      <c r="BV83">
        <f>AVERAGE(S_plus!CC$2:'S_plus'!CC83)</f>
        <v>87.624705017304848</v>
      </c>
      <c r="BW83">
        <f>AVERAGE(S_plus!CD$2:'S_plus'!CD83)</f>
        <v>99.539183545330488</v>
      </c>
      <c r="BX83">
        <f>AVERAGE(S_plus!CE$2:'S_plus'!CE83)</f>
        <v>94.44870651794146</v>
      </c>
      <c r="BY83">
        <f>AVERAGE(S_plus!CF$2:'S_plus'!CF83)</f>
        <v>88.214462737285373</v>
      </c>
      <c r="BZ83">
        <f>AVERAGE(S_plus!CG$2:'S_plus'!CG83)</f>
        <v>95.901690298673174</v>
      </c>
      <c r="CA83">
        <f>AVERAGE(S_plus!CH$2:'S_plus'!CH83)</f>
        <v>117.50469278151219</v>
      </c>
      <c r="CB83">
        <f>AVERAGE(S_plus!CI$2:'S_plus'!CI83)</f>
        <v>97.076195045992719</v>
      </c>
      <c r="CC83">
        <f>AVERAGE(S_plus!CJ$2:'S_plus'!CJ83)</f>
        <v>101.46957659490977</v>
      </c>
      <c r="CD83">
        <f>AVERAGE(S_plus!CK$2:'S_plus'!CK83)</f>
        <v>93.697169561868279</v>
      </c>
      <c r="CE83">
        <f>AVERAGE(S_plus!CL$2:'S_plus'!CL83)</f>
        <v>87.009483731191494</v>
      </c>
      <c r="CF83">
        <f>AVERAGE(S_plus!CM$2:'S_plus'!CM83)</f>
        <v>94.507041973471999</v>
      </c>
      <c r="CG83">
        <f>AVERAGE(S_plus!CN$2:'S_plus'!CN83)</f>
        <v>98.252705714614621</v>
      </c>
      <c r="CH83">
        <f>AVERAGE(S_plus!CO$2:'S_plus'!CO83)</f>
        <v>127.24578119143901</v>
      </c>
      <c r="CI83">
        <f>AVERAGE(S_plus!CP$2:'S_plus'!CP83)</f>
        <v>93.108622957363423</v>
      </c>
      <c r="CJ83">
        <f>AVERAGE(S_plus!CQ$2:'S_plus'!CQ83)</f>
        <v>99.106467933489029</v>
      </c>
      <c r="CK83">
        <f>AVERAGE(S_plus!CR$2:'S_plus'!CR83)</f>
        <v>102.19236009385239</v>
      </c>
      <c r="CL83">
        <f>AVERAGE(S_plus!CS$2:'S_plus'!CS83)</f>
        <v>102.69944166136342</v>
      </c>
      <c r="CM83">
        <f>AVERAGE(S_plus!CT$2:'S_plus'!CT83)</f>
        <v>114.95063632889753</v>
      </c>
      <c r="CN83">
        <f>AVERAGE(S_plus!CU$2:'S_plus'!CU83)</f>
        <v>104.25971286444754</v>
      </c>
      <c r="CO83">
        <f>AVERAGE(S_plus!CV$2:'S_plus'!CV83)</f>
        <v>91.721810991137801</v>
      </c>
      <c r="CP83">
        <f>AVERAGE(S_plus!CW$2:'S_plus'!CW83)</f>
        <v>107.78390083887925</v>
      </c>
      <c r="CQ83">
        <f>AVERAGE(S_plus!CX$2:'S_plus'!CX83)</f>
        <v>118.15945117914151</v>
      </c>
      <c r="CR83">
        <f>AVERAGE(S_plus!CY$2:'S_plus'!CY83)</f>
        <v>107.69028970138659</v>
      </c>
      <c r="CS83">
        <f>AVERAGE(S_plus!CZ$2:'S_plus'!CZ83)</f>
        <v>107.03305906191706</v>
      </c>
      <c r="CT83">
        <f>AVERAGE(S_plus!DA$2:'S_plus'!DA83)</f>
        <v>115.59780353095117</v>
      </c>
      <c r="CU83">
        <f>AVERAGE(S_plus!DB$2:'S_plus'!DB83)</f>
        <v>85.556465474928046</v>
      </c>
      <c r="CV83">
        <f>AVERAGE(S_plus!DC$2:'S_plus'!DC83)</f>
        <v>102.91104193937446</v>
      </c>
      <c r="CW83">
        <f>AVERAGE(S_plus!DD$2:'S_plus'!DD83)</f>
        <v>93.468708208842685</v>
      </c>
      <c r="CX83">
        <f>AVERAGE(S_plus!DE$2:'S_plus'!DE83)</f>
        <v>103.61367968115484</v>
      </c>
      <c r="CY83">
        <f>AVERAGE(S_plus!DF$2:'S_plus'!DF83)</f>
        <v>87.288118031142673</v>
      </c>
      <c r="CZ83">
        <f>AVERAGE(S_plus!DG$2:'S_plus'!DG83)</f>
        <v>89.632853939918249</v>
      </c>
      <c r="DA83">
        <f>AVERAGE(S_plus!DH$2:'S_plus'!DH83)</f>
        <v>99.064276773654882</v>
      </c>
    </row>
    <row r="84" spans="5:105" x14ac:dyDescent="0.25">
      <c r="E84">
        <f>E83+Asian!dt</f>
        <v>0.82000000000000051</v>
      </c>
      <c r="F84">
        <f>AVERAGE(S_plus!M$2:'S_plus'!M84)</f>
        <v>89.93776241906869</v>
      </c>
      <c r="G84">
        <f>AVERAGE(S_plus!N$2:'S_plus'!N84)</f>
        <v>96.509951370379511</v>
      </c>
      <c r="H84">
        <f>AVERAGE(S_plus!O$2:'S_plus'!O84)</f>
        <v>105.76508759999881</v>
      </c>
      <c r="I84">
        <f>AVERAGE(S_plus!P$2:'S_plus'!P84)</f>
        <v>98.531289635513247</v>
      </c>
      <c r="J84">
        <f>AVERAGE(S_plus!Q$2:'S_plus'!Q84)</f>
        <v>82.35170910929638</v>
      </c>
      <c r="K84">
        <f>AVERAGE(S_plus!R$2:'S_plus'!R84)</f>
        <v>95.285447815830125</v>
      </c>
      <c r="L84">
        <f>AVERAGE(S_plus!S$2:'S_plus'!S84)</f>
        <v>111.47639868837227</v>
      </c>
      <c r="M84">
        <f>AVERAGE(S_plus!T$2:'S_plus'!T84)</f>
        <v>83.824045958469881</v>
      </c>
      <c r="N84">
        <f>AVERAGE(S_plus!U$2:'S_plus'!U84)</f>
        <v>112.20853592274698</v>
      </c>
      <c r="O84">
        <f>AVERAGE(S_plus!V$2:'S_plus'!V84)</f>
        <v>108.43999015816867</v>
      </c>
      <c r="P84">
        <f>AVERAGE(S_plus!W$2:'S_plus'!W84)</f>
        <v>104.78014441926869</v>
      </c>
      <c r="Q84">
        <f>AVERAGE(S_plus!X$2:'S_plus'!X84)</f>
        <v>114.85576812216867</v>
      </c>
      <c r="R84">
        <f>AVERAGE(S_plus!Y$2:'S_plus'!Y84)</f>
        <v>92.685787515366258</v>
      </c>
      <c r="S84">
        <f>AVERAGE(S_plus!Z$2:'S_plus'!Z84)</f>
        <v>106.60649673008191</v>
      </c>
      <c r="T84">
        <f>AVERAGE(S_plus!AA$2:'S_plus'!AA84)</f>
        <v>105.36652951487707</v>
      </c>
      <c r="U84">
        <f>AVERAGE(S_plus!AB$2:'S_plus'!AB84)</f>
        <v>101.39401906619277</v>
      </c>
      <c r="V84">
        <f>AVERAGE(S_plus!AC$2:'S_plus'!AC84)</f>
        <v>87.539896105891572</v>
      </c>
      <c r="W84">
        <f>AVERAGE(S_plus!AD$2:'S_plus'!AD84)</f>
        <v>98.187144026428953</v>
      </c>
      <c r="X84">
        <f>AVERAGE(S_plus!AE$2:'S_plus'!AE84)</f>
        <v>125.17120912424696</v>
      </c>
      <c r="Y84">
        <f>AVERAGE(S_plus!AF$2:'S_plus'!AF84)</f>
        <v>112.7700537473627</v>
      </c>
      <c r="Z84">
        <f>AVERAGE(S_plus!AG$2:'S_plus'!AG84)</f>
        <v>106.89314430277348</v>
      </c>
      <c r="AA84">
        <f>AVERAGE(S_plus!AH$2:'S_plus'!AH84)</f>
        <v>107.84777672157475</v>
      </c>
      <c r="AB84">
        <f>AVERAGE(S_plus!AI$2:'S_plus'!AI84)</f>
        <v>87.932962321269883</v>
      </c>
      <c r="AC84">
        <f>AVERAGE(S_plus!AJ$2:'S_plus'!AJ84)</f>
        <v>91.508076045600021</v>
      </c>
      <c r="AD84">
        <f>AVERAGE(S_plus!AK$2:'S_plus'!AK84)</f>
        <v>111.63270735437837</v>
      </c>
      <c r="AE84">
        <f>AVERAGE(S_plus!AL$2:'S_plus'!AL84)</f>
        <v>107.03170228502769</v>
      </c>
      <c r="AF84">
        <f>AVERAGE(S_plus!AM$2:'S_plus'!AM84)</f>
        <v>94.989439557544586</v>
      </c>
      <c r="AG84">
        <f>AVERAGE(S_plus!AN$2:'S_plus'!AN84)</f>
        <v>111.05512666178313</v>
      </c>
      <c r="AH84">
        <f>AVERAGE(S_plus!AO$2:'S_plus'!AO84)</f>
        <v>98.805753532293963</v>
      </c>
      <c r="AI84">
        <f>AVERAGE(S_plus!AP$2:'S_plus'!AP84)</f>
        <v>91.19174545920599</v>
      </c>
      <c r="AJ84">
        <f>AVERAGE(S_plus!AQ$2:'S_plus'!AQ84)</f>
        <v>107.02768270830845</v>
      </c>
      <c r="AK84">
        <f>AVERAGE(S_plus!AR$2:'S_plus'!AR84)</f>
        <v>100.64060594065182</v>
      </c>
      <c r="AL84">
        <f>AVERAGE(S_plus!AS$2:'S_plus'!AS84)</f>
        <v>120.15161120554582</v>
      </c>
      <c r="AM84">
        <f>AVERAGE(S_plus!AT$2:'S_plus'!AT84)</f>
        <v>92.556681929757843</v>
      </c>
      <c r="AN84">
        <f>AVERAGE(S_plus!AU$2:'S_plus'!AU84)</f>
        <v>103.18640197925784</v>
      </c>
      <c r="AO84">
        <f>AVERAGE(S_plus!AV$2:'S_plus'!AV84)</f>
        <v>109.89583990394453</v>
      </c>
      <c r="AP84">
        <f>AVERAGE(S_plus!AW$2:'S_plus'!AW84)</f>
        <v>115.16024311009635</v>
      </c>
      <c r="AQ84">
        <f>AVERAGE(S_plus!AX$2:'S_plus'!AX84)</f>
        <v>99.456664994343441</v>
      </c>
      <c r="AR84">
        <f>AVERAGE(S_plus!AY$2:'S_plus'!AY84)</f>
        <v>97.58391163984578</v>
      </c>
      <c r="AS84">
        <f>AVERAGE(S_plus!AZ$2:'S_plus'!AZ84)</f>
        <v>118.63408613633732</v>
      </c>
      <c r="AT84">
        <f>AVERAGE(S_plus!BA$2:'S_plus'!BA84)</f>
        <v>115.20402206477108</v>
      </c>
      <c r="AU84">
        <f>AVERAGE(S_plus!BB$2:'S_plus'!BB84)</f>
        <v>106.09703542226146</v>
      </c>
      <c r="AV84">
        <f>AVERAGE(S_plus!BC$2:'S_plus'!BC84)</f>
        <v>112.39719688366506</v>
      </c>
      <c r="AW84">
        <f>AVERAGE(S_plus!BD$2:'S_plus'!BD84)</f>
        <v>106.00481765570237</v>
      </c>
      <c r="AX84">
        <f>AVERAGE(S_plus!BE$2:'S_plus'!BE84)</f>
        <v>95.64072713232774</v>
      </c>
      <c r="AY84">
        <f>AVERAGE(S_plus!BF$2:'S_plus'!BF84)</f>
        <v>89.473855755739763</v>
      </c>
      <c r="AZ84">
        <f>AVERAGE(S_plus!BG$2:'S_plus'!BG84)</f>
        <v>93.518372932748164</v>
      </c>
      <c r="BA84">
        <f>AVERAGE(S_plus!BH$2:'S_plus'!BH84)</f>
        <v>102.59255259041566</v>
      </c>
      <c r="BB84">
        <f>AVERAGE(S_plus!BI$2:'S_plus'!BI84)</f>
        <v>106.27877025599639</v>
      </c>
      <c r="BC84">
        <f>AVERAGE(S_plus!BJ$2:'S_plus'!BJ84)</f>
        <v>107.4651717288048</v>
      </c>
      <c r="BD84">
        <f>AVERAGE(S_plus!BK$2:'S_plus'!BK84)</f>
        <v>98.314930035678316</v>
      </c>
      <c r="BE84">
        <f>AVERAGE(S_plus!BL$2:'S_plus'!BL84)</f>
        <v>87.864913694481899</v>
      </c>
      <c r="BF84">
        <f>AVERAGE(S_plus!BM$2:'S_plus'!BM84)</f>
        <v>102.53237988654939</v>
      </c>
      <c r="BG84">
        <f>AVERAGE(S_plus!BN$2:'S_plus'!BN84)</f>
        <v>104.61850007732173</v>
      </c>
      <c r="BH84">
        <f>AVERAGE(S_plus!BO$2:'S_plus'!BO84)</f>
        <v>86.797304329668705</v>
      </c>
      <c r="BI84">
        <f>AVERAGE(S_plus!BP$2:'S_plus'!BP84)</f>
        <v>86.826670626410888</v>
      </c>
      <c r="BJ84">
        <f>AVERAGE(S_plus!BQ$2:'S_plus'!BQ84)</f>
        <v>91.784573087139719</v>
      </c>
      <c r="BK84">
        <f>AVERAGE(S_plus!BR$2:'S_plus'!BR84)</f>
        <v>108.21456517253493</v>
      </c>
      <c r="BL84">
        <f>AVERAGE(S_plus!BS$2:'S_plus'!BS84)</f>
        <v>108.74896451070244</v>
      </c>
      <c r="BM84">
        <f>AVERAGE(S_plus!BT$2:'S_plus'!BT84)</f>
        <v>111.35136321612777</v>
      </c>
      <c r="BN84">
        <f>AVERAGE(S_plus!BU$2:'S_plus'!BU84)</f>
        <v>100.22899226607588</v>
      </c>
      <c r="BO84">
        <f>AVERAGE(S_plus!BV$2:'S_plus'!BV84)</f>
        <v>90.471154007001203</v>
      </c>
      <c r="BP84">
        <f>AVERAGE(S_plus!BW$2:'S_plus'!BW84)</f>
        <v>97.469174175691535</v>
      </c>
      <c r="BQ84">
        <f>AVERAGE(S_plus!BX$2:'S_plus'!BX84)</f>
        <v>81.197228513667454</v>
      </c>
      <c r="BR84">
        <f>AVERAGE(S_plus!BY$2:'S_plus'!BY84)</f>
        <v>98.810158448115672</v>
      </c>
      <c r="BS84">
        <f>AVERAGE(S_plus!BZ$2:'S_plus'!BZ84)</f>
        <v>105.90019108430359</v>
      </c>
      <c r="BT84">
        <f>AVERAGE(S_plus!CA$2:'S_plus'!CA84)</f>
        <v>96.147369649036179</v>
      </c>
      <c r="BU84">
        <f>AVERAGE(S_plus!CB$2:'S_plus'!CB84)</f>
        <v>100.49039251476748</v>
      </c>
      <c r="BV84">
        <f>AVERAGE(S_plus!CC$2:'S_plus'!CC84)</f>
        <v>87.455730423883111</v>
      </c>
      <c r="BW84">
        <f>AVERAGE(S_plus!CD$2:'S_plus'!CD84)</f>
        <v>99.579353203880729</v>
      </c>
      <c r="BX84">
        <f>AVERAGE(S_plus!CE$2:'S_plus'!CE84)</f>
        <v>94.265950635553011</v>
      </c>
      <c r="BY84">
        <f>AVERAGE(S_plus!CF$2:'S_plus'!CF84)</f>
        <v>88.025793921827713</v>
      </c>
      <c r="BZ84">
        <f>AVERAGE(S_plus!CG$2:'S_plus'!CG84)</f>
        <v>96.020987442183127</v>
      </c>
      <c r="CA84">
        <f>AVERAGE(S_plus!CH$2:'S_plus'!CH84)</f>
        <v>117.57123229368675</v>
      </c>
      <c r="CB84">
        <f>AVERAGE(S_plus!CI$2:'S_plus'!CI84)</f>
        <v>96.980316564279562</v>
      </c>
      <c r="CC84">
        <f>AVERAGE(S_plus!CJ$2:'S_plus'!CJ84)</f>
        <v>101.4646455605976</v>
      </c>
      <c r="CD84">
        <f>AVERAGE(S_plus!CK$2:'S_plus'!CK84)</f>
        <v>93.792791583375887</v>
      </c>
      <c r="CE84">
        <f>AVERAGE(S_plus!CL$2:'S_plus'!CL84)</f>
        <v>87.029375981378337</v>
      </c>
      <c r="CF84">
        <f>AVERAGE(S_plus!CM$2:'S_plus'!CM84)</f>
        <v>94.39627512025065</v>
      </c>
      <c r="CG84">
        <f>AVERAGE(S_plus!CN$2:'S_plus'!CN84)</f>
        <v>98.293157066089137</v>
      </c>
      <c r="CH84">
        <f>AVERAGE(S_plus!CO$2:'S_plus'!CO84)</f>
        <v>127.45795453808432</v>
      </c>
      <c r="CI84">
        <f>AVERAGE(S_plus!CP$2:'S_plus'!CP84)</f>
        <v>93.010371755106036</v>
      </c>
      <c r="CJ84">
        <f>AVERAGE(S_plus!CQ$2:'S_plus'!CQ84)</f>
        <v>98.901433476712057</v>
      </c>
      <c r="CK84">
        <f>AVERAGE(S_plus!CR$2:'S_plus'!CR84)</f>
        <v>102.07863284182405</v>
      </c>
      <c r="CL84">
        <f>AVERAGE(S_plus!CS$2:'S_plus'!CS84)</f>
        <v>102.58951387725061</v>
      </c>
      <c r="CM84">
        <f>AVERAGE(S_plus!CT$2:'S_plus'!CT84)</f>
        <v>115.09871354686261</v>
      </c>
      <c r="CN84">
        <f>AVERAGE(S_plus!CU$2:'S_plus'!CU84)</f>
        <v>104.3844219007554</v>
      </c>
      <c r="CO84">
        <f>AVERAGE(S_plus!CV$2:'S_plus'!CV84)</f>
        <v>91.604938648322886</v>
      </c>
      <c r="CP84">
        <f>AVERAGE(S_plus!CW$2:'S_plus'!CW84)</f>
        <v>107.76319757885661</v>
      </c>
      <c r="CQ84">
        <f>AVERAGE(S_plus!CX$2:'S_plus'!CX84)</f>
        <v>118.26419349950125</v>
      </c>
      <c r="CR84">
        <f>AVERAGE(S_plus!CY$2:'S_plus'!CY84)</f>
        <v>107.90216737615302</v>
      </c>
      <c r="CS84">
        <f>AVERAGE(S_plus!CZ$2:'S_plus'!CZ84)</f>
        <v>107.00424882146022</v>
      </c>
      <c r="CT84">
        <f>AVERAGE(S_plus!DA$2:'S_plus'!DA84)</f>
        <v>115.61794475199996</v>
      </c>
      <c r="CU84">
        <f>AVERAGE(S_plus!DB$2:'S_plus'!DB84)</f>
        <v>85.44341514211807</v>
      </c>
      <c r="CV84">
        <f>AVERAGE(S_plus!DC$2:'S_plus'!DC84)</f>
        <v>103.00669195864704</v>
      </c>
      <c r="CW84">
        <f>AVERAGE(S_plus!DD$2:'S_plus'!DD84)</f>
        <v>93.622296190687962</v>
      </c>
      <c r="CX84">
        <f>AVERAGE(S_plus!DE$2:'S_plus'!DE84)</f>
        <v>103.66913145406863</v>
      </c>
      <c r="CY84">
        <f>AVERAGE(S_plus!DF$2:'S_plus'!DF84)</f>
        <v>87.221053218568656</v>
      </c>
      <c r="CZ84">
        <f>AVERAGE(S_plus!DG$2:'S_plus'!DG84)</f>
        <v>89.576087803072255</v>
      </c>
      <c r="DA84">
        <f>AVERAGE(S_plus!DH$2:'S_plus'!DH84)</f>
        <v>98.915377761185553</v>
      </c>
    </row>
    <row r="85" spans="5:105" x14ac:dyDescent="0.25">
      <c r="E85">
        <f>E84+Asian!dt</f>
        <v>0.83000000000000052</v>
      </c>
      <c r="F85">
        <f>AVERAGE(S_plus!M$2:'S_plus'!M85)</f>
        <v>89.841591959895254</v>
      </c>
      <c r="G85">
        <f>AVERAGE(S_plus!N$2:'S_plus'!N85)</f>
        <v>96.607510567303564</v>
      </c>
      <c r="H85">
        <f>AVERAGE(S_plus!O$2:'S_plus'!O85)</f>
        <v>105.76887470615358</v>
      </c>
      <c r="I85">
        <f>AVERAGE(S_plus!P$2:'S_plus'!P85)</f>
        <v>98.54955867757856</v>
      </c>
      <c r="J85">
        <f>AVERAGE(S_plus!Q$2:'S_plus'!Q85)</f>
        <v>82.143156070240479</v>
      </c>
      <c r="K85">
        <f>AVERAGE(S_plus!R$2:'S_plus'!R85)</f>
        <v>95.272974386060724</v>
      </c>
      <c r="L85">
        <f>AVERAGE(S_plus!S$2:'S_plus'!S85)</f>
        <v>111.33846115626545</v>
      </c>
      <c r="M85">
        <f>AVERAGE(S_plus!T$2:'S_plus'!T85)</f>
        <v>83.851068926082135</v>
      </c>
      <c r="N85">
        <f>AVERAGE(S_plus!U$2:'S_plus'!U85)</f>
        <v>112.20830242191666</v>
      </c>
      <c r="O85">
        <f>AVERAGE(S_plus!V$2:'S_plus'!V85)</f>
        <v>108.79355998224999</v>
      </c>
      <c r="P85">
        <f>AVERAGE(S_plus!W$2:'S_plus'!W85)</f>
        <v>104.83138130593215</v>
      </c>
      <c r="Q85">
        <f>AVERAGE(S_plus!X$2:'S_plus'!X85)</f>
        <v>115.16657309996428</v>
      </c>
      <c r="R85">
        <f>AVERAGE(S_plus!Y$2:'S_plus'!Y85)</f>
        <v>92.69669879846785</v>
      </c>
      <c r="S85">
        <f>AVERAGE(S_plus!Z$2:'S_plus'!Z85)</f>
        <v>106.59024135466427</v>
      </c>
      <c r="T85">
        <f>AVERAGE(S_plus!AA$2:'S_plus'!AA85)</f>
        <v>105.2942398630702</v>
      </c>
      <c r="U85">
        <f>AVERAGE(S_plus!AB$2:'S_plus'!AB85)</f>
        <v>101.45676911970237</v>
      </c>
      <c r="V85">
        <f>AVERAGE(S_plus!AC$2:'S_plus'!AC85)</f>
        <v>87.52748190454048</v>
      </c>
      <c r="W85">
        <f>AVERAGE(S_plus!AD$2:'S_plus'!AD85)</f>
        <v>98.143404591555992</v>
      </c>
      <c r="X85">
        <f>AVERAGE(S_plus!AE$2:'S_plus'!AE85)</f>
        <v>125.25828984539876</v>
      </c>
      <c r="Y85">
        <f>AVERAGE(S_plus!AF$2:'S_plus'!AF85)</f>
        <v>113.03061694259647</v>
      </c>
      <c r="Z85">
        <f>AVERAGE(S_plus!AG$2:'S_plus'!AG85)</f>
        <v>107.09074706458571</v>
      </c>
      <c r="AA85">
        <f>AVERAGE(S_plus!AH$2:'S_plus'!AH85)</f>
        <v>107.98204539287744</v>
      </c>
      <c r="AB85">
        <f>AVERAGE(S_plus!AI$2:'S_plus'!AI85)</f>
        <v>87.846847420334527</v>
      </c>
      <c r="AC85">
        <f>AVERAGE(S_plus!AJ$2:'S_plus'!AJ85)</f>
        <v>91.505053651575025</v>
      </c>
      <c r="AD85">
        <f>AVERAGE(S_plus!AK$2:'S_plus'!AK85)</f>
        <v>111.42486361116315</v>
      </c>
      <c r="AE85">
        <f>AVERAGE(S_plus!AL$2:'S_plus'!AL85)</f>
        <v>107.16477814383688</v>
      </c>
      <c r="AF85">
        <f>AVERAGE(S_plus!AM$2:'S_plus'!AM85)</f>
        <v>95.127372235752389</v>
      </c>
      <c r="AG85">
        <f>AVERAGE(S_plus!AN$2:'S_plus'!AN85)</f>
        <v>110.92396657570238</v>
      </c>
      <c r="AH85">
        <f>AVERAGE(S_plus!AO$2:'S_plus'!AO85)</f>
        <v>98.849079059230945</v>
      </c>
      <c r="AI85">
        <f>AVERAGE(S_plus!AP$2:'S_plus'!AP85)</f>
        <v>91.288660252076156</v>
      </c>
      <c r="AJ85">
        <f>AVERAGE(S_plus!AQ$2:'S_plus'!AQ85)</f>
        <v>107.09422730522144</v>
      </c>
      <c r="AK85">
        <f>AVERAGE(S_plus!AR$2:'S_plus'!AR85)</f>
        <v>100.63000674523097</v>
      </c>
      <c r="AL85">
        <f>AVERAGE(S_plus!AS$2:'S_plus'!AS85)</f>
        <v>120.24823450990837</v>
      </c>
      <c r="AM85">
        <f>AVERAGE(S_plus!AT$2:'S_plus'!AT85)</f>
        <v>92.560863861121447</v>
      </c>
      <c r="AN85">
        <f>AVERAGE(S_plus!AU$2:'S_plus'!AU85)</f>
        <v>103.37669586625478</v>
      </c>
      <c r="AO85">
        <f>AVERAGE(S_plus!AV$2:'S_plus'!AV85)</f>
        <v>109.96758582394519</v>
      </c>
      <c r="AP85">
        <f>AVERAGE(S_plus!AW$2:'S_plus'!AW85)</f>
        <v>115.10099431192855</v>
      </c>
      <c r="AQ85">
        <f>AVERAGE(S_plus!AX$2:'S_plus'!AX85)</f>
        <v>99.373585814529832</v>
      </c>
      <c r="AR85">
        <f>AVERAGE(S_plus!AY$2:'S_plus'!AY85)</f>
        <v>97.468962689927395</v>
      </c>
      <c r="AS85">
        <f>AVERAGE(S_plus!AZ$2:'S_plus'!AZ85)</f>
        <v>118.70918068752378</v>
      </c>
      <c r="AT85">
        <f>AVERAGE(S_plus!BA$2:'S_plus'!BA85)</f>
        <v>115.3268857795</v>
      </c>
      <c r="AU85">
        <f>AVERAGE(S_plus!BB$2:'S_plus'!BB85)</f>
        <v>106.09117359529405</v>
      </c>
      <c r="AV85">
        <f>AVERAGE(S_plus!BC$2:'S_plus'!BC85)</f>
        <v>112.40167820079999</v>
      </c>
      <c r="AW85">
        <f>AVERAGE(S_plus!BD$2:'S_plus'!BD85)</f>
        <v>106.26657424681305</v>
      </c>
      <c r="AX85">
        <f>AVERAGE(S_plus!BE$2:'S_plus'!BE85)</f>
        <v>95.587806846842881</v>
      </c>
      <c r="AY85">
        <f>AVERAGE(S_plus!BF$2:'S_plus'!BF85)</f>
        <v>89.379792429974998</v>
      </c>
      <c r="AZ85">
        <f>AVERAGE(S_plus!BG$2:'S_plus'!BG85)</f>
        <v>93.472531134188074</v>
      </c>
      <c r="BA85">
        <f>AVERAGE(S_plus!BH$2:'S_plus'!BH85)</f>
        <v>102.76987419583929</v>
      </c>
      <c r="BB85">
        <f>AVERAGE(S_plus!BI$2:'S_plus'!BI85)</f>
        <v>106.242874074925</v>
      </c>
      <c r="BC85">
        <f>AVERAGE(S_plus!BJ$2:'S_plus'!BJ85)</f>
        <v>107.52450859560474</v>
      </c>
      <c r="BD85">
        <f>AVERAGE(S_plus!BK$2:'S_plus'!BK85)</f>
        <v>98.450406167717858</v>
      </c>
      <c r="BE85">
        <f>AVERAGE(S_plus!BL$2:'S_plus'!BL85)</f>
        <v>87.712086896584495</v>
      </c>
      <c r="BF85">
        <f>AVERAGE(S_plus!BM$2:'S_plus'!BM85)</f>
        <v>102.78671907924524</v>
      </c>
      <c r="BG85">
        <f>AVERAGE(S_plus!BN$2:'S_plus'!BN85)</f>
        <v>104.78309001269885</v>
      </c>
      <c r="BH85">
        <f>AVERAGE(S_plus!BO$2:'S_plus'!BO85)</f>
        <v>86.799546532340514</v>
      </c>
      <c r="BI85">
        <f>AVERAGE(S_plus!BP$2:'S_plus'!BP85)</f>
        <v>86.703493641920275</v>
      </c>
      <c r="BJ85">
        <f>AVERAGE(S_plus!BQ$2:'S_plus'!BQ85)</f>
        <v>91.881091570161871</v>
      </c>
      <c r="BK85">
        <f>AVERAGE(S_plus!BR$2:'S_plus'!BR85)</f>
        <v>108.29537747075476</v>
      </c>
      <c r="BL85">
        <f>AVERAGE(S_plus!BS$2:'S_plus'!BS85)</f>
        <v>108.79079090218217</v>
      </c>
      <c r="BM85">
        <f>AVERAGE(S_plus!BT$2:'S_plus'!BT85)</f>
        <v>111.56675324431671</v>
      </c>
      <c r="BN85">
        <f>AVERAGE(S_plus!BU$2:'S_plus'!BU85)</f>
        <v>100.06211328605593</v>
      </c>
      <c r="BO85">
        <f>AVERAGE(S_plus!BV$2:'S_plus'!BV85)</f>
        <v>90.531964328351194</v>
      </c>
      <c r="BP85">
        <f>AVERAGE(S_plus!BW$2:'S_plus'!BW85)</f>
        <v>97.694770024242814</v>
      </c>
      <c r="BQ85">
        <f>AVERAGE(S_plus!BX$2:'S_plus'!BX85)</f>
        <v>81.130160629735684</v>
      </c>
      <c r="BR85">
        <f>AVERAGE(S_plus!BY$2:'S_plus'!BY85)</f>
        <v>98.613404967875013</v>
      </c>
      <c r="BS85">
        <f>AVERAGE(S_plus!BZ$2:'S_plus'!BZ85)</f>
        <v>106.20784756633569</v>
      </c>
      <c r="BT85">
        <f>AVERAGE(S_plus!CA$2:'S_plus'!CA85)</f>
        <v>95.952746680700031</v>
      </c>
      <c r="BU85">
        <f>AVERAGE(S_plus!CB$2:'S_plus'!CB85)</f>
        <v>100.36461191174642</v>
      </c>
      <c r="BV85">
        <f>AVERAGE(S_plus!CC$2:'S_plus'!CC85)</f>
        <v>87.297721131652352</v>
      </c>
      <c r="BW85">
        <f>AVERAGE(S_plus!CD$2:'S_plus'!CD85)</f>
        <v>99.608837706322618</v>
      </c>
      <c r="BX85">
        <f>AVERAGE(S_plus!CE$2:'S_plus'!CE85)</f>
        <v>94.093583587092851</v>
      </c>
      <c r="BY85">
        <f>AVERAGE(S_plus!CF$2:'S_plus'!CF85)</f>
        <v>87.847864269633334</v>
      </c>
      <c r="BZ85">
        <f>AVERAGE(S_plus!CG$2:'S_plus'!CG85)</f>
        <v>96.133320995121423</v>
      </c>
      <c r="CA85">
        <f>AVERAGE(S_plus!CH$2:'S_plus'!CH85)</f>
        <v>117.61036871972618</v>
      </c>
      <c r="CB85">
        <f>AVERAGE(S_plus!CI$2:'S_plus'!CI85)</f>
        <v>96.904768675833367</v>
      </c>
      <c r="CC85">
        <f>AVERAGE(S_plus!CJ$2:'S_plus'!CJ85)</f>
        <v>101.44951749498334</v>
      </c>
      <c r="CD85">
        <f>AVERAGE(S_plus!CK$2:'S_plus'!CK85)</f>
        <v>93.877945454264264</v>
      </c>
      <c r="CE85">
        <f>AVERAGE(S_plus!CL$2:'S_plus'!CL85)</f>
        <v>87.03479255961669</v>
      </c>
      <c r="CF85">
        <f>AVERAGE(S_plus!CM$2:'S_plus'!CM85)</f>
        <v>94.264848845972665</v>
      </c>
      <c r="CG85">
        <f>AVERAGE(S_plus!CN$2:'S_plus'!CN85)</f>
        <v>98.40693984952857</v>
      </c>
      <c r="CH85">
        <f>AVERAGE(S_plus!CO$2:'S_plus'!CO85)</f>
        <v>127.67012753923808</v>
      </c>
      <c r="CI85">
        <f>AVERAGE(S_plus!CP$2:'S_plus'!CP85)</f>
        <v>92.901710696264288</v>
      </c>
      <c r="CJ85">
        <f>AVERAGE(S_plus!CQ$2:'S_plus'!CQ85)</f>
        <v>98.713547366623814</v>
      </c>
      <c r="CK85">
        <f>AVERAGE(S_plus!CR$2:'S_plus'!CR85)</f>
        <v>101.9733889594559</v>
      </c>
      <c r="CL85">
        <f>AVERAGE(S_plus!CS$2:'S_plus'!CS85)</f>
        <v>102.48210162444524</v>
      </c>
      <c r="CM85">
        <f>AVERAGE(S_plus!CT$2:'S_plus'!CT85)</f>
        <v>115.21203212159045</v>
      </c>
      <c r="CN85">
        <f>AVERAGE(S_plus!CU$2:'S_plus'!CU85)</f>
        <v>104.52766428942498</v>
      </c>
      <c r="CO85">
        <f>AVERAGE(S_plus!CV$2:'S_plus'!CV85)</f>
        <v>91.458763048139275</v>
      </c>
      <c r="CP85">
        <f>AVERAGE(S_plus!CW$2:'S_plus'!CW85)</f>
        <v>107.74565021607259</v>
      </c>
      <c r="CQ85">
        <f>AVERAGE(S_plus!CX$2:'S_plus'!CX85)</f>
        <v>118.35662927172147</v>
      </c>
      <c r="CR85">
        <f>AVERAGE(S_plus!CY$2:'S_plus'!CY85)</f>
        <v>108.14770431234167</v>
      </c>
      <c r="CS85">
        <f>AVERAGE(S_plus!CZ$2:'S_plus'!CZ85)</f>
        <v>106.9981765950857</v>
      </c>
      <c r="CT85">
        <f>AVERAGE(S_plus!DA$2:'S_plus'!DA85)</f>
        <v>115.60858001148806</v>
      </c>
      <c r="CU85">
        <f>AVERAGE(S_plus!DB$2:'S_plus'!DB85)</f>
        <v>85.355207343521414</v>
      </c>
      <c r="CV85">
        <f>AVERAGE(S_plus!DC$2:'S_plus'!DC85)</f>
        <v>103.08728908442505</v>
      </c>
      <c r="CW85">
        <f>AVERAGE(S_plus!DD$2:'S_plus'!DD85)</f>
        <v>93.765198242572623</v>
      </c>
      <c r="CX85">
        <f>AVERAGE(S_plus!DE$2:'S_plus'!DE85)</f>
        <v>103.69534044294878</v>
      </c>
      <c r="CY85">
        <f>AVERAGE(S_plus!DF$2:'S_plus'!DF85)</f>
        <v>87.157400043203566</v>
      </c>
      <c r="CZ85">
        <f>AVERAGE(S_plus!DG$2:'S_plus'!DG85)</f>
        <v>89.539504073582094</v>
      </c>
      <c r="DA85">
        <f>AVERAGE(S_plus!DH$2:'S_plus'!DH85)</f>
        <v>98.748740534616687</v>
      </c>
    </row>
    <row r="86" spans="5:105" x14ac:dyDescent="0.25">
      <c r="E86">
        <f>E85+Asian!dt</f>
        <v>0.84000000000000052</v>
      </c>
      <c r="F86">
        <f>AVERAGE(S_plus!M$2:'S_plus'!M86)</f>
        <v>89.75142527162707</v>
      </c>
      <c r="G86">
        <f>AVERAGE(S_plus!N$2:'S_plus'!N86)</f>
        <v>96.704749050017625</v>
      </c>
      <c r="H86">
        <f>AVERAGE(S_plus!O$2:'S_plus'!O86)</f>
        <v>105.76055469565765</v>
      </c>
      <c r="I86">
        <f>AVERAGE(S_plus!P$2:'S_plus'!P86)</f>
        <v>98.583638111183518</v>
      </c>
      <c r="J86">
        <f>AVERAGE(S_plus!Q$2:'S_plus'!Q86)</f>
        <v>81.940701875389408</v>
      </c>
      <c r="K86">
        <f>AVERAGE(S_plus!R$2:'S_plus'!R86)</f>
        <v>95.238726507082362</v>
      </c>
      <c r="L86">
        <f>AVERAGE(S_plus!S$2:'S_plus'!S86)</f>
        <v>111.22382927874469</v>
      </c>
      <c r="M86">
        <f>AVERAGE(S_plus!T$2:'S_plus'!T86)</f>
        <v>83.854040490944698</v>
      </c>
      <c r="N86">
        <f>AVERAGE(S_plus!U$2:'S_plus'!U86)</f>
        <v>112.22198451821176</v>
      </c>
      <c r="O86">
        <f>AVERAGE(S_plus!V$2:'S_plus'!V86)</f>
        <v>109.13664986875293</v>
      </c>
      <c r="P86">
        <f>AVERAGE(S_plus!W$2:'S_plus'!W86)</f>
        <v>104.84891269959178</v>
      </c>
      <c r="Q86">
        <f>AVERAGE(S_plus!X$2:'S_plus'!X86)</f>
        <v>115.52818327377648</v>
      </c>
      <c r="R86">
        <f>AVERAGE(S_plus!Y$2:'S_plus'!Y86)</f>
        <v>92.745166354891765</v>
      </c>
      <c r="S86">
        <f>AVERAGE(S_plus!Z$2:'S_plus'!Z86)</f>
        <v>106.56185582445644</v>
      </c>
      <c r="T86">
        <f>AVERAGE(S_plus!AA$2:'S_plus'!AA86)</f>
        <v>105.2548395534576</v>
      </c>
      <c r="U86">
        <f>AVERAGE(S_plus!AB$2:'S_plus'!AB86)</f>
        <v>101.52340861158822</v>
      </c>
      <c r="V86">
        <f>AVERAGE(S_plus!AC$2:'S_plus'!AC86)</f>
        <v>87.532077401829412</v>
      </c>
      <c r="W86">
        <f>AVERAGE(S_plus!AD$2:'S_plus'!AD86)</f>
        <v>98.061261825800031</v>
      </c>
      <c r="X86">
        <f>AVERAGE(S_plus!AE$2:'S_plus'!AE86)</f>
        <v>125.36257620442936</v>
      </c>
      <c r="Y86">
        <f>AVERAGE(S_plus!AF$2:'S_plus'!AF86)</f>
        <v>113.22523659498945</v>
      </c>
      <c r="Z86">
        <f>AVERAGE(S_plus!AG$2:'S_plus'!AG86)</f>
        <v>107.22728861573177</v>
      </c>
      <c r="AA86">
        <f>AVERAGE(S_plus!AH$2:'S_plus'!AH86)</f>
        <v>108.09756953594948</v>
      </c>
      <c r="AB86">
        <f>AVERAGE(S_plus!AI$2:'S_plus'!AI86)</f>
        <v>87.780560150027057</v>
      </c>
      <c r="AC86">
        <f>AVERAGE(S_plus!AJ$2:'S_plus'!AJ86)</f>
        <v>91.527541010849433</v>
      </c>
      <c r="AD86">
        <f>AVERAGE(S_plus!AK$2:'S_plus'!AK86)</f>
        <v>111.21413361717299</v>
      </c>
      <c r="AE86">
        <f>AVERAGE(S_plus!AL$2:'S_plus'!AL86)</f>
        <v>107.29075553512116</v>
      </c>
      <c r="AF86">
        <f>AVERAGE(S_plus!AM$2:'S_plus'!AM86)</f>
        <v>95.237461884872943</v>
      </c>
      <c r="AG86">
        <f>AVERAGE(S_plus!AN$2:'S_plus'!AN86)</f>
        <v>110.83319569609412</v>
      </c>
      <c r="AH86">
        <f>AVERAGE(S_plus!AO$2:'S_plus'!AO86)</f>
        <v>98.928150157087032</v>
      </c>
      <c r="AI86">
        <f>AVERAGE(S_plus!AP$2:'S_plus'!AP86)</f>
        <v>91.394925811239972</v>
      </c>
      <c r="AJ86">
        <f>AVERAGE(S_plus!AQ$2:'S_plus'!AQ86)</f>
        <v>107.14408331652471</v>
      </c>
      <c r="AK86">
        <f>AVERAGE(S_plus!AR$2:'S_plus'!AR86)</f>
        <v>100.60846964342707</v>
      </c>
      <c r="AL86">
        <f>AVERAGE(S_plus!AS$2:'S_plus'!AS86)</f>
        <v>120.35273844667415</v>
      </c>
      <c r="AM86">
        <f>AVERAGE(S_plus!AT$2:'S_plus'!AT86)</f>
        <v>92.579495975148248</v>
      </c>
      <c r="AN86">
        <f>AVERAGE(S_plus!AU$2:'S_plus'!AU86)</f>
        <v>103.57513555015765</v>
      </c>
      <c r="AO86">
        <f>AVERAGE(S_plus!AV$2:'S_plus'!AV86)</f>
        <v>110.05465843462818</v>
      </c>
      <c r="AP86">
        <f>AVERAGE(S_plus!AW$2:'S_plus'!AW86)</f>
        <v>115.02855799202349</v>
      </c>
      <c r="AQ86">
        <f>AVERAGE(S_plus!AX$2:'S_plus'!AX86)</f>
        <v>99.280250465460071</v>
      </c>
      <c r="AR86">
        <f>AVERAGE(S_plus!AY$2:'S_plus'!AY86)</f>
        <v>97.376400787457655</v>
      </c>
      <c r="AS86">
        <f>AVERAGE(S_plus!AZ$2:'S_plus'!AZ86)</f>
        <v>118.78205615604702</v>
      </c>
      <c r="AT86">
        <f>AVERAGE(S_plus!BA$2:'S_plus'!BA86)</f>
        <v>115.46051713585884</v>
      </c>
      <c r="AU86">
        <f>AVERAGE(S_plus!BB$2:'S_plus'!BB86)</f>
        <v>106.07549932691413</v>
      </c>
      <c r="AV86">
        <f>AVERAGE(S_plus!BC$2:'S_plus'!BC86)</f>
        <v>112.4143080755553</v>
      </c>
      <c r="AW86">
        <f>AVERAGE(S_plus!BD$2:'S_plus'!BD86)</f>
        <v>106.5051881995329</v>
      </c>
      <c r="AX86">
        <f>AVERAGE(S_plus!BE$2:'S_plus'!BE86)</f>
        <v>95.517838443078844</v>
      </c>
      <c r="AY86">
        <f>AVERAGE(S_plus!BF$2:'S_plus'!BF86)</f>
        <v>89.292489736118824</v>
      </c>
      <c r="AZ86">
        <f>AVERAGE(S_plus!BG$2:'S_plus'!BG86)</f>
        <v>93.451707743918803</v>
      </c>
      <c r="BA86">
        <f>AVERAGE(S_plus!BH$2:'S_plus'!BH86)</f>
        <v>102.92642663568823</v>
      </c>
      <c r="BB86">
        <f>AVERAGE(S_plus!BI$2:'S_plus'!BI86)</f>
        <v>106.24744566190236</v>
      </c>
      <c r="BC86">
        <f>AVERAGE(S_plus!BJ$2:'S_plus'!BJ86)</f>
        <v>107.58887089462117</v>
      </c>
      <c r="BD86">
        <f>AVERAGE(S_plus!BK$2:'S_plus'!BK86)</f>
        <v>98.552609450321171</v>
      </c>
      <c r="BE86">
        <f>AVERAGE(S_plus!BL$2:'S_plus'!BL86)</f>
        <v>87.555876758667026</v>
      </c>
      <c r="BF86">
        <f>AVERAGE(S_plus!BM$2:'S_plus'!BM86)</f>
        <v>103.06697925853649</v>
      </c>
      <c r="BG86">
        <f>AVERAGE(S_plus!BN$2:'S_plus'!BN86)</f>
        <v>104.95584986078474</v>
      </c>
      <c r="BH86">
        <f>AVERAGE(S_plus!BO$2:'S_plus'!BO86)</f>
        <v>86.840095518910616</v>
      </c>
      <c r="BI86">
        <f>AVERAGE(S_plus!BP$2:'S_plus'!BP86)</f>
        <v>86.620490218485926</v>
      </c>
      <c r="BJ86">
        <f>AVERAGE(S_plus!BQ$2:'S_plus'!BQ86)</f>
        <v>91.977835291430566</v>
      </c>
      <c r="BK86">
        <f>AVERAGE(S_plus!BR$2:'S_plus'!BR86)</f>
        <v>108.42395089095764</v>
      </c>
      <c r="BL86">
        <f>AVERAGE(S_plus!BS$2:'S_plus'!BS86)</f>
        <v>108.85004555352118</v>
      </c>
      <c r="BM86">
        <f>AVERAGE(S_plus!BT$2:'S_plus'!BT86)</f>
        <v>111.75134504017181</v>
      </c>
      <c r="BN86">
        <f>AVERAGE(S_plus!BU$2:'S_plus'!BU86)</f>
        <v>99.896362122399978</v>
      </c>
      <c r="BO86">
        <f>AVERAGE(S_plus!BV$2:'S_plus'!BV86)</f>
        <v>90.615570230523531</v>
      </c>
      <c r="BP86">
        <f>AVERAGE(S_plus!BW$2:'S_plus'!BW86)</f>
        <v>97.887737305804677</v>
      </c>
      <c r="BQ86">
        <f>AVERAGE(S_plus!BX$2:'S_plus'!BX86)</f>
        <v>81.048480321056445</v>
      </c>
      <c r="BR86">
        <f>AVERAGE(S_plus!BY$2:'S_plus'!BY86)</f>
        <v>98.432379089691779</v>
      </c>
      <c r="BS86">
        <f>AVERAGE(S_plus!BZ$2:'S_plus'!BZ86)</f>
        <v>106.53547504797879</v>
      </c>
      <c r="BT86">
        <f>AVERAGE(S_plus!CA$2:'S_plus'!CA86)</f>
        <v>95.771429343748267</v>
      </c>
      <c r="BU86">
        <f>AVERAGE(S_plus!CB$2:'S_plus'!CB86)</f>
        <v>100.21489548128942</v>
      </c>
      <c r="BV86">
        <f>AVERAGE(S_plus!CC$2:'S_plus'!CC86)</f>
        <v>87.151954910392917</v>
      </c>
      <c r="BW86">
        <f>AVERAGE(S_plus!CD$2:'S_plus'!CD86)</f>
        <v>99.65736935757765</v>
      </c>
      <c r="BX86">
        <f>AVERAGE(S_plus!CE$2:'S_plus'!CE86)</f>
        <v>93.926677564302352</v>
      </c>
      <c r="BY86">
        <f>AVERAGE(S_plus!CF$2:'S_plus'!CF86)</f>
        <v>87.689205698170582</v>
      </c>
      <c r="BZ86">
        <f>AVERAGE(S_plus!CG$2:'S_plus'!CG86)</f>
        <v>96.210873636249417</v>
      </c>
      <c r="CA86">
        <f>AVERAGE(S_plus!CH$2:'S_plus'!CH86)</f>
        <v>117.6549786339294</v>
      </c>
      <c r="CB86">
        <f>AVERAGE(S_plus!CI$2:'S_plus'!CI86)</f>
        <v>96.793997064348275</v>
      </c>
      <c r="CC86">
        <f>AVERAGE(S_plus!CJ$2:'S_plus'!CJ86)</f>
        <v>101.40664797694589</v>
      </c>
      <c r="CD86">
        <f>AVERAGE(S_plus!CK$2:'S_plus'!CK86)</f>
        <v>93.950998842119986</v>
      </c>
      <c r="CE86">
        <f>AVERAGE(S_plus!CL$2:'S_plus'!CL86)</f>
        <v>87.07083142518708</v>
      </c>
      <c r="CF86">
        <f>AVERAGE(S_plus!CM$2:'S_plus'!CM86)</f>
        <v>94.146863589394158</v>
      </c>
      <c r="CG86">
        <f>AVERAGE(S_plus!CN$2:'S_plus'!CN86)</f>
        <v>98.568026967204702</v>
      </c>
      <c r="CH86">
        <f>AVERAGE(S_plus!CO$2:'S_plus'!CO86)</f>
        <v>127.83768987239998</v>
      </c>
      <c r="CI86">
        <f>AVERAGE(S_plus!CP$2:'S_plus'!CP86)</f>
        <v>92.795284888097655</v>
      </c>
      <c r="CJ86">
        <f>AVERAGE(S_plus!CQ$2:'S_plus'!CQ86)</f>
        <v>98.514533723476475</v>
      </c>
      <c r="CK86">
        <f>AVERAGE(S_plus!CR$2:'S_plus'!CR86)</f>
        <v>101.85849018059761</v>
      </c>
      <c r="CL86">
        <f>AVERAGE(S_plus!CS$2:'S_plus'!CS86)</f>
        <v>102.38904317546118</v>
      </c>
      <c r="CM86">
        <f>AVERAGE(S_plus!CT$2:'S_plus'!CT86)</f>
        <v>115.32269393215998</v>
      </c>
      <c r="CN86">
        <f>AVERAGE(S_plus!CU$2:'S_plus'!CU86)</f>
        <v>104.6739683073141</v>
      </c>
      <c r="CO86">
        <f>AVERAGE(S_plus!CV$2:'S_plus'!CV86)</f>
        <v>91.296731671869409</v>
      </c>
      <c r="CP86">
        <f>AVERAGE(S_plus!CW$2:'S_plus'!CW86)</f>
        <v>107.76821440545997</v>
      </c>
      <c r="CQ86">
        <f>AVERAGE(S_plus!CX$2:'S_plus'!CX86)</f>
        <v>118.43614973125418</v>
      </c>
      <c r="CR86">
        <f>AVERAGE(S_plus!CY$2:'S_plus'!CY86)</f>
        <v>108.4096559845612</v>
      </c>
      <c r="CS86">
        <f>AVERAGE(S_plus!CZ$2:'S_plus'!CZ86)</f>
        <v>107.00519928835527</v>
      </c>
      <c r="CT86">
        <f>AVERAGE(S_plus!DA$2:'S_plus'!DA86)</f>
        <v>115.61624992163524</v>
      </c>
      <c r="CU86">
        <f>AVERAGE(S_plus!DB$2:'S_plus'!DB86)</f>
        <v>85.264876052365878</v>
      </c>
      <c r="CV86">
        <f>AVERAGE(S_plus!DC$2:'S_plus'!DC86)</f>
        <v>103.1610099740318</v>
      </c>
      <c r="CW86">
        <f>AVERAGE(S_plus!DD$2:'S_plus'!DD86)</f>
        <v>93.908473700695296</v>
      </c>
      <c r="CX86">
        <f>AVERAGE(S_plus!DE$2:'S_plus'!DE86)</f>
        <v>103.71786207658468</v>
      </c>
      <c r="CY86">
        <f>AVERAGE(S_plus!DF$2:'S_plus'!DF86)</f>
        <v>87.085466344934105</v>
      </c>
      <c r="CZ86">
        <f>AVERAGE(S_plus!DG$2:'S_plus'!DG86)</f>
        <v>89.487739895834082</v>
      </c>
      <c r="DA86">
        <f>AVERAGE(S_plus!DH$2:'S_plus'!DH86)</f>
        <v>98.589129371711792</v>
      </c>
    </row>
    <row r="87" spans="5:105" x14ac:dyDescent="0.25">
      <c r="E87">
        <f>E86+Asian!dt</f>
        <v>0.85000000000000053</v>
      </c>
      <c r="F87">
        <f>AVERAGE(S_plus!M$2:'S_plus'!M87)</f>
        <v>89.684424833253502</v>
      </c>
      <c r="G87">
        <f>AVERAGE(S_plus!N$2:'S_plus'!N87)</f>
        <v>96.796459088761594</v>
      </c>
      <c r="H87">
        <f>AVERAGE(S_plus!O$2:'S_plus'!O87)</f>
        <v>105.76393277451047</v>
      </c>
      <c r="I87">
        <f>AVERAGE(S_plus!P$2:'S_plus'!P87)</f>
        <v>98.618752372495337</v>
      </c>
      <c r="J87">
        <f>AVERAGE(S_plus!Q$2:'S_plus'!Q87)</f>
        <v>81.730162191110452</v>
      </c>
      <c r="K87">
        <f>AVERAGE(S_plus!R$2:'S_plus'!R87)</f>
        <v>95.254177377753493</v>
      </c>
      <c r="L87">
        <f>AVERAGE(S_plus!S$2:'S_plus'!S87)</f>
        <v>111.12001228036392</v>
      </c>
      <c r="M87">
        <f>AVERAGE(S_plus!T$2:'S_plus'!T87)</f>
        <v>83.849551844615107</v>
      </c>
      <c r="N87">
        <f>AVERAGE(S_plus!U$2:'S_plus'!U87)</f>
        <v>112.24577922134883</v>
      </c>
      <c r="O87">
        <f>AVERAGE(S_plus!V$2:'S_plus'!V87)</f>
        <v>109.49039589961626</v>
      </c>
      <c r="P87">
        <f>AVERAGE(S_plus!W$2:'S_plus'!W87)</f>
        <v>104.88111148899189</v>
      </c>
      <c r="Q87">
        <f>AVERAGE(S_plus!X$2:'S_plus'!X87)</f>
        <v>115.91032378513954</v>
      </c>
      <c r="R87">
        <f>AVERAGE(S_plus!Y$2:'S_plus'!Y87)</f>
        <v>92.816397170919757</v>
      </c>
      <c r="S87">
        <f>AVERAGE(S_plus!Z$2:'S_plus'!Z87)</f>
        <v>106.52275292562554</v>
      </c>
      <c r="T87">
        <f>AVERAGE(S_plus!AA$2:'S_plus'!AA87)</f>
        <v>105.18286335265576</v>
      </c>
      <c r="U87">
        <f>AVERAGE(S_plus!AB$2:'S_plus'!AB87)</f>
        <v>101.59156565848835</v>
      </c>
      <c r="V87">
        <f>AVERAGE(S_plus!AC$2:'S_plus'!AC87)</f>
        <v>87.532587372986058</v>
      </c>
      <c r="W87">
        <f>AVERAGE(S_plus!AD$2:'S_plus'!AD87)</f>
        <v>97.964302099205838</v>
      </c>
      <c r="X87">
        <f>AVERAGE(S_plus!AE$2:'S_plus'!AE87)</f>
        <v>125.47593921094762</v>
      </c>
      <c r="Y87">
        <f>AVERAGE(S_plus!AF$2:'S_plus'!AF87)</f>
        <v>113.43309545482678</v>
      </c>
      <c r="Z87">
        <f>AVERAGE(S_plus!AG$2:'S_plus'!AG87)</f>
        <v>107.36146229501395</v>
      </c>
      <c r="AA87">
        <f>AVERAGE(S_plus!AH$2:'S_plus'!AH87)</f>
        <v>108.24571002195006</v>
      </c>
      <c r="AB87">
        <f>AVERAGE(S_plus!AI$2:'S_plus'!AI87)</f>
        <v>87.752562463017441</v>
      </c>
      <c r="AC87">
        <f>AVERAGE(S_plus!AJ$2:'S_plus'!AJ87)</f>
        <v>91.538092788960498</v>
      </c>
      <c r="AD87">
        <f>AVERAGE(S_plus!AK$2:'S_plus'!AK87)</f>
        <v>110.96100533656517</v>
      </c>
      <c r="AE87">
        <f>AVERAGE(S_plus!AL$2:'S_plus'!AL87)</f>
        <v>107.38851305063139</v>
      </c>
      <c r="AF87">
        <f>AVERAGE(S_plus!AM$2:'S_plus'!AM87)</f>
        <v>95.387240021700009</v>
      </c>
      <c r="AG87">
        <f>AVERAGE(S_plus!AN$2:'S_plus'!AN87)</f>
        <v>110.7319929193372</v>
      </c>
      <c r="AH87">
        <f>AVERAGE(S_plus!AO$2:'S_plus'!AO87)</f>
        <v>98.999123894679059</v>
      </c>
      <c r="AI87">
        <f>AVERAGE(S_plus!AP$2:'S_plus'!AP87)</f>
        <v>91.494168408458108</v>
      </c>
      <c r="AJ87">
        <f>AVERAGE(S_plus!AQ$2:'S_plus'!AQ87)</f>
        <v>107.2176187092977</v>
      </c>
      <c r="AK87">
        <f>AVERAGE(S_plus!AR$2:'S_plus'!AR87)</f>
        <v>100.57428278919187</v>
      </c>
      <c r="AL87">
        <f>AVERAGE(S_plus!AS$2:'S_plus'!AS87)</f>
        <v>120.47078978268958</v>
      </c>
      <c r="AM87">
        <f>AVERAGE(S_plus!AT$2:'S_plus'!AT87)</f>
        <v>92.618397468176752</v>
      </c>
      <c r="AN87">
        <f>AVERAGE(S_plus!AU$2:'S_plus'!AU87)</f>
        <v>103.80868259629537</v>
      </c>
      <c r="AO87">
        <f>AVERAGE(S_plus!AV$2:'S_plus'!AV87)</f>
        <v>110.15130094977204</v>
      </c>
      <c r="AP87">
        <f>AVERAGE(S_plus!AW$2:'S_plus'!AW87)</f>
        <v>115.00569566645346</v>
      </c>
      <c r="AQ87">
        <f>AVERAGE(S_plus!AX$2:'S_plus'!AX87)</f>
        <v>99.170220264280303</v>
      </c>
      <c r="AR87">
        <f>AVERAGE(S_plus!AY$2:'S_plus'!AY87)</f>
        <v>97.283239316563979</v>
      </c>
      <c r="AS87">
        <f>AVERAGE(S_plus!AZ$2:'S_plus'!AZ87)</f>
        <v>118.84800332991857</v>
      </c>
      <c r="AT87">
        <f>AVERAGE(S_plus!BA$2:'S_plus'!BA87)</f>
        <v>115.58818684862793</v>
      </c>
      <c r="AU87">
        <f>AVERAGE(S_plus!BB$2:'S_plus'!BB87)</f>
        <v>106.0363149076593</v>
      </c>
      <c r="AV87">
        <f>AVERAGE(S_plus!BC$2:'S_plus'!BC87)</f>
        <v>112.37179172549071</v>
      </c>
      <c r="AW87">
        <f>AVERAGE(S_plus!BD$2:'S_plus'!BD87)</f>
        <v>106.74406046178251</v>
      </c>
      <c r="AX87">
        <f>AVERAGE(S_plus!BE$2:'S_plus'!BE87)</f>
        <v>95.459220272581433</v>
      </c>
      <c r="AY87">
        <f>AVERAGE(S_plus!BF$2:'S_plus'!BF87)</f>
        <v>89.213896649061624</v>
      </c>
      <c r="AZ87">
        <f>AVERAGE(S_plus!BG$2:'S_plus'!BG87)</f>
        <v>93.391396851287183</v>
      </c>
      <c r="BA87">
        <f>AVERAGE(S_plus!BH$2:'S_plus'!BH87)</f>
        <v>103.07425808699419</v>
      </c>
      <c r="BB87">
        <f>AVERAGE(S_plus!BI$2:'S_plus'!BI87)</f>
        <v>106.23229322689185</v>
      </c>
      <c r="BC87">
        <f>AVERAGE(S_plus!BJ$2:'S_plus'!BJ87)</f>
        <v>107.63431306735812</v>
      </c>
      <c r="BD87">
        <f>AVERAGE(S_plus!BK$2:'S_plus'!BK87)</f>
        <v>98.668945980922089</v>
      </c>
      <c r="BE87">
        <f>AVERAGE(S_plus!BL$2:'S_plus'!BL87)</f>
        <v>87.429546297389507</v>
      </c>
      <c r="BF87">
        <f>AVERAGE(S_plus!BM$2:'S_plus'!BM87)</f>
        <v>103.29954632604188</v>
      </c>
      <c r="BG87">
        <f>AVERAGE(S_plus!BN$2:'S_plus'!BN87)</f>
        <v>105.10019589795003</v>
      </c>
      <c r="BH87">
        <f>AVERAGE(S_plus!BO$2:'S_plus'!BO87)</f>
        <v>86.854864968148874</v>
      </c>
      <c r="BI87">
        <f>AVERAGE(S_plus!BP$2:'S_plus'!BP87)</f>
        <v>86.55893563432096</v>
      </c>
      <c r="BJ87">
        <f>AVERAGE(S_plus!BQ$2:'S_plus'!BQ87)</f>
        <v>92.071332944146491</v>
      </c>
      <c r="BK87">
        <f>AVERAGE(S_plus!BR$2:'S_plus'!BR87)</f>
        <v>108.5256637171093</v>
      </c>
      <c r="BL87">
        <f>AVERAGE(S_plus!BS$2:'S_plus'!BS87)</f>
        <v>108.9099969323407</v>
      </c>
      <c r="BM87">
        <f>AVERAGE(S_plus!BT$2:'S_plus'!BT87)</f>
        <v>111.9775951437512</v>
      </c>
      <c r="BN87">
        <f>AVERAGE(S_plus!BU$2:'S_plus'!BU87)</f>
        <v>99.751198381115103</v>
      </c>
      <c r="BO87">
        <f>AVERAGE(S_plus!BV$2:'S_plus'!BV87)</f>
        <v>90.74464108434303</v>
      </c>
      <c r="BP87">
        <f>AVERAGE(S_plus!BW$2:'S_plus'!BW87)</f>
        <v>98.082073599179026</v>
      </c>
      <c r="BQ87">
        <f>AVERAGE(S_plus!BX$2:'S_plus'!BX87)</f>
        <v>80.935809568848811</v>
      </c>
      <c r="BR87">
        <f>AVERAGE(S_plus!BY$2:'S_plus'!BY87)</f>
        <v>98.208356854524425</v>
      </c>
      <c r="BS87">
        <f>AVERAGE(S_plus!BZ$2:'S_plus'!BZ87)</f>
        <v>106.85002496710695</v>
      </c>
      <c r="BT87">
        <f>AVERAGE(S_plus!CA$2:'S_plus'!CA87)</f>
        <v>95.607744952976773</v>
      </c>
      <c r="BU87">
        <f>AVERAGE(S_plus!CB$2:'S_plus'!CB87)</f>
        <v>100.10366168661976</v>
      </c>
      <c r="BV87">
        <f>AVERAGE(S_plus!CC$2:'S_plus'!CC87)</f>
        <v>86.998985106488348</v>
      </c>
      <c r="BW87">
        <f>AVERAGE(S_plus!CD$2:'S_plus'!CD87)</f>
        <v>99.675144415966273</v>
      </c>
      <c r="BX87">
        <f>AVERAGE(S_plus!CE$2:'S_plus'!CE87)</f>
        <v>93.759226596587212</v>
      </c>
      <c r="BY87">
        <f>AVERAGE(S_plus!CF$2:'S_plus'!CF87)</f>
        <v>87.511351863398829</v>
      </c>
      <c r="BZ87">
        <f>AVERAGE(S_plus!CG$2:'S_plus'!CG87)</f>
        <v>96.329453758223266</v>
      </c>
      <c r="CA87">
        <f>AVERAGE(S_plus!CH$2:'S_plus'!CH87)</f>
        <v>117.66976469251161</v>
      </c>
      <c r="CB87">
        <f>AVERAGE(S_plus!CI$2:'S_plus'!CI87)</f>
        <v>96.696207354390751</v>
      </c>
      <c r="CC87">
        <f>AVERAGE(S_plus!CJ$2:'S_plus'!CJ87)</f>
        <v>101.37862528966279</v>
      </c>
      <c r="CD87">
        <f>AVERAGE(S_plus!CK$2:'S_plus'!CK87)</f>
        <v>93.996172842529049</v>
      </c>
      <c r="CE87">
        <f>AVERAGE(S_plus!CL$2:'S_plus'!CL87)</f>
        <v>87.068468175468624</v>
      </c>
      <c r="CF87">
        <f>AVERAGE(S_plus!CM$2:'S_plus'!CM87)</f>
        <v>94.070126891216319</v>
      </c>
      <c r="CG87">
        <f>AVERAGE(S_plus!CN$2:'S_plus'!CN87)</f>
        <v>98.711804251888367</v>
      </c>
      <c r="CH87">
        <f>AVERAGE(S_plus!CO$2:'S_plus'!CO87)</f>
        <v>128.02812059552323</v>
      </c>
      <c r="CI87">
        <f>AVERAGE(S_plus!CP$2:'S_plus'!CP87)</f>
        <v>92.701098942867446</v>
      </c>
      <c r="CJ87">
        <f>AVERAGE(S_plus!CQ$2:'S_plus'!CQ87)</f>
        <v>98.369440982803496</v>
      </c>
      <c r="CK87">
        <f>AVERAGE(S_plus!CR$2:'S_plus'!CR87)</f>
        <v>101.75924775653834</v>
      </c>
      <c r="CL87">
        <f>AVERAGE(S_plus!CS$2:'S_plus'!CS87)</f>
        <v>102.27517078696046</v>
      </c>
      <c r="CM87">
        <f>AVERAGE(S_plus!CT$2:'S_plus'!CT87)</f>
        <v>115.43191843016974</v>
      </c>
      <c r="CN87">
        <f>AVERAGE(S_plus!CU$2:'S_plus'!CU87)</f>
        <v>104.79537049450812</v>
      </c>
      <c r="CO87">
        <f>AVERAGE(S_plus!CV$2:'S_plus'!CV87)</f>
        <v>91.164928655023246</v>
      </c>
      <c r="CP87">
        <f>AVERAGE(S_plus!CW$2:'S_plus'!CW87)</f>
        <v>107.7786761362802</v>
      </c>
      <c r="CQ87">
        <f>AVERAGE(S_plus!CX$2:'S_plus'!CX87)</f>
        <v>118.49070883447214</v>
      </c>
      <c r="CR87">
        <f>AVERAGE(S_plus!CY$2:'S_plus'!CY87)</f>
        <v>108.65871419131048</v>
      </c>
      <c r="CS87">
        <f>AVERAGE(S_plus!CZ$2:'S_plus'!CZ87)</f>
        <v>107.01326051053719</v>
      </c>
      <c r="CT87">
        <f>AVERAGE(S_plus!DA$2:'S_plus'!DA87)</f>
        <v>115.61916875616274</v>
      </c>
      <c r="CU87">
        <f>AVERAGE(S_plus!DB$2:'S_plus'!DB87)</f>
        <v>85.16615238467557</v>
      </c>
      <c r="CV87">
        <f>AVERAGE(S_plus!DC$2:'S_plus'!DC87)</f>
        <v>103.22730214969422</v>
      </c>
      <c r="CW87">
        <f>AVERAGE(S_plus!DD$2:'S_plus'!DD87)</f>
        <v>94.038147887745353</v>
      </c>
      <c r="CX87">
        <f>AVERAGE(S_plus!DE$2:'S_plus'!DE87)</f>
        <v>103.72112294950811</v>
      </c>
      <c r="CY87">
        <f>AVERAGE(S_plus!DF$2:'S_plus'!DF87)</f>
        <v>87.017504528696506</v>
      </c>
      <c r="CZ87">
        <f>AVERAGE(S_plus!DG$2:'S_plus'!DG87)</f>
        <v>89.423136465161591</v>
      </c>
      <c r="DA87">
        <f>AVERAGE(S_plus!DH$2:'S_plus'!DH87)</f>
        <v>98.412160377062818</v>
      </c>
    </row>
    <row r="88" spans="5:105" x14ac:dyDescent="0.25">
      <c r="E88">
        <f>E87+Asian!dt</f>
        <v>0.86000000000000054</v>
      </c>
      <c r="F88">
        <f>AVERAGE(S_plus!M$2:'S_plus'!M88)</f>
        <v>89.569299760491973</v>
      </c>
      <c r="G88">
        <f>AVERAGE(S_plus!N$2:'S_plus'!N88)</f>
        <v>96.864123070373537</v>
      </c>
      <c r="H88">
        <f>AVERAGE(S_plus!O$2:'S_plus'!O88)</f>
        <v>105.77577809073449</v>
      </c>
      <c r="I88">
        <f>AVERAGE(S_plus!P$2:'S_plus'!P88)</f>
        <v>98.633852306062053</v>
      </c>
      <c r="J88">
        <f>AVERAGE(S_plus!Q$2:'S_plus'!Q88)</f>
        <v>81.517353153583898</v>
      </c>
      <c r="K88">
        <f>AVERAGE(S_plus!R$2:'S_plus'!R88)</f>
        <v>95.242722100998847</v>
      </c>
      <c r="L88">
        <f>AVERAGE(S_plus!S$2:'S_plus'!S88)</f>
        <v>111.0201929734402</v>
      </c>
      <c r="M88">
        <f>AVERAGE(S_plus!T$2:'S_plus'!T88)</f>
        <v>83.850527839627574</v>
      </c>
      <c r="N88">
        <f>AVERAGE(S_plus!U$2:'S_plus'!U88)</f>
        <v>112.25920484675861</v>
      </c>
      <c r="O88">
        <f>AVERAGE(S_plus!V$2:'S_plus'!V88)</f>
        <v>109.86431041632181</v>
      </c>
      <c r="P88">
        <f>AVERAGE(S_plus!W$2:'S_plus'!W88)</f>
        <v>104.90429276357818</v>
      </c>
      <c r="Q88">
        <f>AVERAGE(S_plus!X$2:'S_plus'!X88)</f>
        <v>116.28976802716093</v>
      </c>
      <c r="R88">
        <f>AVERAGE(S_plus!Y$2:'S_plus'!Y88)</f>
        <v>92.875518166798841</v>
      </c>
      <c r="S88">
        <f>AVERAGE(S_plus!Z$2:'S_plus'!Z88)</f>
        <v>106.50655002012411</v>
      </c>
      <c r="T88">
        <f>AVERAGE(S_plus!AA$2:'S_plus'!AA88)</f>
        <v>105.12039821829076</v>
      </c>
      <c r="U88">
        <f>AVERAGE(S_plus!AB$2:'S_plus'!AB88)</f>
        <v>101.64472679267814</v>
      </c>
      <c r="V88">
        <f>AVERAGE(S_plus!AC$2:'S_plus'!AC88)</f>
        <v>87.536482454955177</v>
      </c>
      <c r="W88">
        <f>AVERAGE(S_plus!AD$2:'S_plus'!AD88)</f>
        <v>97.860800757749445</v>
      </c>
      <c r="X88">
        <f>AVERAGE(S_plus!AE$2:'S_plus'!AE88)</f>
        <v>125.53577089013214</v>
      </c>
      <c r="Y88">
        <f>AVERAGE(S_plus!AF$2:'S_plus'!AF88)</f>
        <v>113.58601055388624</v>
      </c>
      <c r="Z88">
        <f>AVERAGE(S_plus!AG$2:'S_plus'!AG88)</f>
        <v>107.51193613445058</v>
      </c>
      <c r="AA88">
        <f>AVERAGE(S_plus!AH$2:'S_plus'!AH88)</f>
        <v>108.36844480036443</v>
      </c>
      <c r="AB88">
        <f>AVERAGE(S_plus!AI$2:'S_plus'!AI88)</f>
        <v>87.686332048368953</v>
      </c>
      <c r="AC88">
        <f>AVERAGE(S_plus!AJ$2:'S_plus'!AJ88)</f>
        <v>91.552093978123025</v>
      </c>
      <c r="AD88">
        <f>AVERAGE(S_plus!AK$2:'S_plus'!AK88)</f>
        <v>110.7332121506667</v>
      </c>
      <c r="AE88">
        <f>AVERAGE(S_plus!AL$2:'S_plus'!AL88)</f>
        <v>107.55813928141723</v>
      </c>
      <c r="AF88">
        <f>AVERAGE(S_plus!AM$2:'S_plus'!AM88)</f>
        <v>95.493457866025295</v>
      </c>
      <c r="AG88">
        <f>AVERAGE(S_plus!AN$2:'S_plus'!AN88)</f>
        <v>110.61604184809194</v>
      </c>
      <c r="AH88">
        <f>AVERAGE(S_plus!AO$2:'S_plus'!AO88)</f>
        <v>99.129642013188487</v>
      </c>
      <c r="AI88">
        <f>AVERAGE(S_plus!AP$2:'S_plus'!AP88)</f>
        <v>91.573890209629852</v>
      </c>
      <c r="AJ88">
        <f>AVERAGE(S_plus!AQ$2:'S_plus'!AQ88)</f>
        <v>107.32673539192645</v>
      </c>
      <c r="AK88">
        <f>AVERAGE(S_plus!AR$2:'S_plus'!AR88)</f>
        <v>100.52233705264828</v>
      </c>
      <c r="AL88">
        <f>AVERAGE(S_plus!AS$2:'S_plus'!AS88)</f>
        <v>120.60325483915292</v>
      </c>
      <c r="AM88">
        <f>AVERAGE(S_plus!AT$2:'S_plus'!AT88)</f>
        <v>92.680844458518408</v>
      </c>
      <c r="AN88">
        <f>AVERAGE(S_plus!AU$2:'S_plus'!AU88)</f>
        <v>104.03754942875173</v>
      </c>
      <c r="AO88">
        <f>AVERAGE(S_plus!AV$2:'S_plus'!AV88)</f>
        <v>110.28362287060224</v>
      </c>
      <c r="AP88">
        <f>AVERAGE(S_plus!AW$2:'S_plus'!AW88)</f>
        <v>114.98040863397698</v>
      </c>
      <c r="AQ88">
        <f>AVERAGE(S_plus!AX$2:'S_plus'!AX88)</f>
        <v>99.061553478667889</v>
      </c>
      <c r="AR88">
        <f>AVERAGE(S_plus!AY$2:'S_plus'!AY88)</f>
        <v>97.196866777042558</v>
      </c>
      <c r="AS88">
        <f>AVERAGE(S_plus!AZ$2:'S_plus'!AZ88)</f>
        <v>118.9324643971149</v>
      </c>
      <c r="AT88">
        <f>AVERAGE(S_plus!BA$2:'S_plus'!BA88)</f>
        <v>115.67903550313794</v>
      </c>
      <c r="AU88">
        <f>AVERAGE(S_plus!BB$2:'S_plus'!BB88)</f>
        <v>105.9906817705253</v>
      </c>
      <c r="AV88">
        <f>AVERAGE(S_plus!BC$2:'S_plus'!BC88)</f>
        <v>112.38022259015173</v>
      </c>
      <c r="AW88">
        <f>AVERAGE(S_plus!BD$2:'S_plus'!BD88)</f>
        <v>107.00298042309535</v>
      </c>
      <c r="AX88">
        <f>AVERAGE(S_plus!BE$2:'S_plus'!BE88)</f>
        <v>95.416390992619569</v>
      </c>
      <c r="AY88">
        <f>AVERAGE(S_plus!BF$2:'S_plus'!BF88)</f>
        <v>89.119515438051721</v>
      </c>
      <c r="AZ88">
        <f>AVERAGE(S_plus!BG$2:'S_plus'!BG88)</f>
        <v>93.303233470821809</v>
      </c>
      <c r="BA88">
        <f>AVERAGE(S_plus!BH$2:'S_plus'!BH88)</f>
        <v>103.18660089404024</v>
      </c>
      <c r="BB88">
        <f>AVERAGE(S_plus!BI$2:'S_plus'!BI88)</f>
        <v>106.25649387841035</v>
      </c>
      <c r="BC88">
        <f>AVERAGE(S_plus!BJ$2:'S_plus'!BJ88)</f>
        <v>107.65566156830803</v>
      </c>
      <c r="BD88">
        <f>AVERAGE(S_plus!BK$2:'S_plus'!BK88)</f>
        <v>98.766020540762071</v>
      </c>
      <c r="BE88">
        <f>AVERAGE(S_plus!BL$2:'S_plus'!BL88)</f>
        <v>87.284601458656297</v>
      </c>
      <c r="BF88">
        <f>AVERAGE(S_plus!BM$2:'S_plus'!BM88)</f>
        <v>103.52474057882301</v>
      </c>
      <c r="BG88">
        <f>AVERAGE(S_plus!BN$2:'S_plus'!BN88)</f>
        <v>105.230851868146</v>
      </c>
      <c r="BH88">
        <f>AVERAGE(S_plus!BO$2:'S_plus'!BO88)</f>
        <v>86.866239240702328</v>
      </c>
      <c r="BI88">
        <f>AVERAGE(S_plus!BP$2:'S_plus'!BP88)</f>
        <v>86.490340161397739</v>
      </c>
      <c r="BJ88">
        <f>AVERAGE(S_plus!BQ$2:'S_plus'!BQ88)</f>
        <v>92.150607997302274</v>
      </c>
      <c r="BK88">
        <f>AVERAGE(S_plus!BR$2:'S_plus'!BR88)</f>
        <v>108.62921340391263</v>
      </c>
      <c r="BL88">
        <f>AVERAGE(S_plus!BS$2:'S_plus'!BS88)</f>
        <v>108.96196757918734</v>
      </c>
      <c r="BM88">
        <f>AVERAGE(S_plus!BT$2:'S_plus'!BT88)</f>
        <v>112.23626900239772</v>
      </c>
      <c r="BN88">
        <f>AVERAGE(S_plus!BU$2:'S_plus'!BU88)</f>
        <v>99.621995776225262</v>
      </c>
      <c r="BO88">
        <f>AVERAGE(S_plus!BV$2:'S_plus'!BV88)</f>
        <v>90.894112312603454</v>
      </c>
      <c r="BP88">
        <f>AVERAGE(S_plus!BW$2:'S_plus'!BW88)</f>
        <v>98.342870233878116</v>
      </c>
      <c r="BQ88">
        <f>AVERAGE(S_plus!BX$2:'S_plus'!BX88)</f>
        <v>80.839026080572395</v>
      </c>
      <c r="BR88">
        <f>AVERAGE(S_plus!BY$2:'S_plus'!BY88)</f>
        <v>97.991688999357493</v>
      </c>
      <c r="BS88">
        <f>AVERAGE(S_plus!BZ$2:'S_plus'!BZ88)</f>
        <v>107.16073000103677</v>
      </c>
      <c r="BT88">
        <f>AVERAGE(S_plus!CA$2:'S_plus'!CA88)</f>
        <v>95.455272589682778</v>
      </c>
      <c r="BU88">
        <f>AVERAGE(S_plus!CB$2:'S_plus'!CB88)</f>
        <v>100.01688284610805</v>
      </c>
      <c r="BV88">
        <f>AVERAGE(S_plus!CC$2:'S_plus'!CC88)</f>
        <v>86.824781051056291</v>
      </c>
      <c r="BW88">
        <f>AVERAGE(S_plus!CD$2:'S_plus'!CD88)</f>
        <v>99.675780227078164</v>
      </c>
      <c r="BX88">
        <f>AVERAGE(S_plus!CE$2:'S_plus'!CE88)</f>
        <v>93.633698969203436</v>
      </c>
      <c r="BY88">
        <f>AVERAGE(S_plus!CF$2:'S_plus'!CF88)</f>
        <v>87.361519258480456</v>
      </c>
      <c r="BZ88">
        <f>AVERAGE(S_plus!CG$2:'S_plus'!CG88)</f>
        <v>96.466911524588497</v>
      </c>
      <c r="CA88">
        <f>AVERAGE(S_plus!CH$2:'S_plus'!CH88)</f>
        <v>117.64818875571261</v>
      </c>
      <c r="CB88">
        <f>AVERAGE(S_plus!CI$2:'S_plus'!CI88)</f>
        <v>96.585147769644863</v>
      </c>
      <c r="CC88">
        <f>AVERAGE(S_plus!CJ$2:'S_plus'!CJ88)</f>
        <v>101.32918650057358</v>
      </c>
      <c r="CD88">
        <f>AVERAGE(S_plus!CK$2:'S_plus'!CK88)</f>
        <v>94.025174515803428</v>
      </c>
      <c r="CE88">
        <f>AVERAGE(S_plus!CL$2:'S_plus'!CL88)</f>
        <v>87.066225665577036</v>
      </c>
      <c r="CF88">
        <f>AVERAGE(S_plus!CM$2:'S_plus'!CM88)</f>
        <v>94.02839488221268</v>
      </c>
      <c r="CG88">
        <f>AVERAGE(S_plus!CN$2:'S_plus'!CN88)</f>
        <v>98.846606240199989</v>
      </c>
      <c r="CH88">
        <f>AVERAGE(S_plus!CO$2:'S_plus'!CO88)</f>
        <v>128.25045466209195</v>
      </c>
      <c r="CI88">
        <f>AVERAGE(S_plus!CP$2:'S_plus'!CP88)</f>
        <v>92.619771946789655</v>
      </c>
      <c r="CJ88">
        <f>AVERAGE(S_plus!CQ$2:'S_plus'!CQ88)</f>
        <v>98.220048063708049</v>
      </c>
      <c r="CK88">
        <f>AVERAGE(S_plus!CR$2:'S_plus'!CR88)</f>
        <v>101.68547325141031</v>
      </c>
      <c r="CL88">
        <f>AVERAGE(S_plus!CS$2:'S_plus'!CS88)</f>
        <v>102.1720162654977</v>
      </c>
      <c r="CM88">
        <f>AVERAGE(S_plus!CT$2:'S_plus'!CT88)</f>
        <v>115.4828903171563</v>
      </c>
      <c r="CN88">
        <f>AVERAGE(S_plus!CU$2:'S_plus'!CU88)</f>
        <v>104.95967987916895</v>
      </c>
      <c r="CO88">
        <f>AVERAGE(S_plus!CV$2:'S_plus'!CV88)</f>
        <v>91.030478380518389</v>
      </c>
      <c r="CP88">
        <f>AVERAGE(S_plus!CW$2:'S_plus'!CW88)</f>
        <v>107.82625349186318</v>
      </c>
      <c r="CQ88">
        <f>AVERAGE(S_plus!CX$2:'S_plus'!CX88)</f>
        <v>118.56642839524834</v>
      </c>
      <c r="CR88">
        <f>AVERAGE(S_plus!CY$2:'S_plus'!CY88)</f>
        <v>108.86898128428392</v>
      </c>
      <c r="CS88">
        <f>AVERAGE(S_plus!CZ$2:'S_plus'!CZ88)</f>
        <v>107.06258761623216</v>
      </c>
      <c r="CT88">
        <f>AVERAGE(S_plus!DA$2:'S_plus'!DA88)</f>
        <v>115.60557882197695</v>
      </c>
      <c r="CU88">
        <f>AVERAGE(S_plus!DB$2:'S_plus'!DB88)</f>
        <v>85.092792720910339</v>
      </c>
      <c r="CV88">
        <f>AVERAGE(S_plus!DC$2:'S_plus'!DC88)</f>
        <v>103.26926776901958</v>
      </c>
      <c r="CW88">
        <f>AVERAGE(S_plus!DD$2:'S_plus'!DD88)</f>
        <v>94.198377989886225</v>
      </c>
      <c r="CX88">
        <f>AVERAGE(S_plus!DE$2:'S_plus'!DE88)</f>
        <v>103.7397049876632</v>
      </c>
      <c r="CY88">
        <f>AVERAGE(S_plus!DF$2:'S_plus'!DF88)</f>
        <v>86.976613948459772</v>
      </c>
      <c r="CZ88">
        <f>AVERAGE(S_plus!DG$2:'S_plus'!DG88)</f>
        <v>89.360429420395363</v>
      </c>
      <c r="DA88">
        <f>AVERAGE(S_plus!DH$2:'S_plus'!DH88)</f>
        <v>98.253411814341419</v>
      </c>
    </row>
    <row r="89" spans="5:105" x14ac:dyDescent="0.25">
      <c r="E89">
        <f>E88+Asian!dt</f>
        <v>0.87000000000000055</v>
      </c>
      <c r="F89">
        <f>AVERAGE(S_plus!M$2:'S_plus'!M89)</f>
        <v>89.463557261405697</v>
      </c>
      <c r="G89">
        <f>AVERAGE(S_plus!N$2:'S_plus'!N89)</f>
        <v>96.959183681926106</v>
      </c>
      <c r="H89">
        <f>AVERAGE(S_plus!O$2:'S_plus'!O89)</f>
        <v>105.7886575820216</v>
      </c>
      <c r="I89">
        <f>AVERAGE(S_plus!P$2:'S_plus'!P89)</f>
        <v>98.641587572109074</v>
      </c>
      <c r="J89">
        <f>AVERAGE(S_plus!Q$2:'S_plus'!Q89)</f>
        <v>81.322762344384088</v>
      </c>
      <c r="K89">
        <f>AVERAGE(S_plus!R$2:'S_plus'!R89)</f>
        <v>95.221682780194314</v>
      </c>
      <c r="L89">
        <f>AVERAGE(S_plus!S$2:'S_plus'!S89)</f>
        <v>110.96294810196929</v>
      </c>
      <c r="M89">
        <f>AVERAGE(S_plus!T$2:'S_plus'!T89)</f>
        <v>83.862570332862489</v>
      </c>
      <c r="N89">
        <f>AVERAGE(S_plus!U$2:'S_plus'!U89)</f>
        <v>112.29603744835227</v>
      </c>
      <c r="O89">
        <f>AVERAGE(S_plus!V$2:'S_plus'!V89)</f>
        <v>110.19707242909088</v>
      </c>
      <c r="P89">
        <f>AVERAGE(S_plus!W$2:'S_plus'!W89)</f>
        <v>104.93370980453751</v>
      </c>
      <c r="Q89">
        <f>AVERAGE(S_plus!X$2:'S_plus'!X89)</f>
        <v>116.65090462263638</v>
      </c>
      <c r="R89">
        <f>AVERAGE(S_plus!Y$2:'S_plus'!Y89)</f>
        <v>92.90925762567727</v>
      </c>
      <c r="S89">
        <f>AVERAGE(S_plus!Z$2:'S_plus'!Z89)</f>
        <v>106.48495807861133</v>
      </c>
      <c r="T89">
        <f>AVERAGE(S_plus!AA$2:'S_plus'!AA89)</f>
        <v>105.05050466430338</v>
      </c>
      <c r="U89">
        <f>AVERAGE(S_plus!AB$2:'S_plus'!AB89)</f>
        <v>101.67869711926136</v>
      </c>
      <c r="V89">
        <f>AVERAGE(S_plus!AC$2:'S_plus'!AC89)</f>
        <v>87.536812345047736</v>
      </c>
      <c r="W89">
        <f>AVERAGE(S_plus!AD$2:'S_plus'!AD89)</f>
        <v>97.804624739702291</v>
      </c>
      <c r="X89">
        <f>AVERAGE(S_plus!AE$2:'S_plus'!AE89)</f>
        <v>125.60527348035792</v>
      </c>
      <c r="Y89">
        <f>AVERAGE(S_plus!AF$2:'S_plus'!AF89)</f>
        <v>113.69116128376254</v>
      </c>
      <c r="Z89">
        <f>AVERAGE(S_plus!AG$2:'S_plus'!AG89)</f>
        <v>107.6706336154341</v>
      </c>
      <c r="AA89">
        <f>AVERAGE(S_plus!AH$2:'S_plus'!AH89)</f>
        <v>108.50368969443984</v>
      </c>
      <c r="AB89">
        <f>AVERAGE(S_plus!AI$2:'S_plus'!AI89)</f>
        <v>87.667150603621579</v>
      </c>
      <c r="AC89">
        <f>AVERAGE(S_plus!AJ$2:'S_plus'!AJ89)</f>
        <v>91.589617923813663</v>
      </c>
      <c r="AD89">
        <f>AVERAGE(S_plus!AK$2:'S_plus'!AK89)</f>
        <v>110.49888741708527</v>
      </c>
      <c r="AE89">
        <f>AVERAGE(S_plus!AL$2:'S_plus'!AL89)</f>
        <v>107.72218948327613</v>
      </c>
      <c r="AF89">
        <f>AVERAGE(S_plus!AM$2:'S_plus'!AM89)</f>
        <v>95.625880193740926</v>
      </c>
      <c r="AG89">
        <f>AVERAGE(S_plus!AN$2:'S_plus'!AN89)</f>
        <v>110.49781670872726</v>
      </c>
      <c r="AH89">
        <f>AVERAGE(S_plus!AO$2:'S_plus'!AO89)</f>
        <v>99.258161602527252</v>
      </c>
      <c r="AI89">
        <f>AVERAGE(S_plus!AP$2:'S_plus'!AP89)</f>
        <v>91.629756679602238</v>
      </c>
      <c r="AJ89">
        <f>AVERAGE(S_plus!AQ$2:'S_plus'!AQ89)</f>
        <v>107.44162179293866</v>
      </c>
      <c r="AK89">
        <f>AVERAGE(S_plus!AR$2:'S_plus'!AR89)</f>
        <v>100.43723580140001</v>
      </c>
      <c r="AL89">
        <f>AVERAGE(S_plus!AS$2:'S_plus'!AS89)</f>
        <v>120.71886523782165</v>
      </c>
      <c r="AM89">
        <f>AVERAGE(S_plus!AT$2:'S_plus'!AT89)</f>
        <v>92.764212098012521</v>
      </c>
      <c r="AN89">
        <f>AVERAGE(S_plus!AU$2:'S_plus'!AU89)</f>
        <v>104.29637846378864</v>
      </c>
      <c r="AO89">
        <f>AVERAGE(S_plus!AV$2:'S_plus'!AV89)</f>
        <v>110.42531095160676</v>
      </c>
      <c r="AP89">
        <f>AVERAGE(S_plus!AW$2:'S_plus'!AW89)</f>
        <v>114.97322867124998</v>
      </c>
      <c r="AQ89">
        <f>AVERAGE(S_plus!AX$2:'S_plus'!AX89)</f>
        <v>98.95488946305008</v>
      </c>
      <c r="AR89">
        <f>AVERAGE(S_plus!AY$2:'S_plus'!AY89)</f>
        <v>97.1058015891807</v>
      </c>
      <c r="AS89">
        <f>AVERAGE(S_plus!AZ$2:'S_plus'!AZ89)</f>
        <v>119.04815389374996</v>
      </c>
      <c r="AT89">
        <f>AVERAGE(S_plus!BA$2:'S_plus'!BA89)</f>
        <v>115.7533508628523</v>
      </c>
      <c r="AU89">
        <f>AVERAGE(S_plus!BB$2:'S_plus'!BB89)</f>
        <v>105.92081822671933</v>
      </c>
      <c r="AV89">
        <f>AVERAGE(S_plus!BC$2:'S_plus'!BC89)</f>
        <v>112.38182398750229</v>
      </c>
      <c r="AW89">
        <f>AVERAGE(S_plus!BD$2:'S_plus'!BD89)</f>
        <v>107.27165607606017</v>
      </c>
      <c r="AX89">
        <f>AVERAGE(S_plus!BE$2:'S_plus'!BE89)</f>
        <v>95.35458123530799</v>
      </c>
      <c r="AY89">
        <f>AVERAGE(S_plus!BF$2:'S_plus'!BF89)</f>
        <v>89.028469417103409</v>
      </c>
      <c r="AZ89">
        <f>AVERAGE(S_plus!BG$2:'S_plus'!BG89)</f>
        <v>93.186639957590884</v>
      </c>
      <c r="BA89">
        <f>AVERAGE(S_plus!BH$2:'S_plus'!BH89)</f>
        <v>103.30975660064206</v>
      </c>
      <c r="BB89">
        <f>AVERAGE(S_plus!BI$2:'S_plus'!BI89)</f>
        <v>106.31427713108751</v>
      </c>
      <c r="BC89">
        <f>AVERAGE(S_plus!BJ$2:'S_plus'!BJ89)</f>
        <v>107.66484851449772</v>
      </c>
      <c r="BD89">
        <f>AVERAGE(S_plus!BK$2:'S_plus'!BK89)</f>
        <v>98.893750848321588</v>
      </c>
      <c r="BE89">
        <f>AVERAGE(S_plus!BL$2:'S_plus'!BL89)</f>
        <v>87.16980059407156</v>
      </c>
      <c r="BF89">
        <f>AVERAGE(S_plus!BM$2:'S_plus'!BM89)</f>
        <v>103.71152825580229</v>
      </c>
      <c r="BG89">
        <f>AVERAGE(S_plus!BN$2:'S_plus'!BN89)</f>
        <v>105.36185902226934</v>
      </c>
      <c r="BH89">
        <f>AVERAGE(S_plus!BO$2:'S_plus'!BO89)</f>
        <v>86.888249933975032</v>
      </c>
      <c r="BI89">
        <f>AVERAGE(S_plus!BP$2:'S_plus'!BP89)</f>
        <v>86.412479775630715</v>
      </c>
      <c r="BJ89">
        <f>AVERAGE(S_plus!BQ$2:'S_plus'!BQ89)</f>
        <v>92.238530762113612</v>
      </c>
      <c r="BK89">
        <f>AVERAGE(S_plus!BR$2:'S_plus'!BR89)</f>
        <v>108.67755699126589</v>
      </c>
      <c r="BL89">
        <f>AVERAGE(S_plus!BS$2:'S_plus'!BS89)</f>
        <v>109.0503553976625</v>
      </c>
      <c r="BM89">
        <f>AVERAGE(S_plus!BT$2:'S_plus'!BT89)</f>
        <v>112.48381935070002</v>
      </c>
      <c r="BN89">
        <f>AVERAGE(S_plus!BU$2:'S_plus'!BU89)</f>
        <v>99.491093409927259</v>
      </c>
      <c r="BO89">
        <f>AVERAGE(S_plus!BV$2:'S_plus'!BV89)</f>
        <v>91.035366119051133</v>
      </c>
      <c r="BP89">
        <f>AVERAGE(S_plus!BW$2:'S_plus'!BW89)</f>
        <v>98.614519649197689</v>
      </c>
      <c r="BQ89">
        <f>AVERAGE(S_plus!BX$2:'S_plus'!BX89)</f>
        <v>80.731152836970423</v>
      </c>
      <c r="BR89">
        <f>AVERAGE(S_plus!BY$2:'S_plus'!BY89)</f>
        <v>97.796385004079553</v>
      </c>
      <c r="BS89">
        <f>AVERAGE(S_plus!BZ$2:'S_plus'!BZ89)</f>
        <v>107.45461166801361</v>
      </c>
      <c r="BT89">
        <f>AVERAGE(S_plus!CA$2:'S_plus'!CA89)</f>
        <v>95.294469888479568</v>
      </c>
      <c r="BU89">
        <f>AVERAGE(S_plus!CB$2:'S_plus'!CB89)</f>
        <v>99.919537913544318</v>
      </c>
      <c r="BV89">
        <f>AVERAGE(S_plus!CC$2:'S_plus'!CC89)</f>
        <v>86.67750588904542</v>
      </c>
      <c r="BW89">
        <f>AVERAGE(S_plus!CD$2:'S_plus'!CD89)</f>
        <v>99.680412139611363</v>
      </c>
      <c r="BX89">
        <f>AVERAGE(S_plus!CE$2:'S_plus'!CE89)</f>
        <v>93.516524098153411</v>
      </c>
      <c r="BY89">
        <f>AVERAGE(S_plus!CF$2:'S_plus'!CF89)</f>
        <v>87.204164286832949</v>
      </c>
      <c r="BZ89">
        <f>AVERAGE(S_plus!CG$2:'S_plus'!CG89)</f>
        <v>96.594883114206823</v>
      </c>
      <c r="CA89">
        <f>AVERAGE(S_plus!CH$2:'S_plus'!CH89)</f>
        <v>117.69087098320452</v>
      </c>
      <c r="CB89">
        <f>AVERAGE(S_plus!CI$2:'S_plus'!CI89)</f>
        <v>96.478605641896635</v>
      </c>
      <c r="CC89">
        <f>AVERAGE(S_plus!CJ$2:'S_plus'!CJ89)</f>
        <v>101.25531630359205</v>
      </c>
      <c r="CD89">
        <f>AVERAGE(S_plus!CK$2:'S_plus'!CK89)</f>
        <v>94.029526652626132</v>
      </c>
      <c r="CE89">
        <f>AVERAGE(S_plus!CL$2:'S_plus'!CL89)</f>
        <v>87.08418483436138</v>
      </c>
      <c r="CF89">
        <f>AVERAGE(S_plus!CM$2:'S_plus'!CM89)</f>
        <v>93.989299857877313</v>
      </c>
      <c r="CG89">
        <f>AVERAGE(S_plus!CN$2:'S_plus'!CN89)</f>
        <v>98.944926822049993</v>
      </c>
      <c r="CH89">
        <f>AVERAGE(S_plus!CO$2:'S_plus'!CO89)</f>
        <v>128.50182202727271</v>
      </c>
      <c r="CI89">
        <f>AVERAGE(S_plus!CP$2:'S_plus'!CP89)</f>
        <v>92.562720973326137</v>
      </c>
      <c r="CJ89">
        <f>AVERAGE(S_plus!CQ$2:'S_plus'!CQ89)</f>
        <v>98.092505043728409</v>
      </c>
      <c r="CK89">
        <f>AVERAGE(S_plus!CR$2:'S_plus'!CR89)</f>
        <v>101.61855534081587</v>
      </c>
      <c r="CL89">
        <f>AVERAGE(S_plus!CS$2:'S_plus'!CS89)</f>
        <v>102.09878662299319</v>
      </c>
      <c r="CM89">
        <f>AVERAGE(S_plus!CT$2:'S_plus'!CT89)</f>
        <v>115.57388252810907</v>
      </c>
      <c r="CN89">
        <f>AVERAGE(S_plus!CU$2:'S_plus'!CU89)</f>
        <v>105.11197195542837</v>
      </c>
      <c r="CO89">
        <f>AVERAGE(S_plus!CV$2:'S_plus'!CV89)</f>
        <v>90.879637663053401</v>
      </c>
      <c r="CP89">
        <f>AVERAGE(S_plus!CW$2:'S_plus'!CW89)</f>
        <v>107.82530993286474</v>
      </c>
      <c r="CQ89">
        <f>AVERAGE(S_plus!CX$2:'S_plus'!CX89)</f>
        <v>118.57209694639324</v>
      </c>
      <c r="CR89">
        <f>AVERAGE(S_plus!CY$2:'S_plus'!CY89)</f>
        <v>109.06041562234887</v>
      </c>
      <c r="CS89">
        <f>AVERAGE(S_plus!CZ$2:'S_plus'!CZ89)</f>
        <v>107.14505491010453</v>
      </c>
      <c r="CT89">
        <f>AVERAGE(S_plus!DA$2:'S_plus'!DA89)</f>
        <v>115.64131742430676</v>
      </c>
      <c r="CU89">
        <f>AVERAGE(S_plus!DB$2:'S_plus'!DB89)</f>
        <v>85.006450261530674</v>
      </c>
      <c r="CV89">
        <f>AVERAGE(S_plus!DC$2:'S_plus'!DC89)</f>
        <v>103.26540466646253</v>
      </c>
      <c r="CW89">
        <f>AVERAGE(S_plus!DD$2:'S_plus'!DD89)</f>
        <v>94.349037349035243</v>
      </c>
      <c r="CX89">
        <f>AVERAGE(S_plus!DE$2:'S_plus'!DE89)</f>
        <v>103.72565291551929</v>
      </c>
      <c r="CY89">
        <f>AVERAGE(S_plus!DF$2:'S_plus'!DF89)</f>
        <v>86.935810909393183</v>
      </c>
      <c r="CZ89">
        <f>AVERAGE(S_plus!DG$2:'S_plus'!DG89)</f>
        <v>89.274118218572681</v>
      </c>
      <c r="DA89">
        <f>AVERAGE(S_plus!DH$2:'S_plus'!DH89)</f>
        <v>98.096856854083001</v>
      </c>
    </row>
    <row r="90" spans="5:105" x14ac:dyDescent="0.25">
      <c r="E90">
        <f>E89+Asian!dt</f>
        <v>0.88000000000000056</v>
      </c>
      <c r="F90">
        <f>AVERAGE(S_plus!M$2:'S_plus'!M90)</f>
        <v>89.361822464270787</v>
      </c>
      <c r="G90">
        <f>AVERAGE(S_plus!N$2:'S_plus'!N90)</f>
        <v>97.033830055589846</v>
      </c>
      <c r="H90">
        <f>AVERAGE(S_plus!O$2:'S_plus'!O90)</f>
        <v>105.80839015050451</v>
      </c>
      <c r="I90">
        <f>AVERAGE(S_plus!P$2:'S_plus'!P90)</f>
        <v>98.642778139375267</v>
      </c>
      <c r="J90">
        <f>AVERAGE(S_plus!Q$2:'S_plus'!Q90)</f>
        <v>81.141357746422472</v>
      </c>
      <c r="K90">
        <f>AVERAGE(S_plus!R$2:'S_plus'!R90)</f>
        <v>95.227991843882023</v>
      </c>
      <c r="L90">
        <f>AVERAGE(S_plus!S$2:'S_plus'!S90)</f>
        <v>110.89649131159885</v>
      </c>
      <c r="M90">
        <f>AVERAGE(S_plus!T$2:'S_plus'!T90)</f>
        <v>83.891241549742688</v>
      </c>
      <c r="N90">
        <f>AVERAGE(S_plus!U$2:'S_plus'!U90)</f>
        <v>112.34948624267416</v>
      </c>
      <c r="O90">
        <f>AVERAGE(S_plus!V$2:'S_plus'!V90)</f>
        <v>110.51859100482019</v>
      </c>
      <c r="P90">
        <f>AVERAGE(S_plus!W$2:'S_plus'!W90)</f>
        <v>104.92968596971126</v>
      </c>
      <c r="Q90">
        <f>AVERAGE(S_plus!X$2:'S_plus'!X90)</f>
        <v>116.95524454787642</v>
      </c>
      <c r="R90">
        <f>AVERAGE(S_plus!Y$2:'S_plus'!Y90)</f>
        <v>92.913205405380907</v>
      </c>
      <c r="S90">
        <f>AVERAGE(S_plus!Z$2:'S_plus'!Z90)</f>
        <v>106.4706805577393</v>
      </c>
      <c r="T90">
        <f>AVERAGE(S_plus!AA$2:'S_plus'!AA90)</f>
        <v>104.98722086267298</v>
      </c>
      <c r="U90">
        <f>AVERAGE(S_plus!AB$2:'S_plus'!AB90)</f>
        <v>101.71081320414605</v>
      </c>
      <c r="V90">
        <f>AVERAGE(S_plus!AC$2:'S_plus'!AC90)</f>
        <v>87.544274387541577</v>
      </c>
      <c r="W90">
        <f>AVERAGE(S_plus!AD$2:'S_plus'!AD90)</f>
        <v>97.771082030897773</v>
      </c>
      <c r="X90">
        <f>AVERAGE(S_plus!AE$2:'S_plus'!AE90)</f>
        <v>125.66696964432018</v>
      </c>
      <c r="Y90">
        <f>AVERAGE(S_plus!AF$2:'S_plus'!AF90)</f>
        <v>113.83778168766409</v>
      </c>
      <c r="Z90">
        <f>AVERAGE(S_plus!AG$2:'S_plus'!AG90)</f>
        <v>107.85072479222697</v>
      </c>
      <c r="AA90">
        <f>AVERAGE(S_plus!AH$2:'S_plus'!AH90)</f>
        <v>108.64968501759219</v>
      </c>
      <c r="AB90">
        <f>AVERAGE(S_plus!AI$2:'S_plus'!AI90)</f>
        <v>87.618132531508977</v>
      </c>
      <c r="AC90">
        <f>AVERAGE(S_plus!AJ$2:'S_plus'!AJ90)</f>
        <v>91.610828779625876</v>
      </c>
      <c r="AD90">
        <f>AVERAGE(S_plus!AK$2:'S_plus'!AK90)</f>
        <v>110.24323792699104</v>
      </c>
      <c r="AE90">
        <f>AVERAGE(S_plus!AL$2:'S_plus'!AL90)</f>
        <v>107.88469524096965</v>
      </c>
      <c r="AF90">
        <f>AVERAGE(S_plus!AM$2:'S_plus'!AM90)</f>
        <v>95.738718536856197</v>
      </c>
      <c r="AG90">
        <f>AVERAGE(S_plus!AN$2:'S_plus'!AN90)</f>
        <v>110.39319468199999</v>
      </c>
      <c r="AH90">
        <f>AVERAGE(S_plus!AO$2:'S_plus'!AO90)</f>
        <v>99.404087817083138</v>
      </c>
      <c r="AI90">
        <f>AVERAGE(S_plus!AP$2:'S_plus'!AP90)</f>
        <v>91.681051245306719</v>
      </c>
      <c r="AJ90">
        <f>AVERAGE(S_plus!AQ$2:'S_plus'!AQ90)</f>
        <v>107.52627455380453</v>
      </c>
      <c r="AK90">
        <f>AVERAGE(S_plus!AR$2:'S_plus'!AR90)</f>
        <v>100.35055714807193</v>
      </c>
      <c r="AL90">
        <f>AVERAGE(S_plus!AS$2:'S_plus'!AS90)</f>
        <v>120.78978086553153</v>
      </c>
      <c r="AM90">
        <f>AVERAGE(S_plus!AT$2:'S_plus'!AT90)</f>
        <v>92.864589412596629</v>
      </c>
      <c r="AN90">
        <f>AVERAGE(S_plus!AU$2:'S_plus'!AU90)</f>
        <v>104.59682897726293</v>
      </c>
      <c r="AO90">
        <f>AVERAGE(S_plus!AV$2:'S_plus'!AV90)</f>
        <v>110.55677243801568</v>
      </c>
      <c r="AP90">
        <f>AVERAGE(S_plus!AW$2:'S_plus'!AW90)</f>
        <v>114.99970330320222</v>
      </c>
      <c r="AQ90">
        <f>AVERAGE(S_plus!AX$2:'S_plus'!AX90)</f>
        <v>98.84219230928548</v>
      </c>
      <c r="AR90">
        <f>AVERAGE(S_plus!AY$2:'S_plus'!AY90)</f>
        <v>97.011389357448337</v>
      </c>
      <c r="AS90">
        <f>AVERAGE(S_plus!AZ$2:'S_plus'!AZ90)</f>
        <v>119.16985944673029</v>
      </c>
      <c r="AT90">
        <f>AVERAGE(S_plus!BA$2:'S_plus'!BA90)</f>
        <v>115.82005207798879</v>
      </c>
      <c r="AU90">
        <f>AVERAGE(S_plus!BB$2:'S_plus'!BB90)</f>
        <v>105.86287488698092</v>
      </c>
      <c r="AV90">
        <f>AVERAGE(S_plus!BC$2:'S_plus'!BC90)</f>
        <v>112.35900740186744</v>
      </c>
      <c r="AW90">
        <f>AVERAGE(S_plus!BD$2:'S_plus'!BD90)</f>
        <v>107.51027916648646</v>
      </c>
      <c r="AX90">
        <f>AVERAGE(S_plus!BE$2:'S_plus'!BE90)</f>
        <v>95.313172143625891</v>
      </c>
      <c r="AY90">
        <f>AVERAGE(S_plus!BF$2:'S_plus'!BF90)</f>
        <v>88.953772539243815</v>
      </c>
      <c r="AZ90">
        <f>AVERAGE(S_plus!BG$2:'S_plus'!BG90)</f>
        <v>93.045390622274141</v>
      </c>
      <c r="BA90">
        <f>AVERAGE(S_plus!BH$2:'S_plus'!BH90)</f>
        <v>103.43240137089327</v>
      </c>
      <c r="BB90">
        <f>AVERAGE(S_plus!BI$2:'S_plus'!BI90)</f>
        <v>106.37687461878316</v>
      </c>
      <c r="BC90">
        <f>AVERAGE(S_plus!BJ$2:'S_plus'!BJ90)</f>
        <v>107.67126432075054</v>
      </c>
      <c r="BD90">
        <f>AVERAGE(S_plus!BK$2:'S_plus'!BK90)</f>
        <v>98.999948473082028</v>
      </c>
      <c r="BE90">
        <f>AVERAGE(S_plus!BL$2:'S_plus'!BL90)</f>
        <v>87.038226645710083</v>
      </c>
      <c r="BF90">
        <f>AVERAGE(S_plus!BM$2:'S_plus'!BM90)</f>
        <v>103.89206478554608</v>
      </c>
      <c r="BG90">
        <f>AVERAGE(S_plus!BN$2:'S_plus'!BN90)</f>
        <v>105.52054614399664</v>
      </c>
      <c r="BH90">
        <f>AVERAGE(S_plus!BO$2:'S_plus'!BO90)</f>
        <v>86.909435791684317</v>
      </c>
      <c r="BI90">
        <f>AVERAGE(S_plus!BP$2:'S_plus'!BP90)</f>
        <v>86.29923509331465</v>
      </c>
      <c r="BJ90">
        <f>AVERAGE(S_plus!BQ$2:'S_plus'!BQ90)</f>
        <v>92.342222262999982</v>
      </c>
      <c r="BK90">
        <f>AVERAGE(S_plus!BR$2:'S_plus'!BR90)</f>
        <v>108.74169493356628</v>
      </c>
      <c r="BL90">
        <f>AVERAGE(S_plus!BS$2:'S_plus'!BS90)</f>
        <v>109.16139148127303</v>
      </c>
      <c r="BM90">
        <f>AVERAGE(S_plus!BT$2:'S_plus'!BT90)</f>
        <v>112.70992339974832</v>
      </c>
      <c r="BN90">
        <f>AVERAGE(S_plus!BU$2:'S_plus'!BU90)</f>
        <v>99.346343199699987</v>
      </c>
      <c r="BO90">
        <f>AVERAGE(S_plus!BV$2:'S_plus'!BV90)</f>
        <v>91.15820657152247</v>
      </c>
      <c r="BP90">
        <f>AVERAGE(S_plus!BW$2:'S_plus'!BW90)</f>
        <v>98.890808500251637</v>
      </c>
      <c r="BQ90">
        <f>AVERAGE(S_plus!BX$2:'S_plus'!BX90)</f>
        <v>80.621469096421322</v>
      </c>
      <c r="BR90">
        <f>AVERAGE(S_plus!BY$2:'S_plus'!BY90)</f>
        <v>97.595132897826971</v>
      </c>
      <c r="BS90">
        <f>AVERAGE(S_plus!BZ$2:'S_plus'!BZ90)</f>
        <v>107.75977816940673</v>
      </c>
      <c r="BT90">
        <f>AVERAGE(S_plus!CA$2:'S_plus'!CA90)</f>
        <v>95.141531175065182</v>
      </c>
      <c r="BU90">
        <f>AVERAGE(S_plus!CB$2:'S_plus'!CB90)</f>
        <v>99.798277216384278</v>
      </c>
      <c r="BV90">
        <f>AVERAGE(S_plus!CC$2:'S_plus'!CC90)</f>
        <v>86.528668103350526</v>
      </c>
      <c r="BW90">
        <f>AVERAGE(S_plus!CD$2:'S_plus'!CD90)</f>
        <v>99.72787312753708</v>
      </c>
      <c r="BX90">
        <f>AVERAGE(S_plus!CE$2:'S_plus'!CE90)</f>
        <v>93.395822753826963</v>
      </c>
      <c r="BY90">
        <f>AVERAGE(S_plus!CF$2:'S_plus'!CF90)</f>
        <v>87.028545811857299</v>
      </c>
      <c r="BZ90">
        <f>AVERAGE(S_plus!CG$2:'S_plus'!CG90)</f>
        <v>96.71660945124944</v>
      </c>
      <c r="CA90">
        <f>AVERAGE(S_plus!CH$2:'S_plus'!CH90)</f>
        <v>117.73994440633705</v>
      </c>
      <c r="CB90">
        <f>AVERAGE(S_plus!CI$2:'S_plus'!CI90)</f>
        <v>96.363153842256224</v>
      </c>
      <c r="CC90">
        <f>AVERAGE(S_plus!CJ$2:'S_plus'!CJ90)</f>
        <v>101.15160505310226</v>
      </c>
      <c r="CD90">
        <f>AVERAGE(S_plus!CK$2:'S_plus'!CK90)</f>
        <v>94.048242714098862</v>
      </c>
      <c r="CE90">
        <f>AVERAGE(S_plus!CL$2:'S_plus'!CL90)</f>
        <v>87.083239102958444</v>
      </c>
      <c r="CF90">
        <f>AVERAGE(S_plus!CM$2:'S_plus'!CM90)</f>
        <v>93.970175766156231</v>
      </c>
      <c r="CG90">
        <f>AVERAGE(S_plus!CN$2:'S_plus'!CN90)</f>
        <v>99.062329406330321</v>
      </c>
      <c r="CH90">
        <f>AVERAGE(S_plus!CO$2:'S_plus'!CO90)</f>
        <v>128.7279366482247</v>
      </c>
      <c r="CI90">
        <f>AVERAGE(S_plus!CP$2:'S_plus'!CP90)</f>
        <v>92.509668459665178</v>
      </c>
      <c r="CJ90">
        <f>AVERAGE(S_plus!CQ$2:'S_plus'!CQ90)</f>
        <v>97.955440944049442</v>
      </c>
      <c r="CK90">
        <f>AVERAGE(S_plus!CR$2:'S_plus'!CR90)</f>
        <v>101.52471774696738</v>
      </c>
      <c r="CL90">
        <f>AVERAGE(S_plus!CS$2:'S_plus'!CS90)</f>
        <v>102.0198276176191</v>
      </c>
      <c r="CM90">
        <f>AVERAGE(S_plus!CT$2:'S_plus'!CT90)</f>
        <v>115.65496667789436</v>
      </c>
      <c r="CN90">
        <f>AVERAGE(S_plus!CU$2:'S_plus'!CU90)</f>
        <v>105.30744480343479</v>
      </c>
      <c r="CO90">
        <f>AVERAGE(S_plus!CV$2:'S_plus'!CV90)</f>
        <v>90.761415704117965</v>
      </c>
      <c r="CP90">
        <f>AVERAGE(S_plus!CW$2:'S_plus'!CW90)</f>
        <v>107.83395270692245</v>
      </c>
      <c r="CQ90">
        <f>AVERAGE(S_plus!CX$2:'S_plus'!CX90)</f>
        <v>118.55597638826525</v>
      </c>
      <c r="CR90">
        <f>AVERAGE(S_plus!CY$2:'S_plus'!CY90)</f>
        <v>109.24616186308651</v>
      </c>
      <c r="CS90">
        <f>AVERAGE(S_plus!CZ$2:'S_plus'!CZ90)</f>
        <v>107.24718192297975</v>
      </c>
      <c r="CT90">
        <f>AVERAGE(S_plus!DA$2:'S_plus'!DA90)</f>
        <v>115.61130737546063</v>
      </c>
      <c r="CU90">
        <f>AVERAGE(S_plus!DB$2:'S_plus'!DB90)</f>
        <v>84.942653488730329</v>
      </c>
      <c r="CV90">
        <f>AVERAGE(S_plus!DC$2:'S_plus'!DC90)</f>
        <v>103.26762729698542</v>
      </c>
      <c r="CW90">
        <f>AVERAGE(S_plus!DD$2:'S_plus'!DD90)</f>
        <v>94.51693439048428</v>
      </c>
      <c r="CX90">
        <f>AVERAGE(S_plus!DE$2:'S_plus'!DE90)</f>
        <v>103.7202144286483</v>
      </c>
      <c r="CY90">
        <f>AVERAGE(S_plus!DF$2:'S_plus'!DF90)</f>
        <v>86.863090876566289</v>
      </c>
      <c r="CZ90">
        <f>AVERAGE(S_plus!DG$2:'S_plus'!DG90)</f>
        <v>89.204214077697713</v>
      </c>
      <c r="DA90">
        <f>AVERAGE(S_plus!DH$2:'S_plus'!DH90)</f>
        <v>97.935407903820291</v>
      </c>
    </row>
    <row r="91" spans="5:105" x14ac:dyDescent="0.25">
      <c r="E91">
        <f>E90+Asian!dt</f>
        <v>0.89000000000000057</v>
      </c>
      <c r="F91">
        <f>AVERAGE(S_plus!M$2:'S_plus'!M91)</f>
        <v>89.233488955695563</v>
      </c>
      <c r="G91">
        <f>AVERAGE(S_plus!N$2:'S_plus'!N91)</f>
        <v>97.080185537483302</v>
      </c>
      <c r="H91">
        <f>AVERAGE(S_plus!O$2:'S_plus'!O91)</f>
        <v>105.81838950061002</v>
      </c>
      <c r="I91">
        <f>AVERAGE(S_plus!P$2:'S_plus'!P91)</f>
        <v>98.625348167065553</v>
      </c>
      <c r="J91">
        <f>AVERAGE(S_plus!Q$2:'S_plus'!Q91)</f>
        <v>80.975333486033335</v>
      </c>
      <c r="K91">
        <f>AVERAGE(S_plus!R$2:'S_plus'!R91)</f>
        <v>95.23104684203112</v>
      </c>
      <c r="L91">
        <f>AVERAGE(S_plus!S$2:'S_plus'!S91)</f>
        <v>110.82907027465886</v>
      </c>
      <c r="M91">
        <f>AVERAGE(S_plus!T$2:'S_plus'!T91)</f>
        <v>83.933436066885534</v>
      </c>
      <c r="N91">
        <f>AVERAGE(S_plus!U$2:'S_plus'!U91)</f>
        <v>112.44497871712223</v>
      </c>
      <c r="O91">
        <f>AVERAGE(S_plus!V$2:'S_plus'!V91)</f>
        <v>110.80570481371107</v>
      </c>
      <c r="P91">
        <f>AVERAGE(S_plus!W$2:'S_plus'!W91)</f>
        <v>104.95152524072559</v>
      </c>
      <c r="Q91">
        <f>AVERAGE(S_plus!X$2:'S_plus'!X91)</f>
        <v>117.23365626671114</v>
      </c>
      <c r="R91">
        <f>AVERAGE(S_plus!Y$2:'S_plus'!Y91)</f>
        <v>92.922541892854454</v>
      </c>
      <c r="S91">
        <f>AVERAGE(S_plus!Z$2:'S_plus'!Z91)</f>
        <v>106.45225500207553</v>
      </c>
      <c r="T91">
        <f>AVERAGE(S_plus!AA$2:'S_plus'!AA91)</f>
        <v>104.90803934177552</v>
      </c>
      <c r="U91">
        <f>AVERAGE(S_plus!AB$2:'S_plus'!AB91)</f>
        <v>101.78101060091109</v>
      </c>
      <c r="V91">
        <f>AVERAGE(S_plus!AC$2:'S_plus'!AC91)</f>
        <v>87.558142860393346</v>
      </c>
      <c r="W91">
        <f>AVERAGE(S_plus!AD$2:'S_plus'!AD91)</f>
        <v>97.71847699694446</v>
      </c>
      <c r="X91">
        <f>AVERAGE(S_plus!AE$2:'S_plus'!AE91)</f>
        <v>125.76375640514996</v>
      </c>
      <c r="Y91">
        <f>AVERAGE(S_plus!AF$2:'S_plus'!AF91)</f>
        <v>113.98878455110116</v>
      </c>
      <c r="Z91">
        <f>AVERAGE(S_plus!AG$2:'S_plus'!AG91)</f>
        <v>108.03134494946889</v>
      </c>
      <c r="AA91">
        <f>AVERAGE(S_plus!AH$2:'S_plus'!AH91)</f>
        <v>108.79270546481894</v>
      </c>
      <c r="AB91">
        <f>AVERAGE(S_plus!AI$2:'S_plus'!AI91)</f>
        <v>87.545943438597774</v>
      </c>
      <c r="AC91">
        <f>AVERAGE(S_plus!AJ$2:'S_plus'!AJ91)</f>
        <v>91.608904000814476</v>
      </c>
      <c r="AD91">
        <f>AVERAGE(S_plus!AK$2:'S_plus'!AK91)</f>
        <v>109.98173203754781</v>
      </c>
      <c r="AE91">
        <f>AVERAGE(S_plus!AL$2:'S_plus'!AL91)</f>
        <v>108.03243903949222</v>
      </c>
      <c r="AF91">
        <f>AVERAGE(S_plus!AM$2:'S_plus'!AM91)</f>
        <v>95.796980565835582</v>
      </c>
      <c r="AG91">
        <f>AVERAGE(S_plus!AN$2:'S_plus'!AN91)</f>
        <v>110.28819263586665</v>
      </c>
      <c r="AH91">
        <f>AVERAGE(S_plus!AO$2:'S_plus'!AO91)</f>
        <v>99.527905879648884</v>
      </c>
      <c r="AI91">
        <f>AVERAGE(S_plus!AP$2:'S_plus'!AP91)</f>
        <v>91.774501453358866</v>
      </c>
      <c r="AJ91">
        <f>AVERAGE(S_plus!AQ$2:'S_plus'!AQ91)</f>
        <v>107.60808366052892</v>
      </c>
      <c r="AK91">
        <f>AVERAGE(S_plus!AR$2:'S_plus'!AR91)</f>
        <v>100.27791444122002</v>
      </c>
      <c r="AL91">
        <f>AVERAGE(S_plus!AS$2:'S_plus'!AS91)</f>
        <v>120.86759227188116</v>
      </c>
      <c r="AM91">
        <f>AVERAGE(S_plus!AT$2:'S_plus'!AT91)</f>
        <v>92.972587706167786</v>
      </c>
      <c r="AN91">
        <f>AVERAGE(S_plus!AU$2:'S_plus'!AU91)</f>
        <v>104.88910204616</v>
      </c>
      <c r="AO91">
        <f>AVERAGE(S_plus!AV$2:'S_plus'!AV91)</f>
        <v>110.72473839652662</v>
      </c>
      <c r="AP91">
        <f>AVERAGE(S_plus!AW$2:'S_plus'!AW91)</f>
        <v>115.04544753179998</v>
      </c>
      <c r="AQ91">
        <f>AVERAGE(S_plus!AX$2:'S_plus'!AX91)</f>
        <v>98.762048017540067</v>
      </c>
      <c r="AR91">
        <f>AVERAGE(S_plus!AY$2:'S_plus'!AY91)</f>
        <v>96.916159834916698</v>
      </c>
      <c r="AS91">
        <f>AVERAGE(S_plus!AZ$2:'S_plus'!AZ91)</f>
        <v>119.32719585705551</v>
      </c>
      <c r="AT91">
        <f>AVERAGE(S_plus!BA$2:'S_plus'!BA91)</f>
        <v>115.87811685871112</v>
      </c>
      <c r="AU91">
        <f>AVERAGE(S_plus!BB$2:'S_plus'!BB91)</f>
        <v>105.79151740734224</v>
      </c>
      <c r="AV91">
        <f>AVERAGE(S_plus!BC$2:'S_plus'!BC91)</f>
        <v>112.36416456195781</v>
      </c>
      <c r="AW91">
        <f>AVERAGE(S_plus!BD$2:'S_plus'!BD91)</f>
        <v>107.74200129123662</v>
      </c>
      <c r="AX91">
        <f>AVERAGE(S_plus!BE$2:'S_plus'!BE91)</f>
        <v>95.283259200365606</v>
      </c>
      <c r="AY91">
        <f>AVERAGE(S_plus!BF$2:'S_plus'!BF91)</f>
        <v>88.888726684945553</v>
      </c>
      <c r="AZ91">
        <f>AVERAGE(S_plus!BG$2:'S_plus'!BG91)</f>
        <v>92.902297056301094</v>
      </c>
      <c r="BA91">
        <f>AVERAGE(S_plus!BH$2:'S_plus'!BH91)</f>
        <v>103.59412817647224</v>
      </c>
      <c r="BB91">
        <f>AVERAGE(S_plus!BI$2:'S_plus'!BI91)</f>
        <v>106.45645902955222</v>
      </c>
      <c r="BC91">
        <f>AVERAGE(S_plus!BJ$2:'S_plus'!BJ91)</f>
        <v>107.67018025906442</v>
      </c>
      <c r="BD91">
        <f>AVERAGE(S_plus!BK$2:'S_plus'!BK91)</f>
        <v>99.054649007203338</v>
      </c>
      <c r="BE91">
        <f>AVERAGE(S_plus!BL$2:'S_plus'!BL91)</f>
        <v>86.938044795853315</v>
      </c>
      <c r="BF91">
        <f>AVERAGE(S_plus!BM$2:'S_plus'!BM91)</f>
        <v>104.05120865599557</v>
      </c>
      <c r="BG91">
        <f>AVERAGE(S_plus!BN$2:'S_plus'!BN91)</f>
        <v>105.67697823347446</v>
      </c>
      <c r="BH91">
        <f>AVERAGE(S_plus!BO$2:'S_plus'!BO91)</f>
        <v>86.918866340226714</v>
      </c>
      <c r="BI91">
        <f>AVERAGE(S_plus!BP$2:'S_plus'!BP91)</f>
        <v>86.184452098136703</v>
      </c>
      <c r="BJ91">
        <f>AVERAGE(S_plus!BQ$2:'S_plus'!BQ91)</f>
        <v>92.440569473744432</v>
      </c>
      <c r="BK91">
        <f>AVERAGE(S_plus!BR$2:'S_plus'!BR91)</f>
        <v>108.80745099963778</v>
      </c>
      <c r="BL91">
        <f>AVERAGE(S_plus!BS$2:'S_plus'!BS91)</f>
        <v>109.25406675884777</v>
      </c>
      <c r="BM91">
        <f>AVERAGE(S_plus!BT$2:'S_plus'!BT91)</f>
        <v>112.8645727881289</v>
      </c>
      <c r="BN91">
        <f>AVERAGE(S_plus!BU$2:'S_plus'!BU91)</f>
        <v>99.195902677335553</v>
      </c>
      <c r="BO91">
        <f>AVERAGE(S_plus!BV$2:'S_plus'!BV91)</f>
        <v>91.295027035483329</v>
      </c>
      <c r="BP91">
        <f>AVERAGE(S_plus!BW$2:'S_plus'!BW91)</f>
        <v>99.145342790226621</v>
      </c>
      <c r="BQ91">
        <f>AVERAGE(S_plus!BX$2:'S_plus'!BX91)</f>
        <v>80.527143070478871</v>
      </c>
      <c r="BR91">
        <f>AVERAGE(S_plus!BY$2:'S_plus'!BY91)</f>
        <v>97.404314962201127</v>
      </c>
      <c r="BS91">
        <f>AVERAGE(S_plus!BZ$2:'S_plus'!BZ91)</f>
        <v>108.08438510794664</v>
      </c>
      <c r="BT91">
        <f>AVERAGE(S_plus!CA$2:'S_plus'!CA91)</f>
        <v>95.013759080294463</v>
      </c>
      <c r="BU91">
        <f>AVERAGE(S_plus!CB$2:'S_plus'!CB91)</f>
        <v>99.701136474017787</v>
      </c>
      <c r="BV91">
        <f>AVERAGE(S_plus!CC$2:'S_plus'!CC91)</f>
        <v>86.387999075255522</v>
      </c>
      <c r="BW91">
        <f>AVERAGE(S_plus!CD$2:'S_plus'!CD91)</f>
        <v>99.767273884308878</v>
      </c>
      <c r="BX91">
        <f>AVERAGE(S_plus!CE$2:'S_plus'!CE91)</f>
        <v>93.285987497462216</v>
      </c>
      <c r="BY91">
        <f>AVERAGE(S_plus!CF$2:'S_plus'!CF91)</f>
        <v>86.881603662834436</v>
      </c>
      <c r="BZ91">
        <f>AVERAGE(S_plus!CG$2:'S_plus'!CG91)</f>
        <v>96.833789106724439</v>
      </c>
      <c r="CA91">
        <f>AVERAGE(S_plus!CH$2:'S_plus'!CH91)</f>
        <v>117.79955603989998</v>
      </c>
      <c r="CB91">
        <f>AVERAGE(S_plus!CI$2:'S_plus'!CI91)</f>
        <v>96.274922820716711</v>
      </c>
      <c r="CC91">
        <f>AVERAGE(S_plus!CJ$2:'S_plus'!CJ91)</f>
        <v>101.04785829682112</v>
      </c>
      <c r="CD91">
        <f>AVERAGE(S_plus!CK$2:'S_plus'!CK91)</f>
        <v>94.04758940085442</v>
      </c>
      <c r="CE91">
        <f>AVERAGE(S_plus!CL$2:'S_plus'!CL91)</f>
        <v>87.086377824970029</v>
      </c>
      <c r="CF91">
        <f>AVERAGE(S_plus!CM$2:'S_plus'!CM91)</f>
        <v>93.93672354051337</v>
      </c>
      <c r="CG91">
        <f>AVERAGE(S_plus!CN$2:'S_plus'!CN91)</f>
        <v>99.182807636626649</v>
      </c>
      <c r="CH91">
        <f>AVERAGE(S_plus!CO$2:'S_plus'!CO91)</f>
        <v>128.94675058267777</v>
      </c>
      <c r="CI91">
        <f>AVERAGE(S_plus!CP$2:'S_plus'!CP91)</f>
        <v>92.437147777410004</v>
      </c>
      <c r="CJ91">
        <f>AVERAGE(S_plus!CQ$2:'S_plus'!CQ91)</f>
        <v>97.83006553181778</v>
      </c>
      <c r="CK91">
        <f>AVERAGE(S_plus!CR$2:'S_plus'!CR91)</f>
        <v>101.46703404998553</v>
      </c>
      <c r="CL91">
        <f>AVERAGE(S_plus!CS$2:'S_plus'!CS91)</f>
        <v>101.92132821533333</v>
      </c>
      <c r="CM91">
        <f>AVERAGE(S_plus!CT$2:'S_plus'!CT91)</f>
        <v>115.78687072130666</v>
      </c>
      <c r="CN91">
        <f>AVERAGE(S_plus!CU$2:'S_plus'!CU91)</f>
        <v>105.48025849590775</v>
      </c>
      <c r="CO91">
        <f>AVERAGE(S_plus!CV$2:'S_plus'!CV91)</f>
        <v>90.645702118531105</v>
      </c>
      <c r="CP91">
        <f>AVERAGE(S_plus!CW$2:'S_plus'!CW91)</f>
        <v>107.8061041961233</v>
      </c>
      <c r="CQ91">
        <f>AVERAGE(S_plus!CX$2:'S_plus'!CX91)</f>
        <v>118.56913595426229</v>
      </c>
      <c r="CR91">
        <f>AVERAGE(S_plus!CY$2:'S_plus'!CY91)</f>
        <v>109.41539471197444</v>
      </c>
      <c r="CS91">
        <f>AVERAGE(S_plus!CZ$2:'S_plus'!CZ91)</f>
        <v>107.32469396564663</v>
      </c>
      <c r="CT91">
        <f>AVERAGE(S_plus!DA$2:'S_plus'!DA91)</f>
        <v>115.52956335294439</v>
      </c>
      <c r="CU91">
        <f>AVERAGE(S_plus!DB$2:'S_plus'!DB91)</f>
        <v>84.883289441143319</v>
      </c>
      <c r="CV91">
        <f>AVERAGE(S_plus!DC$2:'S_plus'!DC91)</f>
        <v>103.28585357638559</v>
      </c>
      <c r="CW91">
        <f>AVERAGE(S_plus!DD$2:'S_plus'!DD91)</f>
        <v>94.66188810989</v>
      </c>
      <c r="CX91">
        <f>AVERAGE(S_plus!DE$2:'S_plus'!DE91)</f>
        <v>103.74715535421888</v>
      </c>
      <c r="CY91">
        <f>AVERAGE(S_plus!DF$2:'S_plus'!DF91)</f>
        <v>86.800906171227766</v>
      </c>
      <c r="CZ91">
        <f>AVERAGE(S_plus!DG$2:'S_plus'!DG91)</f>
        <v>89.122949088094401</v>
      </c>
      <c r="DA91">
        <f>AVERAGE(S_plus!DH$2:'S_plus'!DH91)</f>
        <v>97.785655677720058</v>
      </c>
    </row>
    <row r="92" spans="5:105" x14ac:dyDescent="0.25">
      <c r="E92">
        <f>E91+Asian!dt</f>
        <v>0.90000000000000058</v>
      </c>
      <c r="F92">
        <f>AVERAGE(S_plus!M$2:'S_plus'!M92)</f>
        <v>89.071712379720893</v>
      </c>
      <c r="G92">
        <f>AVERAGE(S_plus!N$2:'S_plus'!N92)</f>
        <v>97.144940920664808</v>
      </c>
      <c r="H92">
        <f>AVERAGE(S_plus!O$2:'S_plus'!O92)</f>
        <v>105.83039770170221</v>
      </c>
      <c r="I92">
        <f>AVERAGE(S_plus!P$2:'S_plus'!P92)</f>
        <v>98.58574701390549</v>
      </c>
      <c r="J92">
        <f>AVERAGE(S_plus!Q$2:'S_plus'!Q92)</f>
        <v>80.814388611742856</v>
      </c>
      <c r="K92">
        <f>AVERAGE(S_plus!R$2:'S_plus'!R92)</f>
        <v>95.241958649907687</v>
      </c>
      <c r="L92">
        <f>AVERAGE(S_plus!S$2:'S_plus'!S92)</f>
        <v>110.71858678636592</v>
      </c>
      <c r="M92">
        <f>AVERAGE(S_plus!T$2:'S_plus'!T92)</f>
        <v>83.996315527823057</v>
      </c>
      <c r="N92">
        <f>AVERAGE(S_plus!U$2:'S_plus'!U92)</f>
        <v>112.52904521954946</v>
      </c>
      <c r="O92">
        <f>AVERAGE(S_plus!V$2:'S_plus'!V92)</f>
        <v>111.11500167837359</v>
      </c>
      <c r="P92">
        <f>AVERAGE(S_plus!W$2:'S_plus'!W92)</f>
        <v>104.98661096056375</v>
      </c>
      <c r="Q92">
        <f>AVERAGE(S_plus!X$2:'S_plus'!X92)</f>
        <v>117.44468577990111</v>
      </c>
      <c r="R92">
        <f>AVERAGE(S_plus!Y$2:'S_plus'!Y92)</f>
        <v>92.892607192731873</v>
      </c>
      <c r="S92">
        <f>AVERAGE(S_plus!Z$2:'S_plus'!Z92)</f>
        <v>106.4083921616681</v>
      </c>
      <c r="T92">
        <f>AVERAGE(S_plus!AA$2:'S_plus'!AA92)</f>
        <v>104.81444389173073</v>
      </c>
      <c r="U92">
        <f>AVERAGE(S_plus!AB$2:'S_plus'!AB92)</f>
        <v>101.81347705508789</v>
      </c>
      <c r="V92">
        <f>AVERAGE(S_plus!AC$2:'S_plus'!AC92)</f>
        <v>87.557818144249453</v>
      </c>
      <c r="W92">
        <f>AVERAGE(S_plus!AD$2:'S_plus'!AD92)</f>
        <v>97.685586994801128</v>
      </c>
      <c r="X92">
        <f>AVERAGE(S_plus!AE$2:'S_plus'!AE92)</f>
        <v>125.85062308825819</v>
      </c>
      <c r="Y92">
        <f>AVERAGE(S_plus!AF$2:'S_plus'!AF92)</f>
        <v>114.20132679691325</v>
      </c>
      <c r="Z92">
        <f>AVERAGE(S_plus!AG$2:'S_plus'!AG92)</f>
        <v>108.19914807496923</v>
      </c>
      <c r="AA92">
        <f>AVERAGE(S_plus!AH$2:'S_plus'!AH92)</f>
        <v>108.91323804771103</v>
      </c>
      <c r="AB92">
        <f>AVERAGE(S_plus!AI$2:'S_plus'!AI92)</f>
        <v>87.475560302123071</v>
      </c>
      <c r="AC92">
        <f>AVERAGE(S_plus!AJ$2:'S_plus'!AJ92)</f>
        <v>91.619388765194529</v>
      </c>
      <c r="AD92">
        <f>AVERAGE(S_plus!AK$2:'S_plus'!AK92)</f>
        <v>109.73297107257038</v>
      </c>
      <c r="AE92">
        <f>AVERAGE(S_plus!AL$2:'S_plus'!AL92)</f>
        <v>108.15122389901428</v>
      </c>
      <c r="AF92">
        <f>AVERAGE(S_plus!AM$2:'S_plus'!AM92)</f>
        <v>95.859878839211007</v>
      </c>
      <c r="AG92">
        <f>AVERAGE(S_plus!AN$2:'S_plus'!AN92)</f>
        <v>110.18327216489011</v>
      </c>
      <c r="AH92">
        <f>AVERAGE(S_plus!AO$2:'S_plus'!AO92)</f>
        <v>99.672570636685705</v>
      </c>
      <c r="AI92">
        <f>AVERAGE(S_plus!AP$2:'S_plus'!AP92)</f>
        <v>91.865697412464812</v>
      </c>
      <c r="AJ92">
        <f>AVERAGE(S_plus!AQ$2:'S_plus'!AQ92)</f>
        <v>107.69575296734727</v>
      </c>
      <c r="AK92">
        <f>AVERAGE(S_plus!AR$2:'S_plus'!AR92)</f>
        <v>100.22543000064069</v>
      </c>
      <c r="AL92">
        <f>AVERAGE(S_plus!AS$2:'S_plus'!AS92)</f>
        <v>120.90669359859675</v>
      </c>
      <c r="AM92">
        <f>AVERAGE(S_plus!AT$2:'S_plus'!AT92)</f>
        <v>93.070631897418693</v>
      </c>
      <c r="AN92">
        <f>AVERAGE(S_plus!AU$2:'S_plus'!AU92)</f>
        <v>105.17778579971869</v>
      </c>
      <c r="AO92">
        <f>AVERAGE(S_plus!AV$2:'S_plus'!AV92)</f>
        <v>110.86807696971864</v>
      </c>
      <c r="AP92">
        <f>AVERAGE(S_plus!AW$2:'S_plus'!AW92)</f>
        <v>115.05713536779119</v>
      </c>
      <c r="AQ92">
        <f>AVERAGE(S_plus!AX$2:'S_plus'!AX92)</f>
        <v>98.680744460418737</v>
      </c>
      <c r="AR92">
        <f>AVERAGE(S_plus!AY$2:'S_plus'!AY92)</f>
        <v>96.834386007345088</v>
      </c>
      <c r="AS92">
        <f>AVERAGE(S_plus!AZ$2:'S_plus'!AZ92)</f>
        <v>119.49960534203292</v>
      </c>
      <c r="AT92">
        <f>AVERAGE(S_plus!BA$2:'S_plus'!BA92)</f>
        <v>115.92876657327474</v>
      </c>
      <c r="AU92">
        <f>AVERAGE(S_plus!BB$2:'S_plus'!BB92)</f>
        <v>105.73411442125058</v>
      </c>
      <c r="AV92">
        <f>AVERAGE(S_plus!BC$2:'S_plus'!BC92)</f>
        <v>112.39779876029891</v>
      </c>
      <c r="AW92">
        <f>AVERAGE(S_plus!BD$2:'S_plus'!BD92)</f>
        <v>107.94872421992633</v>
      </c>
      <c r="AX92">
        <f>AVERAGE(S_plus!BE$2:'S_plus'!BE92)</f>
        <v>95.265480327412135</v>
      </c>
      <c r="AY92">
        <f>AVERAGE(S_plus!BF$2:'S_plus'!BF92)</f>
        <v>88.802598598847254</v>
      </c>
      <c r="AZ92">
        <f>AVERAGE(S_plus!BG$2:'S_plus'!BG92)</f>
        <v>92.752491392160422</v>
      </c>
      <c r="BA92">
        <f>AVERAGE(S_plus!BH$2:'S_plus'!BH92)</f>
        <v>103.76579563964287</v>
      </c>
      <c r="BB92">
        <f>AVERAGE(S_plus!BI$2:'S_plus'!BI92)</f>
        <v>106.53079114617253</v>
      </c>
      <c r="BC92">
        <f>AVERAGE(S_plus!BJ$2:'S_plus'!BJ92)</f>
        <v>107.63037915415163</v>
      </c>
      <c r="BD92">
        <f>AVERAGE(S_plus!BK$2:'S_plus'!BK92)</f>
        <v>99.088469225849465</v>
      </c>
      <c r="BE92">
        <f>AVERAGE(S_plus!BL$2:'S_plus'!BL92)</f>
        <v>86.862882163203267</v>
      </c>
      <c r="BF92">
        <f>AVERAGE(S_plus!BM$2:'S_plus'!BM92)</f>
        <v>104.17579245960002</v>
      </c>
      <c r="BG92">
        <f>AVERAGE(S_plus!BN$2:'S_plus'!BN92)</f>
        <v>105.80932164244726</v>
      </c>
      <c r="BH92">
        <f>AVERAGE(S_plus!BO$2:'S_plus'!BO92)</f>
        <v>86.940930584791261</v>
      </c>
      <c r="BI92">
        <f>AVERAGE(S_plus!BP$2:'S_plus'!BP92)</f>
        <v>86.073772987153887</v>
      </c>
      <c r="BJ92">
        <f>AVERAGE(S_plus!BQ$2:'S_plus'!BQ92)</f>
        <v>92.543309475164818</v>
      </c>
      <c r="BK92">
        <f>AVERAGE(S_plus!BR$2:'S_plus'!BR92)</f>
        <v>108.91816712464177</v>
      </c>
      <c r="BL92">
        <f>AVERAGE(S_plus!BS$2:'S_plus'!BS92)</f>
        <v>109.35525030891537</v>
      </c>
      <c r="BM92">
        <f>AVERAGE(S_plus!BT$2:'S_plus'!BT92)</f>
        <v>113.04968931400661</v>
      </c>
      <c r="BN92">
        <f>AVERAGE(S_plus!BU$2:'S_plus'!BU92)</f>
        <v>99.066660210946154</v>
      </c>
      <c r="BO92">
        <f>AVERAGE(S_plus!BV$2:'S_plus'!BV92)</f>
        <v>91.481508012049446</v>
      </c>
      <c r="BP92">
        <f>AVERAGE(S_plus!BW$2:'S_plus'!BW92)</f>
        <v>99.36793388609226</v>
      </c>
      <c r="BQ92">
        <f>AVERAGE(S_plus!BX$2:'S_plus'!BX92)</f>
        <v>80.443732697906569</v>
      </c>
      <c r="BR92">
        <f>AVERAGE(S_plus!BY$2:'S_plus'!BY92)</f>
        <v>97.213581156082441</v>
      </c>
      <c r="BS92">
        <f>AVERAGE(S_plus!BZ$2:'S_plus'!BZ92)</f>
        <v>108.41228861168349</v>
      </c>
      <c r="BT92">
        <f>AVERAGE(S_plus!CA$2:'S_plus'!CA92)</f>
        <v>94.888067315867048</v>
      </c>
      <c r="BU92">
        <f>AVERAGE(S_plus!CB$2:'S_plus'!CB92)</f>
        <v>99.575687382203313</v>
      </c>
      <c r="BV92">
        <f>AVERAGE(S_plus!CC$2:'S_plus'!CC92)</f>
        <v>86.273226525476886</v>
      </c>
      <c r="BW92">
        <f>AVERAGE(S_plus!CD$2:'S_plus'!CD92)</f>
        <v>99.788860765602195</v>
      </c>
      <c r="BX92">
        <f>AVERAGE(S_plus!CE$2:'S_plus'!CE92)</f>
        <v>93.155259179382398</v>
      </c>
      <c r="BY92">
        <f>AVERAGE(S_plus!CF$2:'S_plus'!CF92)</f>
        <v>86.753706661745042</v>
      </c>
      <c r="BZ92">
        <f>AVERAGE(S_plus!CG$2:'S_plus'!CG92)</f>
        <v>96.956695721112084</v>
      </c>
      <c r="CA92">
        <f>AVERAGE(S_plus!CH$2:'S_plus'!CH92)</f>
        <v>117.86897462575821</v>
      </c>
      <c r="CB92">
        <f>AVERAGE(S_plus!CI$2:'S_plus'!CI92)</f>
        <v>96.167510559951694</v>
      </c>
      <c r="CC92">
        <f>AVERAGE(S_plus!CJ$2:'S_plus'!CJ92)</f>
        <v>100.9521374734242</v>
      </c>
      <c r="CD92">
        <f>AVERAGE(S_plus!CK$2:'S_plus'!CK92)</f>
        <v>93.995304464162615</v>
      </c>
      <c r="CE92">
        <f>AVERAGE(S_plus!CL$2:'S_plus'!CL92)</f>
        <v>87.098156790943989</v>
      </c>
      <c r="CF92">
        <f>AVERAGE(S_plus!CM$2:'S_plus'!CM92)</f>
        <v>93.880350100189048</v>
      </c>
      <c r="CG92">
        <f>AVERAGE(S_plus!CN$2:'S_plus'!CN92)</f>
        <v>99.251873276191176</v>
      </c>
      <c r="CH92">
        <f>AVERAGE(S_plus!CO$2:'S_plus'!CO92)</f>
        <v>129.17497659534064</v>
      </c>
      <c r="CI92">
        <f>AVERAGE(S_plus!CP$2:'S_plus'!CP92)</f>
        <v>92.369897101269231</v>
      </c>
      <c r="CJ92">
        <f>AVERAGE(S_plus!CQ$2:'S_plus'!CQ92)</f>
        <v>97.730963180820879</v>
      </c>
      <c r="CK92">
        <f>AVERAGE(S_plus!CR$2:'S_plus'!CR92)</f>
        <v>101.4128517046714</v>
      </c>
      <c r="CL92">
        <f>AVERAGE(S_plus!CS$2:'S_plus'!CS92)</f>
        <v>101.82543516443408</v>
      </c>
      <c r="CM92">
        <f>AVERAGE(S_plus!CT$2:'S_plus'!CT92)</f>
        <v>115.91460688709451</v>
      </c>
      <c r="CN92">
        <f>AVERAGE(S_plus!CU$2:'S_plus'!CU92)</f>
        <v>105.612642134667</v>
      </c>
      <c r="CO92">
        <f>AVERAGE(S_plus!CV$2:'S_plus'!CV92)</f>
        <v>90.530761414473616</v>
      </c>
      <c r="CP92">
        <f>AVERAGE(S_plus!CW$2:'S_plus'!CW92)</f>
        <v>107.75200682861646</v>
      </c>
      <c r="CQ92">
        <f>AVERAGE(S_plus!CX$2:'S_plus'!CX92)</f>
        <v>118.61343199784181</v>
      </c>
      <c r="CR92">
        <f>AVERAGE(S_plus!CY$2:'S_plus'!CY92)</f>
        <v>109.55633722965604</v>
      </c>
      <c r="CS92">
        <f>AVERAGE(S_plus!CZ$2:'S_plus'!CZ92)</f>
        <v>107.4576519458813</v>
      </c>
      <c r="CT92">
        <f>AVERAGE(S_plus!DA$2:'S_plus'!DA92)</f>
        <v>115.42816156328567</v>
      </c>
      <c r="CU92">
        <f>AVERAGE(S_plus!DB$2:'S_plus'!DB92)</f>
        <v>84.829910402963719</v>
      </c>
      <c r="CV92">
        <f>AVERAGE(S_plus!DC$2:'S_plus'!DC92)</f>
        <v>103.34364827686487</v>
      </c>
      <c r="CW92">
        <f>AVERAGE(S_plus!DD$2:'S_plus'!DD92)</f>
        <v>94.803266477803305</v>
      </c>
      <c r="CX92">
        <f>AVERAGE(S_plus!DE$2:'S_plus'!DE92)</f>
        <v>103.74170751754615</v>
      </c>
      <c r="CY92">
        <f>AVERAGE(S_plus!DF$2:'S_plus'!DF92)</f>
        <v>86.744308852360433</v>
      </c>
      <c r="CZ92">
        <f>AVERAGE(S_plus!DG$2:'S_plus'!DG92)</f>
        <v>89.069981593696653</v>
      </c>
      <c r="DA92">
        <f>AVERAGE(S_plus!DH$2:'S_plus'!DH92)</f>
        <v>97.632241916668193</v>
      </c>
    </row>
    <row r="93" spans="5:105" x14ac:dyDescent="0.25">
      <c r="E93">
        <f>E92+Asian!dt</f>
        <v>0.91000000000000059</v>
      </c>
      <c r="F93">
        <f>AVERAGE(S_plus!M$2:'S_plus'!M93)</f>
        <v>88.91014676230327</v>
      </c>
      <c r="G93">
        <f>AVERAGE(S_plus!N$2:'S_plus'!N93)</f>
        <v>97.200059547972799</v>
      </c>
      <c r="H93">
        <f>AVERAGE(S_plus!O$2:'S_plus'!O93)</f>
        <v>105.86487497146632</v>
      </c>
      <c r="I93">
        <f>AVERAGE(S_plus!P$2:'S_plus'!P93)</f>
        <v>98.536175553332612</v>
      </c>
      <c r="J93">
        <f>AVERAGE(S_plus!Q$2:'S_plus'!Q93)</f>
        <v>80.672652996219568</v>
      </c>
      <c r="K93">
        <f>AVERAGE(S_plus!R$2:'S_plus'!R93)</f>
        <v>95.237974044561938</v>
      </c>
      <c r="L93">
        <f>AVERAGE(S_plus!S$2:'S_plus'!S93)</f>
        <v>110.61908746623149</v>
      </c>
      <c r="M93">
        <f>AVERAGE(S_plus!T$2:'S_plus'!T93)</f>
        <v>84.079917195192365</v>
      </c>
      <c r="N93">
        <f>AVERAGE(S_plus!U$2:'S_plus'!U93)</f>
        <v>112.61127610425001</v>
      </c>
      <c r="O93">
        <f>AVERAGE(S_plus!V$2:'S_plus'!V93)</f>
        <v>111.43323481295648</v>
      </c>
      <c r="P93">
        <f>AVERAGE(S_plus!W$2:'S_plus'!W93)</f>
        <v>105.00673881877502</v>
      </c>
      <c r="Q93">
        <f>AVERAGE(S_plus!X$2:'S_plus'!X93)</f>
        <v>117.62241297361959</v>
      </c>
      <c r="R93">
        <f>AVERAGE(S_plus!Y$2:'S_plus'!Y93)</f>
        <v>92.87590602005001</v>
      </c>
      <c r="S93">
        <f>AVERAGE(S_plus!Z$2:'S_plus'!Z93)</f>
        <v>106.35091466968258</v>
      </c>
      <c r="T93">
        <f>AVERAGE(S_plus!AA$2:'S_plus'!AA93)</f>
        <v>104.75209698039887</v>
      </c>
      <c r="U93">
        <f>AVERAGE(S_plus!AB$2:'S_plus'!AB93)</f>
        <v>101.83917941422824</v>
      </c>
      <c r="V93">
        <f>AVERAGE(S_plus!AC$2:'S_plus'!AC93)</f>
        <v>87.566494491317385</v>
      </c>
      <c r="W93">
        <f>AVERAGE(S_plus!AD$2:'S_plus'!AD93)</f>
        <v>97.644484131546761</v>
      </c>
      <c r="X93">
        <f>AVERAGE(S_plus!AE$2:'S_plus'!AE93)</f>
        <v>125.90482619399452</v>
      </c>
      <c r="Y93">
        <f>AVERAGE(S_plus!AF$2:'S_plus'!AF93)</f>
        <v>114.39979143058811</v>
      </c>
      <c r="Z93">
        <f>AVERAGE(S_plus!AG$2:'S_plus'!AG93)</f>
        <v>108.3641878056761</v>
      </c>
      <c r="AA93">
        <f>AVERAGE(S_plus!AH$2:'S_plus'!AH93)</f>
        <v>109.03726465155114</v>
      </c>
      <c r="AB93">
        <f>AVERAGE(S_plus!AI$2:'S_plus'!AI93)</f>
        <v>87.395349089548915</v>
      </c>
      <c r="AC93">
        <f>AVERAGE(S_plus!AJ$2:'S_plus'!AJ93)</f>
        <v>91.605734822697855</v>
      </c>
      <c r="AD93">
        <f>AVERAGE(S_plus!AK$2:'S_plus'!AK93)</f>
        <v>109.47451213056634</v>
      </c>
      <c r="AE93">
        <f>AVERAGE(S_plus!AL$2:'S_plus'!AL93)</f>
        <v>108.2290057294489</v>
      </c>
      <c r="AF93">
        <f>AVERAGE(S_plus!AM$2:'S_plus'!AM93)</f>
        <v>95.934543091426107</v>
      </c>
      <c r="AG93">
        <f>AVERAGE(S_plus!AN$2:'S_plus'!AN93)</f>
        <v>110.04250279333695</v>
      </c>
      <c r="AH93">
        <f>AVERAGE(S_plus!AO$2:'S_plus'!AO93)</f>
        <v>99.825671860982581</v>
      </c>
      <c r="AI93">
        <f>AVERAGE(S_plus!AP$2:'S_plus'!AP93)</f>
        <v>91.912718743089101</v>
      </c>
      <c r="AJ93">
        <f>AVERAGE(S_plus!AQ$2:'S_plus'!AQ93)</f>
        <v>107.77679023596305</v>
      </c>
      <c r="AK93">
        <f>AVERAGE(S_plus!AR$2:'S_plus'!AR93)</f>
        <v>100.15994067901849</v>
      </c>
      <c r="AL93">
        <f>AVERAGE(S_plus!AS$2:'S_plus'!AS93)</f>
        <v>120.90560689739461</v>
      </c>
      <c r="AM93">
        <f>AVERAGE(S_plus!AT$2:'S_plus'!AT93)</f>
        <v>93.207365642392418</v>
      </c>
      <c r="AN93">
        <f>AVERAGE(S_plus!AU$2:'S_plus'!AU93)</f>
        <v>105.45203861285219</v>
      </c>
      <c r="AO93">
        <f>AVERAGE(S_plus!AV$2:'S_plus'!AV93)</f>
        <v>111.03978893776518</v>
      </c>
      <c r="AP93">
        <f>AVERAGE(S_plus!AW$2:'S_plus'!AW93)</f>
        <v>115.04013649161955</v>
      </c>
      <c r="AQ93">
        <f>AVERAGE(S_plus!AX$2:'S_plus'!AX93)</f>
        <v>98.574090937473969</v>
      </c>
      <c r="AR93">
        <f>AVERAGE(S_plus!AY$2:'S_plus'!AY93)</f>
        <v>96.720847028855474</v>
      </c>
      <c r="AS93">
        <f>AVERAGE(S_plus!AZ$2:'S_plus'!AZ93)</f>
        <v>119.70745458074994</v>
      </c>
      <c r="AT93">
        <f>AVERAGE(S_plus!BA$2:'S_plus'!BA93)</f>
        <v>115.99394863640218</v>
      </c>
      <c r="AU93">
        <f>AVERAGE(S_plus!BB$2:'S_plus'!BB93)</f>
        <v>105.70509735303045</v>
      </c>
      <c r="AV93">
        <f>AVERAGE(S_plus!BC$2:'S_plus'!BC93)</f>
        <v>112.40707777088264</v>
      </c>
      <c r="AW93">
        <f>AVERAGE(S_plus!BD$2:'S_plus'!BD93)</f>
        <v>108.13814677012279</v>
      </c>
      <c r="AX93">
        <f>AVERAGE(S_plus!BE$2:'S_plus'!BE93)</f>
        <v>95.249250122647879</v>
      </c>
      <c r="AY93">
        <f>AVERAGE(S_plus!BF$2:'S_plus'!BF93)</f>
        <v>88.726695122403257</v>
      </c>
      <c r="AZ93">
        <f>AVERAGE(S_plus!BG$2:'S_plus'!BG93)</f>
        <v>92.598891636641284</v>
      </c>
      <c r="BA93">
        <f>AVERAGE(S_plus!BH$2:'S_plus'!BH93)</f>
        <v>103.94357827923371</v>
      </c>
      <c r="BB93">
        <f>AVERAGE(S_plus!BI$2:'S_plus'!BI93)</f>
        <v>106.56551820013804</v>
      </c>
      <c r="BC93">
        <f>AVERAGE(S_plus!BJ$2:'S_plus'!BJ93)</f>
        <v>107.6126609621826</v>
      </c>
      <c r="BD93">
        <f>AVERAGE(S_plus!BK$2:'S_plus'!BK93)</f>
        <v>99.147825773861967</v>
      </c>
      <c r="BE93">
        <f>AVERAGE(S_plus!BL$2:'S_plus'!BL93)</f>
        <v>86.792050509839115</v>
      </c>
      <c r="BF93">
        <f>AVERAGE(S_plus!BM$2:'S_plus'!BM93)</f>
        <v>104.31167118725652</v>
      </c>
      <c r="BG93">
        <f>AVERAGE(S_plus!BN$2:'S_plus'!BN93)</f>
        <v>105.9337802659098</v>
      </c>
      <c r="BH93">
        <f>AVERAGE(S_plus!BO$2:'S_plus'!BO93)</f>
        <v>86.981706845998957</v>
      </c>
      <c r="BI93">
        <f>AVERAGE(S_plus!BP$2:'S_plus'!BP93)</f>
        <v>85.955283230647865</v>
      </c>
      <c r="BJ93">
        <f>AVERAGE(S_plus!BQ$2:'S_plus'!BQ93)</f>
        <v>92.633032402130425</v>
      </c>
      <c r="BK93">
        <f>AVERAGE(S_plus!BR$2:'S_plus'!BR93)</f>
        <v>108.9888843698413</v>
      </c>
      <c r="BL93">
        <f>AVERAGE(S_plus!BS$2:'S_plus'!BS93)</f>
        <v>109.50604083864457</v>
      </c>
      <c r="BM93">
        <f>AVERAGE(S_plus!BT$2:'S_plus'!BT93)</f>
        <v>113.25711849215871</v>
      </c>
      <c r="BN93">
        <f>AVERAGE(S_plus!BU$2:'S_plus'!BU93)</f>
        <v>98.91941638189455</v>
      </c>
      <c r="BO93">
        <f>AVERAGE(S_plus!BV$2:'S_plus'!BV93)</f>
        <v>91.673732119135863</v>
      </c>
      <c r="BP93">
        <f>AVERAGE(S_plus!BW$2:'S_plus'!BW93)</f>
        <v>99.643039703634727</v>
      </c>
      <c r="BQ93">
        <f>AVERAGE(S_plus!BX$2:'S_plus'!BX93)</f>
        <v>80.362594078654325</v>
      </c>
      <c r="BR93">
        <f>AVERAGE(S_plus!BY$2:'S_plus'!BY93)</f>
        <v>97.017362383342416</v>
      </c>
      <c r="BS93">
        <f>AVERAGE(S_plus!BZ$2:'S_plus'!BZ93)</f>
        <v>108.74035071414346</v>
      </c>
      <c r="BT93">
        <f>AVERAGE(S_plus!CA$2:'S_plus'!CA93)</f>
        <v>94.78757258414241</v>
      </c>
      <c r="BU93">
        <f>AVERAGE(S_plus!CB$2:'S_plus'!CB93)</f>
        <v>99.436571671220662</v>
      </c>
      <c r="BV93">
        <f>AVERAGE(S_plus!CC$2:'S_plus'!CC93)</f>
        <v>86.164692811023883</v>
      </c>
      <c r="BW93">
        <f>AVERAGE(S_plus!CD$2:'S_plus'!CD93)</f>
        <v>99.831966396682617</v>
      </c>
      <c r="BX93">
        <f>AVERAGE(S_plus!CE$2:'S_plus'!CE93)</f>
        <v>92.995944676085855</v>
      </c>
      <c r="BY93">
        <f>AVERAGE(S_plus!CF$2:'S_plus'!CF93)</f>
        <v>86.631084293558686</v>
      </c>
      <c r="BZ93">
        <f>AVERAGE(S_plus!CG$2:'S_plus'!CG93)</f>
        <v>97.081798268752166</v>
      </c>
      <c r="CA93">
        <f>AVERAGE(S_plus!CH$2:'S_plus'!CH93)</f>
        <v>117.84872809331519</v>
      </c>
      <c r="CB93">
        <f>AVERAGE(S_plus!CI$2:'S_plus'!CI93)</f>
        <v>96.073192910252232</v>
      </c>
      <c r="CC93">
        <f>AVERAGE(S_plus!CJ$2:'S_plus'!CJ93)</f>
        <v>100.87308743555437</v>
      </c>
      <c r="CD93">
        <f>AVERAGE(S_plus!CK$2:'S_plus'!CK93)</f>
        <v>93.93850609835323</v>
      </c>
      <c r="CE93">
        <f>AVERAGE(S_plus!CL$2:'S_plus'!CL93)</f>
        <v>87.081813917008716</v>
      </c>
      <c r="CF93">
        <f>AVERAGE(S_plus!CM$2:'S_plus'!CM93)</f>
        <v>93.840529950956565</v>
      </c>
      <c r="CG93">
        <f>AVERAGE(S_plus!CN$2:'S_plus'!CN93)</f>
        <v>99.320174474439114</v>
      </c>
      <c r="CH93">
        <f>AVERAGE(S_plus!CO$2:'S_plus'!CO93)</f>
        <v>129.44001819308693</v>
      </c>
      <c r="CI93">
        <f>AVERAGE(S_plus!CP$2:'S_plus'!CP93)</f>
        <v>92.323973034236957</v>
      </c>
      <c r="CJ93">
        <f>AVERAGE(S_plus!CQ$2:'S_plus'!CQ93)</f>
        <v>97.62666877489022</v>
      </c>
      <c r="CK93">
        <f>AVERAGE(S_plus!CR$2:'S_plus'!CR93)</f>
        <v>101.37760909754127</v>
      </c>
      <c r="CL93">
        <f>AVERAGE(S_plus!CS$2:'S_plus'!CS93)</f>
        <v>101.74336608637176</v>
      </c>
      <c r="CM93">
        <f>AVERAGE(S_plus!CT$2:'S_plus'!CT93)</f>
        <v>116.02279138759347</v>
      </c>
      <c r="CN93">
        <f>AVERAGE(S_plus!CU$2:'S_plus'!CU93)</f>
        <v>105.72603367836628</v>
      </c>
      <c r="CO93">
        <f>AVERAGE(S_plus!CV$2:'S_plus'!CV93)</f>
        <v>90.441491683891286</v>
      </c>
      <c r="CP93">
        <f>AVERAGE(S_plus!CW$2:'S_plus'!CW93)</f>
        <v>107.69602449069671</v>
      </c>
      <c r="CQ93">
        <f>AVERAGE(S_plus!CX$2:'S_plus'!CX93)</f>
        <v>118.63635138258267</v>
      </c>
      <c r="CR93">
        <f>AVERAGE(S_plus!CY$2:'S_plus'!CY93)</f>
        <v>109.67545630975761</v>
      </c>
      <c r="CS93">
        <f>AVERAGE(S_plus!CZ$2:'S_plus'!CZ93)</f>
        <v>107.56994745781736</v>
      </c>
      <c r="CT93">
        <f>AVERAGE(S_plus!DA$2:'S_plus'!DA93)</f>
        <v>115.30000835020647</v>
      </c>
      <c r="CU93">
        <f>AVERAGE(S_plus!DB$2:'S_plus'!DB93)</f>
        <v>84.771651577203244</v>
      </c>
      <c r="CV93">
        <f>AVERAGE(S_plus!DC$2:'S_plus'!DC93)</f>
        <v>103.41586310138807</v>
      </c>
      <c r="CW93">
        <f>AVERAGE(S_plus!DD$2:'S_plus'!DD93)</f>
        <v>94.957382608783703</v>
      </c>
      <c r="CX93">
        <f>AVERAGE(S_plus!DE$2:'S_plus'!DE93)</f>
        <v>103.6825052045815</v>
      </c>
      <c r="CY93">
        <f>AVERAGE(S_plus!DF$2:'S_plus'!DF93)</f>
        <v>86.689355259095649</v>
      </c>
      <c r="CZ93">
        <f>AVERAGE(S_plus!DG$2:'S_plus'!DG93)</f>
        <v>89.005739812095612</v>
      </c>
      <c r="DA93">
        <f>AVERAGE(S_plus!DH$2:'S_plus'!DH93)</f>
        <v>97.469401199896808</v>
      </c>
    </row>
    <row r="94" spans="5:105" x14ac:dyDescent="0.25">
      <c r="E94">
        <f>E93+Asian!dt</f>
        <v>0.9200000000000006</v>
      </c>
      <c r="F94">
        <f>AVERAGE(S_plus!M$2:'S_plus'!M94)</f>
        <v>88.762637229846234</v>
      </c>
      <c r="G94">
        <f>AVERAGE(S_plus!N$2:'S_plus'!N94)</f>
        <v>97.226341827095652</v>
      </c>
      <c r="H94">
        <f>AVERAGE(S_plus!O$2:'S_plus'!O94)</f>
        <v>105.88233849292368</v>
      </c>
      <c r="I94">
        <f>AVERAGE(S_plus!P$2:'S_plus'!P94)</f>
        <v>98.456425098851611</v>
      </c>
      <c r="J94">
        <f>AVERAGE(S_plus!Q$2:'S_plus'!Q94)</f>
        <v>80.547073974020435</v>
      </c>
      <c r="K94">
        <f>AVERAGE(S_plus!R$2:'S_plus'!R94)</f>
        <v>95.239426989174177</v>
      </c>
      <c r="L94">
        <f>AVERAGE(S_plus!S$2:'S_plus'!S94)</f>
        <v>110.48461510637202</v>
      </c>
      <c r="M94">
        <f>AVERAGE(S_plus!T$2:'S_plus'!T94)</f>
        <v>84.171827602675236</v>
      </c>
      <c r="N94">
        <f>AVERAGE(S_plus!U$2:'S_plus'!U94)</f>
        <v>112.65827165480646</v>
      </c>
      <c r="O94">
        <f>AVERAGE(S_plus!V$2:'S_plus'!V94)</f>
        <v>111.72940362330104</v>
      </c>
      <c r="P94">
        <f>AVERAGE(S_plus!W$2:'S_plus'!W94)</f>
        <v>105.02005384602475</v>
      </c>
      <c r="Q94">
        <f>AVERAGE(S_plus!X$2:'S_plus'!X94)</f>
        <v>117.79263358001077</v>
      </c>
      <c r="R94">
        <f>AVERAGE(S_plus!Y$2:'S_plus'!Y94)</f>
        <v>92.828666035670963</v>
      </c>
      <c r="S94">
        <f>AVERAGE(S_plus!Z$2:'S_plus'!Z94)</f>
        <v>106.2667938962903</v>
      </c>
      <c r="T94">
        <f>AVERAGE(S_plus!AA$2:'S_plus'!AA94)</f>
        <v>104.7196790952333</v>
      </c>
      <c r="U94">
        <f>AVERAGE(S_plus!AB$2:'S_plus'!AB94)</f>
        <v>101.84521441008599</v>
      </c>
      <c r="V94">
        <f>AVERAGE(S_plus!AC$2:'S_plus'!AC94)</f>
        <v>87.582864103487097</v>
      </c>
      <c r="W94">
        <f>AVERAGE(S_plus!AD$2:'S_plus'!AD94)</f>
        <v>97.603906982482812</v>
      </c>
      <c r="X94">
        <f>AVERAGE(S_plus!AE$2:'S_plus'!AE94)</f>
        <v>125.91759318767201</v>
      </c>
      <c r="Y94">
        <f>AVERAGE(S_plus!AF$2:'S_plus'!AF94)</f>
        <v>114.58020362511941</v>
      </c>
      <c r="Z94">
        <f>AVERAGE(S_plus!AG$2:'S_plus'!AG94)</f>
        <v>108.54091027820645</v>
      </c>
      <c r="AA94">
        <f>AVERAGE(S_plus!AH$2:'S_plus'!AH94)</f>
        <v>109.20769179844844</v>
      </c>
      <c r="AB94">
        <f>AVERAGE(S_plus!AI$2:'S_plus'!AI94)</f>
        <v>87.300714255661291</v>
      </c>
      <c r="AC94">
        <f>AVERAGE(S_plus!AJ$2:'S_plus'!AJ94)</f>
        <v>91.610298330048423</v>
      </c>
      <c r="AD94">
        <f>AVERAGE(S_plus!AK$2:'S_plus'!AK94)</f>
        <v>109.22547058488605</v>
      </c>
      <c r="AE94">
        <f>AVERAGE(S_plus!AL$2:'S_plus'!AL94)</f>
        <v>108.29991175983118</v>
      </c>
      <c r="AF94">
        <f>AVERAGE(S_plus!AM$2:'S_plus'!AM94)</f>
        <v>96.015450750926902</v>
      </c>
      <c r="AG94">
        <f>AVERAGE(S_plus!AN$2:'S_plus'!AN94)</f>
        <v>109.89337828311827</v>
      </c>
      <c r="AH94">
        <f>AVERAGE(S_plus!AO$2:'S_plus'!AO94)</f>
        <v>99.964003654972018</v>
      </c>
      <c r="AI94">
        <f>AVERAGE(S_plus!AP$2:'S_plus'!AP94)</f>
        <v>91.960245099842979</v>
      </c>
      <c r="AJ94">
        <f>AVERAGE(S_plus!AQ$2:'S_plus'!AQ94)</f>
        <v>107.84744222155484</v>
      </c>
      <c r="AK94">
        <f>AVERAGE(S_plus!AR$2:'S_plus'!AR94)</f>
        <v>100.11505373030755</v>
      </c>
      <c r="AL94">
        <f>AVERAGE(S_plus!AS$2:'S_plus'!AS94)</f>
        <v>120.89672780418607</v>
      </c>
      <c r="AM94">
        <f>AVERAGE(S_plus!AT$2:'S_plus'!AT94)</f>
        <v>93.321298264807552</v>
      </c>
      <c r="AN94">
        <f>AVERAGE(S_plus!AU$2:'S_plus'!AU94)</f>
        <v>105.76844750766023</v>
      </c>
      <c r="AO94">
        <f>AVERAGE(S_plus!AV$2:'S_plus'!AV94)</f>
        <v>111.20861432287523</v>
      </c>
      <c r="AP94">
        <f>AVERAGE(S_plus!AW$2:'S_plus'!AW94)</f>
        <v>115.03668445815052</v>
      </c>
      <c r="AQ94">
        <f>AVERAGE(S_plus!AX$2:'S_plus'!AX94)</f>
        <v>98.471453346866724</v>
      </c>
      <c r="AR94">
        <f>AVERAGE(S_plus!AY$2:'S_plus'!AY94)</f>
        <v>96.600598812580685</v>
      </c>
      <c r="AS94">
        <f>AVERAGE(S_plus!AZ$2:'S_plus'!AZ94)</f>
        <v>119.89633037262361</v>
      </c>
      <c r="AT94">
        <f>AVERAGE(S_plus!BA$2:'S_plus'!BA94)</f>
        <v>116.07651978487098</v>
      </c>
      <c r="AU94">
        <f>AVERAGE(S_plus!BB$2:'S_plus'!BB94)</f>
        <v>105.70823903865379</v>
      </c>
      <c r="AV94">
        <f>AVERAGE(S_plus!BC$2:'S_plus'!BC94)</f>
        <v>112.45221637385164</v>
      </c>
      <c r="AW94">
        <f>AVERAGE(S_plus!BD$2:'S_plus'!BD94)</f>
        <v>108.30690198071285</v>
      </c>
      <c r="AX94">
        <f>AVERAGE(S_plus!BE$2:'S_plus'!BE94)</f>
        <v>95.244225046501128</v>
      </c>
      <c r="AY94">
        <f>AVERAGE(S_plus!BF$2:'S_plus'!BF94)</f>
        <v>88.663499776492486</v>
      </c>
      <c r="AZ94">
        <f>AVERAGE(S_plus!BG$2:'S_plus'!BG94)</f>
        <v>92.465888294933308</v>
      </c>
      <c r="BA94">
        <f>AVERAGE(S_plus!BH$2:'S_plus'!BH94)</f>
        <v>104.07729696041399</v>
      </c>
      <c r="BB94">
        <f>AVERAGE(S_plus!BI$2:'S_plus'!BI94)</f>
        <v>106.57304963813657</v>
      </c>
      <c r="BC94">
        <f>AVERAGE(S_plus!BJ$2:'S_plus'!BJ94)</f>
        <v>107.60153493072902</v>
      </c>
      <c r="BD94">
        <f>AVERAGE(S_plus!BK$2:'S_plus'!BK94)</f>
        <v>99.234400233669902</v>
      </c>
      <c r="BE94">
        <f>AVERAGE(S_plus!BL$2:'S_plus'!BL94)</f>
        <v>86.691139371181706</v>
      </c>
      <c r="BF94">
        <f>AVERAGE(S_plus!BM$2:'S_plus'!BM94)</f>
        <v>104.47857596571613</v>
      </c>
      <c r="BG94">
        <f>AVERAGE(S_plus!BN$2:'S_plus'!BN94)</f>
        <v>106.05501532901829</v>
      </c>
      <c r="BH94">
        <f>AVERAGE(S_plus!BO$2:'S_plus'!BO94)</f>
        <v>87.009219861409719</v>
      </c>
      <c r="BI94">
        <f>AVERAGE(S_plus!BP$2:'S_plus'!BP94)</f>
        <v>85.855547563955952</v>
      </c>
      <c r="BJ94">
        <f>AVERAGE(S_plus!BQ$2:'S_plus'!BQ94)</f>
        <v>92.678908299306428</v>
      </c>
      <c r="BK94">
        <f>AVERAGE(S_plus!BR$2:'S_plus'!BR94)</f>
        <v>109.06957782570322</v>
      </c>
      <c r="BL94">
        <f>AVERAGE(S_plus!BS$2:'S_plus'!BS94)</f>
        <v>109.68194901870214</v>
      </c>
      <c r="BM94">
        <f>AVERAGE(S_plus!BT$2:'S_plus'!BT94)</f>
        <v>113.47711208124304</v>
      </c>
      <c r="BN94">
        <f>AVERAGE(S_plus!BU$2:'S_plus'!BU94)</f>
        <v>98.764241636719348</v>
      </c>
      <c r="BO94">
        <f>AVERAGE(S_plus!BV$2:'S_plus'!BV94)</f>
        <v>91.854196892166655</v>
      </c>
      <c r="BP94">
        <f>AVERAGE(S_plus!BW$2:'S_plus'!BW94)</f>
        <v>99.951565121681668</v>
      </c>
      <c r="BQ94">
        <f>AVERAGE(S_plus!BX$2:'S_plus'!BX94)</f>
        <v>80.267701546894614</v>
      </c>
      <c r="BR94">
        <f>AVERAGE(S_plus!BY$2:'S_plus'!BY94)</f>
        <v>96.819687653034435</v>
      </c>
      <c r="BS94">
        <f>AVERAGE(S_plus!BZ$2:'S_plus'!BZ94)</f>
        <v>109.07676520738923</v>
      </c>
      <c r="BT94">
        <f>AVERAGE(S_plus!CA$2:'S_plus'!CA94)</f>
        <v>94.701549633023689</v>
      </c>
      <c r="BU94">
        <f>AVERAGE(S_plus!CB$2:'S_plus'!CB94)</f>
        <v>99.304666770544088</v>
      </c>
      <c r="BV94">
        <f>AVERAGE(S_plus!CC$2:'S_plus'!CC94)</f>
        <v>86.04247661531825</v>
      </c>
      <c r="BW94">
        <f>AVERAGE(S_plus!CD$2:'S_plus'!CD94)</f>
        <v>99.893879460492471</v>
      </c>
      <c r="BX94">
        <f>AVERAGE(S_plus!CE$2:'S_plus'!CE94)</f>
        <v>92.838669586362343</v>
      </c>
      <c r="BY94">
        <f>AVERAGE(S_plus!CF$2:'S_plus'!CF94)</f>
        <v>86.53637352056451</v>
      </c>
      <c r="BZ94">
        <f>AVERAGE(S_plus!CG$2:'S_plus'!CG94)</f>
        <v>97.180575796787096</v>
      </c>
      <c r="CA94">
        <f>AVERAGE(S_plus!CH$2:'S_plus'!CH94)</f>
        <v>117.84449019179566</v>
      </c>
      <c r="CB94">
        <f>AVERAGE(S_plus!CI$2:'S_plus'!CI94)</f>
        <v>95.970898137361345</v>
      </c>
      <c r="CC94">
        <f>AVERAGE(S_plus!CJ$2:'S_plus'!CJ94)</f>
        <v>100.7852175119226</v>
      </c>
      <c r="CD94">
        <f>AVERAGE(S_plus!CK$2:'S_plus'!CK94)</f>
        <v>93.908413985158035</v>
      </c>
      <c r="CE94">
        <f>AVERAGE(S_plus!CL$2:'S_plus'!CL94)</f>
        <v>87.073789300550573</v>
      </c>
      <c r="CF94">
        <f>AVERAGE(S_plus!CM$2:'S_plus'!CM94)</f>
        <v>93.791523285688214</v>
      </c>
      <c r="CG94">
        <f>AVERAGE(S_plus!CN$2:'S_plus'!CN94)</f>
        <v>99.399235576778466</v>
      </c>
      <c r="CH94">
        <f>AVERAGE(S_plus!CO$2:'S_plus'!CO94)</f>
        <v>129.62669117255911</v>
      </c>
      <c r="CI94">
        <f>AVERAGE(S_plus!CP$2:'S_plus'!CP94)</f>
        <v>92.26043420150215</v>
      </c>
      <c r="CJ94">
        <f>AVERAGE(S_plus!CQ$2:'S_plus'!CQ94)</f>
        <v>97.511482679263437</v>
      </c>
      <c r="CK94">
        <f>AVERAGE(S_plus!CR$2:'S_plus'!CR94)</f>
        <v>101.35387992111396</v>
      </c>
      <c r="CL94">
        <f>AVERAGE(S_plus!CS$2:'S_plus'!CS94)</f>
        <v>101.65649694088174</v>
      </c>
      <c r="CM94">
        <f>AVERAGE(S_plus!CT$2:'S_plus'!CT94)</f>
        <v>116.12798858846881</v>
      </c>
      <c r="CN94">
        <f>AVERAGE(S_plus!CU$2:'S_plus'!CU94)</f>
        <v>105.8610909848462</v>
      </c>
      <c r="CO94">
        <f>AVERAGE(S_plus!CV$2:'S_plus'!CV94)</f>
        <v>90.354224067780621</v>
      </c>
      <c r="CP94">
        <f>AVERAGE(S_plus!CW$2:'S_plus'!CW94)</f>
        <v>107.62902316519461</v>
      </c>
      <c r="CQ94">
        <f>AVERAGE(S_plus!CX$2:'S_plus'!CX94)</f>
        <v>118.61670008074844</v>
      </c>
      <c r="CR94">
        <f>AVERAGE(S_plus!CY$2:'S_plus'!CY94)</f>
        <v>109.76639817184623</v>
      </c>
      <c r="CS94">
        <f>AVERAGE(S_plus!CZ$2:'S_plus'!CZ94)</f>
        <v>107.70299699476557</v>
      </c>
      <c r="CT94">
        <f>AVERAGE(S_plus!DA$2:'S_plus'!DA94)</f>
        <v>115.17282481353759</v>
      </c>
      <c r="CU94">
        <f>AVERAGE(S_plus!DB$2:'S_plus'!DB94)</f>
        <v>84.716690066498913</v>
      </c>
      <c r="CV94">
        <f>AVERAGE(S_plus!DC$2:'S_plus'!DC94)</f>
        <v>103.45347120401831</v>
      </c>
      <c r="CW94">
        <f>AVERAGE(S_plus!DD$2:'S_plus'!DD94)</f>
        <v>95.070843039259131</v>
      </c>
      <c r="CX94">
        <f>AVERAGE(S_plus!DE$2:'S_plus'!DE94)</f>
        <v>103.62710923723868</v>
      </c>
      <c r="CY94">
        <f>AVERAGE(S_plus!DF$2:'S_plus'!DF94)</f>
        <v>86.614973967583865</v>
      </c>
      <c r="CZ94">
        <f>AVERAGE(S_plus!DG$2:'S_plus'!DG94)</f>
        <v>88.94118933997737</v>
      </c>
      <c r="DA94">
        <f>AVERAGE(S_plus!DH$2:'S_plus'!DH94)</f>
        <v>97.286733112274263</v>
      </c>
    </row>
    <row r="95" spans="5:105" x14ac:dyDescent="0.25">
      <c r="E95">
        <f>E94+Asian!dt</f>
        <v>0.9300000000000006</v>
      </c>
      <c r="F95">
        <f>AVERAGE(S_plus!M$2:'S_plus'!M95)</f>
        <v>88.615228039887228</v>
      </c>
      <c r="G95">
        <f>AVERAGE(S_plus!N$2:'S_plus'!N95)</f>
        <v>97.280615760243577</v>
      </c>
      <c r="H95">
        <f>AVERAGE(S_plus!O$2:'S_plus'!O95)</f>
        <v>105.87835690288193</v>
      </c>
      <c r="I95">
        <f>AVERAGE(S_plus!P$2:'S_plus'!P95)</f>
        <v>98.370748420472339</v>
      </c>
      <c r="J95">
        <f>AVERAGE(S_plus!Q$2:'S_plus'!Q95)</f>
        <v>80.407313484844693</v>
      </c>
      <c r="K95">
        <f>AVERAGE(S_plus!R$2:'S_plus'!R95)</f>
        <v>95.260530815726582</v>
      </c>
      <c r="L95">
        <f>AVERAGE(S_plus!S$2:'S_plus'!S95)</f>
        <v>110.33631507416592</v>
      </c>
      <c r="M95">
        <f>AVERAGE(S_plus!T$2:'S_plus'!T95)</f>
        <v>84.263069841749967</v>
      </c>
      <c r="N95">
        <f>AVERAGE(S_plus!U$2:'S_plus'!U95)</f>
        <v>112.68541922136173</v>
      </c>
      <c r="O95">
        <f>AVERAGE(S_plus!V$2:'S_plus'!V95)</f>
        <v>111.98191413261698</v>
      </c>
      <c r="P95">
        <f>AVERAGE(S_plus!W$2:'S_plus'!W95)</f>
        <v>105.02744205217343</v>
      </c>
      <c r="Q95">
        <f>AVERAGE(S_plus!X$2:'S_plus'!X95)</f>
        <v>117.93019910303194</v>
      </c>
      <c r="R95">
        <f>AVERAGE(S_plus!Y$2:'S_plus'!Y95)</f>
        <v>92.784207476717015</v>
      </c>
      <c r="S95">
        <f>AVERAGE(S_plus!Z$2:'S_plus'!Z95)</f>
        <v>106.18847783822656</v>
      </c>
      <c r="T95">
        <f>AVERAGE(S_plus!AA$2:'S_plus'!AA95)</f>
        <v>104.65764535825635</v>
      </c>
      <c r="U95">
        <f>AVERAGE(S_plus!AB$2:'S_plus'!AB95)</f>
        <v>101.85881389179784</v>
      </c>
      <c r="V95">
        <f>AVERAGE(S_plus!AC$2:'S_plus'!AC95)</f>
        <v>87.624655954535115</v>
      </c>
      <c r="W95">
        <f>AVERAGE(S_plus!AD$2:'S_plus'!AD95)</f>
        <v>97.569446567032983</v>
      </c>
      <c r="X95">
        <f>AVERAGE(S_plus!AE$2:'S_plus'!AE95)</f>
        <v>125.92703322514359</v>
      </c>
      <c r="Y95">
        <f>AVERAGE(S_plus!AF$2:'S_plus'!AF95)</f>
        <v>114.73447897959687</v>
      </c>
      <c r="Z95">
        <f>AVERAGE(S_plus!AG$2:'S_plus'!AG95)</f>
        <v>108.7137067049064</v>
      </c>
      <c r="AA95">
        <f>AVERAGE(S_plus!AH$2:'S_plus'!AH95)</f>
        <v>109.31328288744366</v>
      </c>
      <c r="AB95">
        <f>AVERAGE(S_plus!AI$2:'S_plus'!AI95)</f>
        <v>87.226613616929797</v>
      </c>
      <c r="AC95">
        <f>AVERAGE(S_plus!AJ$2:'S_plus'!AJ95)</f>
        <v>91.611150971378763</v>
      </c>
      <c r="AD95">
        <f>AVERAGE(S_plus!AK$2:'S_plus'!AK95)</f>
        <v>108.98934538392345</v>
      </c>
      <c r="AE95">
        <f>AVERAGE(S_plus!AL$2:'S_plus'!AL95)</f>
        <v>108.39197329766277</v>
      </c>
      <c r="AF95">
        <f>AVERAGE(S_plus!AM$2:'S_plus'!AM95)</f>
        <v>96.085120701427684</v>
      </c>
      <c r="AG95">
        <f>AVERAGE(S_plus!AN$2:'S_plus'!AN95)</f>
        <v>109.72960464510743</v>
      </c>
      <c r="AH95">
        <f>AVERAGE(S_plus!AO$2:'S_plus'!AO95)</f>
        <v>100.1254814364404</v>
      </c>
      <c r="AI95">
        <f>AVERAGE(S_plus!AP$2:'S_plus'!AP95)</f>
        <v>91.985488519788262</v>
      </c>
      <c r="AJ95">
        <f>AVERAGE(S_plus!AQ$2:'S_plus'!AQ95)</f>
        <v>107.89332825678298</v>
      </c>
      <c r="AK95">
        <f>AVERAGE(S_plus!AR$2:'S_plus'!AR95)</f>
        <v>100.08936450378619</v>
      </c>
      <c r="AL95">
        <f>AVERAGE(S_plus!AS$2:'S_plus'!AS95)</f>
        <v>120.87897919641813</v>
      </c>
      <c r="AM95">
        <f>AVERAGE(S_plus!AT$2:'S_plus'!AT95)</f>
        <v>93.422269160639388</v>
      </c>
      <c r="AN95">
        <f>AVERAGE(S_plus!AU$2:'S_plus'!AU95)</f>
        <v>106.08019709736597</v>
      </c>
      <c r="AO95">
        <f>AVERAGE(S_plus!AV$2:'S_plus'!AV95)</f>
        <v>111.33530919520635</v>
      </c>
      <c r="AP95">
        <f>AVERAGE(S_plus!AW$2:'S_plus'!AW95)</f>
        <v>115.03387190302126</v>
      </c>
      <c r="AQ95">
        <f>AVERAGE(S_plus!AX$2:'S_plus'!AX95)</f>
        <v>98.379821496895801</v>
      </c>
      <c r="AR95">
        <f>AVERAGE(S_plus!AY$2:'S_plus'!AY95)</f>
        <v>96.499819943180881</v>
      </c>
      <c r="AS95">
        <f>AVERAGE(S_plus!AZ$2:'S_plus'!AZ95)</f>
        <v>120.05288143530848</v>
      </c>
      <c r="AT95">
        <f>AVERAGE(S_plus!BA$2:'S_plus'!BA95)</f>
        <v>116.15671905447873</v>
      </c>
      <c r="AU95">
        <f>AVERAGE(S_plus!BB$2:'S_plus'!BB95)</f>
        <v>105.73695590734896</v>
      </c>
      <c r="AV95">
        <f>AVERAGE(S_plus!BC$2:'S_plus'!BC95)</f>
        <v>112.45665273792768</v>
      </c>
      <c r="AW95">
        <f>AVERAGE(S_plus!BD$2:'S_plus'!BD95)</f>
        <v>108.45896443401378</v>
      </c>
      <c r="AX95">
        <f>AVERAGE(S_plus!BE$2:'S_plus'!BE95)</f>
        <v>95.206727323136235</v>
      </c>
      <c r="AY95">
        <f>AVERAGE(S_plus!BF$2:'S_plus'!BF95)</f>
        <v>88.594823181371297</v>
      </c>
      <c r="AZ95">
        <f>AVERAGE(S_plus!BG$2:'S_plus'!BG95)</f>
        <v>92.319658453097858</v>
      </c>
      <c r="BA95">
        <f>AVERAGE(S_plus!BH$2:'S_plus'!BH95)</f>
        <v>104.18141016965427</v>
      </c>
      <c r="BB95">
        <f>AVERAGE(S_plus!BI$2:'S_plus'!BI95)</f>
        <v>106.55874621593298</v>
      </c>
      <c r="BC95">
        <f>AVERAGE(S_plus!BJ$2:'S_plus'!BJ95)</f>
        <v>107.56656601316807</v>
      </c>
      <c r="BD95">
        <f>AVERAGE(S_plus!BK$2:'S_plus'!BK95)</f>
        <v>99.351885666152143</v>
      </c>
      <c r="BE95">
        <f>AVERAGE(S_plus!BL$2:'S_plus'!BL95)</f>
        <v>86.592283344413815</v>
      </c>
      <c r="BF95">
        <f>AVERAGE(S_plus!BM$2:'S_plus'!BM95)</f>
        <v>104.60776264954893</v>
      </c>
      <c r="BG95">
        <f>AVERAGE(S_plus!BN$2:'S_plus'!BN95)</f>
        <v>106.17225195027341</v>
      </c>
      <c r="BH95">
        <f>AVERAGE(S_plus!BO$2:'S_plus'!BO95)</f>
        <v>87.052456871188326</v>
      </c>
      <c r="BI95">
        <f>AVERAGE(S_plus!BP$2:'S_plus'!BP95)</f>
        <v>85.768783816604298</v>
      </c>
      <c r="BJ95">
        <f>AVERAGE(S_plus!BQ$2:'S_plus'!BQ95)</f>
        <v>92.720347572825517</v>
      </c>
      <c r="BK95">
        <f>AVERAGE(S_plus!BR$2:'S_plus'!BR95)</f>
        <v>109.16288826684467</v>
      </c>
      <c r="BL95">
        <f>AVERAGE(S_plus!BS$2:'S_plus'!BS95)</f>
        <v>109.86529060635425</v>
      </c>
      <c r="BM95">
        <f>AVERAGE(S_plus!BT$2:'S_plus'!BT95)</f>
        <v>113.67664066545321</v>
      </c>
      <c r="BN95">
        <f>AVERAGE(S_plus!BU$2:'S_plus'!BU95)</f>
        <v>98.644466854781911</v>
      </c>
      <c r="BO95">
        <f>AVERAGE(S_plus!BV$2:'S_plus'!BV95)</f>
        <v>92.043618576867004</v>
      </c>
      <c r="BP95">
        <f>AVERAGE(S_plus!BW$2:'S_plus'!BW95)</f>
        <v>100.20273728214251</v>
      </c>
      <c r="BQ95">
        <f>AVERAGE(S_plus!BX$2:'S_plus'!BX95)</f>
        <v>80.187202991291471</v>
      </c>
      <c r="BR95">
        <f>AVERAGE(S_plus!BY$2:'S_plus'!BY95)</f>
        <v>96.628198086744717</v>
      </c>
      <c r="BS95">
        <f>AVERAGE(S_plus!BZ$2:'S_plus'!BZ95)</f>
        <v>109.45373718376806</v>
      </c>
      <c r="BT95">
        <f>AVERAGE(S_plus!CA$2:'S_plus'!CA95)</f>
        <v>94.624884143160671</v>
      </c>
      <c r="BU95">
        <f>AVERAGE(S_plus!CB$2:'S_plus'!CB95)</f>
        <v>99.158103129530858</v>
      </c>
      <c r="BV95">
        <f>AVERAGE(S_plus!CC$2:'S_plus'!CC95)</f>
        <v>85.918844690922299</v>
      </c>
      <c r="BW95">
        <f>AVERAGE(S_plus!CD$2:'S_plus'!CD95)</f>
        <v>99.993320652242545</v>
      </c>
      <c r="BX95">
        <f>AVERAGE(S_plus!CE$2:'S_plus'!CE95)</f>
        <v>92.683059561524445</v>
      </c>
      <c r="BY95">
        <f>AVERAGE(S_plus!CF$2:'S_plus'!CF95)</f>
        <v>86.431856235372337</v>
      </c>
      <c r="BZ95">
        <f>AVERAGE(S_plus!CG$2:'S_plus'!CG95)</f>
        <v>97.287763369097874</v>
      </c>
      <c r="CA95">
        <f>AVERAGE(S_plus!CH$2:'S_plus'!CH95)</f>
        <v>117.83560344963826</v>
      </c>
      <c r="CB95">
        <f>AVERAGE(S_plus!CI$2:'S_plus'!CI95)</f>
        <v>95.853274409734098</v>
      </c>
      <c r="CC95">
        <f>AVERAGE(S_plus!CJ$2:'S_plus'!CJ95)</f>
        <v>100.69430130088831</v>
      </c>
      <c r="CD95">
        <f>AVERAGE(S_plus!CK$2:'S_plus'!CK95)</f>
        <v>93.88892865904252</v>
      </c>
      <c r="CE95">
        <f>AVERAGE(S_plus!CL$2:'S_plus'!CL95)</f>
        <v>87.031636872847898</v>
      </c>
      <c r="CF95">
        <f>AVERAGE(S_plus!CM$2:'S_plus'!CM95)</f>
        <v>93.744856290941527</v>
      </c>
      <c r="CG95">
        <f>AVERAGE(S_plus!CN$2:'S_plus'!CN95)</f>
        <v>99.436126597376571</v>
      </c>
      <c r="CH95">
        <f>AVERAGE(S_plus!CO$2:'S_plus'!CO95)</f>
        <v>129.80911223209571</v>
      </c>
      <c r="CI95">
        <f>AVERAGE(S_plus!CP$2:'S_plus'!CP95)</f>
        <v>92.172995919962773</v>
      </c>
      <c r="CJ95">
        <f>AVERAGE(S_plus!CQ$2:'S_plus'!CQ95)</f>
        <v>97.428827865431913</v>
      </c>
      <c r="CK95">
        <f>AVERAGE(S_plus!CR$2:'S_plus'!CR95)</f>
        <v>101.35019644112339</v>
      </c>
      <c r="CL95">
        <f>AVERAGE(S_plus!CS$2:'S_plus'!CS95)</f>
        <v>101.58588486634895</v>
      </c>
      <c r="CM95">
        <f>AVERAGE(S_plus!CT$2:'S_plus'!CT95)</f>
        <v>116.21828970769785</v>
      </c>
      <c r="CN95">
        <f>AVERAGE(S_plus!CU$2:'S_plus'!CU95)</f>
        <v>106.01887950890104</v>
      </c>
      <c r="CO95">
        <f>AVERAGE(S_plus!CV$2:'S_plus'!CV95)</f>
        <v>90.234747194074444</v>
      </c>
      <c r="CP95">
        <f>AVERAGE(S_plus!CW$2:'S_plus'!CW95)</f>
        <v>107.5995882676819</v>
      </c>
      <c r="CQ95">
        <f>AVERAGE(S_plus!CX$2:'S_plus'!CX95)</f>
        <v>118.59669563516601</v>
      </c>
      <c r="CR95">
        <f>AVERAGE(S_plus!CY$2:'S_plus'!CY95)</f>
        <v>109.80569841342233</v>
      </c>
      <c r="CS95">
        <f>AVERAGE(S_plus!CZ$2:'S_plus'!CZ95)</f>
        <v>107.83504073262976</v>
      </c>
      <c r="CT95">
        <f>AVERAGE(S_plus!DA$2:'S_plus'!DA95)</f>
        <v>115.02058995844676</v>
      </c>
      <c r="CU95">
        <f>AVERAGE(S_plus!DB$2:'S_plus'!DB95)</f>
        <v>84.657209973373384</v>
      </c>
      <c r="CV95">
        <f>AVERAGE(S_plus!DC$2:'S_plus'!DC95)</f>
        <v>103.48782842199685</v>
      </c>
      <c r="CW95">
        <f>AVERAGE(S_plus!DD$2:'S_plus'!DD95)</f>
        <v>95.160055021969143</v>
      </c>
      <c r="CX95">
        <f>AVERAGE(S_plus!DE$2:'S_plus'!DE95)</f>
        <v>103.60272843995955</v>
      </c>
      <c r="CY95">
        <f>AVERAGE(S_plus!DF$2:'S_plus'!DF95)</f>
        <v>86.529304925225532</v>
      </c>
      <c r="CZ95">
        <f>AVERAGE(S_plus!DG$2:'S_plus'!DG95)</f>
        <v>88.893234269008445</v>
      </c>
      <c r="DA95">
        <f>AVERAGE(S_plus!DH$2:'S_plus'!DH95)</f>
        <v>97.104481134013909</v>
      </c>
    </row>
    <row r="96" spans="5:105" x14ac:dyDescent="0.25">
      <c r="E96">
        <f>E95+Asian!dt</f>
        <v>0.94000000000000061</v>
      </c>
      <c r="F96">
        <f>AVERAGE(S_plus!M$2:'S_plus'!M96)</f>
        <v>88.471593295237895</v>
      </c>
      <c r="G96">
        <f>AVERAGE(S_plus!N$2:'S_plus'!N96)</f>
        <v>97.319415829462073</v>
      </c>
      <c r="H96">
        <f>AVERAGE(S_plus!O$2:'S_plus'!O96)</f>
        <v>105.8731536730095</v>
      </c>
      <c r="I96">
        <f>AVERAGE(S_plus!P$2:'S_plus'!P96)</f>
        <v>98.253043920167372</v>
      </c>
      <c r="J96">
        <f>AVERAGE(S_plus!Q$2:'S_plus'!Q96)</f>
        <v>80.264337194667377</v>
      </c>
      <c r="K96">
        <f>AVERAGE(S_plus!R$2:'S_plus'!R96)</f>
        <v>95.275008699829456</v>
      </c>
      <c r="L96">
        <f>AVERAGE(S_plus!S$2:'S_plus'!S96)</f>
        <v>110.2084429577705</v>
      </c>
      <c r="M96">
        <f>AVERAGE(S_plus!T$2:'S_plus'!T96)</f>
        <v>84.343697163403135</v>
      </c>
      <c r="N96">
        <f>AVERAGE(S_plus!U$2:'S_plus'!U96)</f>
        <v>112.72964846698949</v>
      </c>
      <c r="O96">
        <f>AVERAGE(S_plus!V$2:'S_plus'!V96)</f>
        <v>112.25989013768417</v>
      </c>
      <c r="P96">
        <f>AVERAGE(S_plus!W$2:'S_plus'!W96)</f>
        <v>104.99690870967687</v>
      </c>
      <c r="Q96">
        <f>AVERAGE(S_plus!X$2:'S_plus'!X96)</f>
        <v>118.09684248335792</v>
      </c>
      <c r="R96">
        <f>AVERAGE(S_plus!Y$2:'S_plus'!Y96)</f>
        <v>92.724089620982085</v>
      </c>
      <c r="S96">
        <f>AVERAGE(S_plus!Z$2:'S_plus'!Z96)</f>
        <v>106.10938670029893</v>
      </c>
      <c r="T96">
        <f>AVERAGE(S_plus!AA$2:'S_plus'!AA96)</f>
        <v>104.55567343451681</v>
      </c>
      <c r="U96">
        <f>AVERAGE(S_plus!AB$2:'S_plus'!AB96)</f>
        <v>101.89024095907365</v>
      </c>
      <c r="V96">
        <f>AVERAGE(S_plus!AC$2:'S_plus'!AC96)</f>
        <v>87.673465228763163</v>
      </c>
      <c r="W96">
        <f>AVERAGE(S_plus!AD$2:'S_plus'!AD96)</f>
        <v>97.536008038480006</v>
      </c>
      <c r="X96">
        <f>AVERAGE(S_plus!AE$2:'S_plus'!AE96)</f>
        <v>125.9132425051526</v>
      </c>
      <c r="Y96">
        <f>AVERAGE(S_plus!AF$2:'S_plus'!AF96)</f>
        <v>114.86879036061164</v>
      </c>
      <c r="Z96">
        <f>AVERAGE(S_plus!AG$2:'S_plus'!AG96)</f>
        <v>108.84315352161265</v>
      </c>
      <c r="AA96">
        <f>AVERAGE(S_plus!AH$2:'S_plus'!AH96)</f>
        <v>109.3773451247548</v>
      </c>
      <c r="AB96">
        <f>AVERAGE(S_plus!AI$2:'S_plus'!AI96)</f>
        <v>87.145655976420002</v>
      </c>
      <c r="AC96">
        <f>AVERAGE(S_plus!AJ$2:'S_plus'!AJ96)</f>
        <v>91.612304904031618</v>
      </c>
      <c r="AD96">
        <f>AVERAGE(S_plus!AK$2:'S_plus'!AK96)</f>
        <v>108.80123399093584</v>
      </c>
      <c r="AE96">
        <f>AVERAGE(S_plus!AL$2:'S_plus'!AL96)</f>
        <v>108.4951940497821</v>
      </c>
      <c r="AF96">
        <f>AVERAGE(S_plus!AM$2:'S_plus'!AM96)</f>
        <v>96.190199976728451</v>
      </c>
      <c r="AG96">
        <f>AVERAGE(S_plus!AN$2:'S_plus'!AN96)</f>
        <v>109.58038422716209</v>
      </c>
      <c r="AH96">
        <f>AVERAGE(S_plus!AO$2:'S_plus'!AO96)</f>
        <v>100.24241414827786</v>
      </c>
      <c r="AI96">
        <f>AVERAGE(S_plus!AP$2:'S_plus'!AP96)</f>
        <v>92.053875017784179</v>
      </c>
      <c r="AJ96">
        <f>AVERAGE(S_plus!AQ$2:'S_plus'!AQ96)</f>
        <v>107.92387766631157</v>
      </c>
      <c r="AK96">
        <f>AVERAGE(S_plus!AR$2:'S_plus'!AR96)</f>
        <v>100.07590864736106</v>
      </c>
      <c r="AL96">
        <f>AVERAGE(S_plus!AS$2:'S_plus'!AS96)</f>
        <v>120.87563314507689</v>
      </c>
      <c r="AM96">
        <f>AVERAGE(S_plus!AT$2:'S_plus'!AT96)</f>
        <v>93.528631758201072</v>
      </c>
      <c r="AN96">
        <f>AVERAGE(S_plus!AU$2:'S_plus'!AU96)</f>
        <v>106.36047810058318</v>
      </c>
      <c r="AO96">
        <f>AVERAGE(S_plus!AV$2:'S_plus'!AV96)</f>
        <v>111.43727973047785</v>
      </c>
      <c r="AP96">
        <f>AVERAGE(S_plus!AW$2:'S_plus'!AW96)</f>
        <v>115.04176493763158</v>
      </c>
      <c r="AQ96">
        <f>AVERAGE(S_plus!AX$2:'S_plus'!AX96)</f>
        <v>98.263729606105315</v>
      </c>
      <c r="AR96">
        <f>AVERAGE(S_plus!AY$2:'S_plus'!AY96)</f>
        <v>96.406487897173719</v>
      </c>
      <c r="AS96">
        <f>AVERAGE(S_plus!AZ$2:'S_plus'!AZ96)</f>
        <v>120.26185238416838</v>
      </c>
      <c r="AT96">
        <f>AVERAGE(S_plus!BA$2:'S_plus'!BA96)</f>
        <v>116.24425682132632</v>
      </c>
      <c r="AU96">
        <f>AVERAGE(S_plus!BB$2:'S_plus'!BB96)</f>
        <v>105.73405563353475</v>
      </c>
      <c r="AV96">
        <f>AVERAGE(S_plus!BC$2:'S_plus'!BC96)</f>
        <v>112.42506011846528</v>
      </c>
      <c r="AW96">
        <f>AVERAGE(S_plus!BD$2:'S_plus'!BD96)</f>
        <v>108.63600495548732</v>
      </c>
      <c r="AX96">
        <f>AVERAGE(S_plus!BE$2:'S_plus'!BE96)</f>
        <v>95.168906627982167</v>
      </c>
      <c r="AY96">
        <f>AVERAGE(S_plus!BF$2:'S_plus'!BF96)</f>
        <v>88.537856105681072</v>
      </c>
      <c r="AZ96">
        <f>AVERAGE(S_plus!BG$2:'S_plus'!BG96)</f>
        <v>92.197846744182087</v>
      </c>
      <c r="BA96">
        <f>AVERAGE(S_plus!BH$2:'S_plus'!BH96)</f>
        <v>104.30208106822631</v>
      </c>
      <c r="BB96">
        <f>AVERAGE(S_plus!BI$2:'S_plus'!BI96)</f>
        <v>106.58598262806001</v>
      </c>
      <c r="BC96">
        <f>AVERAGE(S_plus!BJ$2:'S_plus'!BJ96)</f>
        <v>107.56046156040841</v>
      </c>
      <c r="BD96">
        <f>AVERAGE(S_plus!BK$2:'S_plus'!BK96)</f>
        <v>99.474506781571591</v>
      </c>
      <c r="BE96">
        <f>AVERAGE(S_plus!BL$2:'S_plus'!BL96)</f>
        <v>86.509560212313673</v>
      </c>
      <c r="BF96">
        <f>AVERAGE(S_plus!BM$2:'S_plus'!BM96)</f>
        <v>104.70288089251157</v>
      </c>
      <c r="BG96">
        <f>AVERAGE(S_plus!BN$2:'S_plus'!BN96)</f>
        <v>106.31731341013368</v>
      </c>
      <c r="BH96">
        <f>AVERAGE(S_plus!BO$2:'S_plus'!BO96)</f>
        <v>87.081479045071603</v>
      </c>
      <c r="BI96">
        <f>AVERAGE(S_plus!BP$2:'S_plus'!BP96)</f>
        <v>85.703900390297932</v>
      </c>
      <c r="BJ96">
        <f>AVERAGE(S_plus!BQ$2:'S_plus'!BQ96)</f>
        <v>92.760525545612609</v>
      </c>
      <c r="BK96">
        <f>AVERAGE(S_plus!BR$2:'S_plus'!BR96)</f>
        <v>109.23563786267789</v>
      </c>
      <c r="BL96">
        <f>AVERAGE(S_plus!BS$2:'S_plus'!BS96)</f>
        <v>110.04929864876105</v>
      </c>
      <c r="BM96">
        <f>AVERAGE(S_plus!BT$2:'S_plus'!BT96)</f>
        <v>113.87798807692212</v>
      </c>
      <c r="BN96">
        <f>AVERAGE(S_plus!BU$2:'S_plus'!BU96)</f>
        <v>98.516630971830509</v>
      </c>
      <c r="BO96">
        <f>AVERAGE(S_plus!BV$2:'S_plus'!BV96)</f>
        <v>92.215028967773677</v>
      </c>
      <c r="BP96">
        <f>AVERAGE(S_plus!BW$2:'S_plus'!BW96)</f>
        <v>100.45016596130942</v>
      </c>
      <c r="BQ96">
        <f>AVERAGE(S_plus!BX$2:'S_plus'!BX96)</f>
        <v>80.111194224743144</v>
      </c>
      <c r="BR96">
        <f>AVERAGE(S_plus!BY$2:'S_plus'!BY96)</f>
        <v>96.460603087383191</v>
      </c>
      <c r="BS96">
        <f>AVERAGE(S_plus!BZ$2:'S_plus'!BZ96)</f>
        <v>109.83468575522313</v>
      </c>
      <c r="BT96">
        <f>AVERAGE(S_plus!CA$2:'S_plus'!CA96)</f>
        <v>94.546148090602145</v>
      </c>
      <c r="BU96">
        <f>AVERAGE(S_plus!CB$2:'S_plus'!CB96)</f>
        <v>99.023010502225276</v>
      </c>
      <c r="BV96">
        <f>AVERAGE(S_plus!CC$2:'S_plus'!CC96)</f>
        <v>85.808059621679973</v>
      </c>
      <c r="BW96">
        <f>AVERAGE(S_plus!CD$2:'S_plus'!CD96)</f>
        <v>100.08542835554526</v>
      </c>
      <c r="BX96">
        <f>AVERAGE(S_plus!CE$2:'S_plus'!CE96)</f>
        <v>92.522292561245237</v>
      </c>
      <c r="BY96">
        <f>AVERAGE(S_plus!CF$2:'S_plus'!CF96)</f>
        <v>86.307841853019994</v>
      </c>
      <c r="BZ96">
        <f>AVERAGE(S_plus!CG$2:'S_plus'!CG96)</f>
        <v>97.417280485023156</v>
      </c>
      <c r="CA96">
        <f>AVERAGE(S_plus!CH$2:'S_plus'!CH96)</f>
        <v>117.82615130163153</v>
      </c>
      <c r="CB96">
        <f>AVERAGE(S_plus!CI$2:'S_plus'!CI96)</f>
        <v>95.740086190081101</v>
      </c>
      <c r="CC96">
        <f>AVERAGE(S_plus!CJ$2:'S_plus'!CJ96)</f>
        <v>100.63267440676738</v>
      </c>
      <c r="CD96">
        <f>AVERAGE(S_plus!CK$2:'S_plus'!CK96)</f>
        <v>93.857621430462061</v>
      </c>
      <c r="CE96">
        <f>AVERAGE(S_plus!CL$2:'S_plus'!CL96)</f>
        <v>87.01159373607581</v>
      </c>
      <c r="CF96">
        <f>AVERAGE(S_plus!CM$2:'S_plus'!CM96)</f>
        <v>93.69517509001372</v>
      </c>
      <c r="CG96">
        <f>AVERAGE(S_plus!CN$2:'S_plus'!CN96)</f>
        <v>99.501502519004177</v>
      </c>
      <c r="CH96">
        <f>AVERAGE(S_plus!CO$2:'S_plus'!CO96)</f>
        <v>129.99227592054731</v>
      </c>
      <c r="CI96">
        <f>AVERAGE(S_plus!CP$2:'S_plus'!CP96)</f>
        <v>92.070307003691582</v>
      </c>
      <c r="CJ96">
        <f>AVERAGE(S_plus!CQ$2:'S_plus'!CQ96)</f>
        <v>97.344973923557887</v>
      </c>
      <c r="CK96">
        <f>AVERAGE(S_plus!CR$2:'S_plus'!CR96)</f>
        <v>101.37373994550104</v>
      </c>
      <c r="CL96">
        <f>AVERAGE(S_plus!CS$2:'S_plus'!CS96)</f>
        <v>101.49883470255791</v>
      </c>
      <c r="CM96">
        <f>AVERAGE(S_plus!CT$2:'S_plus'!CT96)</f>
        <v>116.31175505866945</v>
      </c>
      <c r="CN96">
        <f>AVERAGE(S_plus!CU$2:'S_plus'!CU96)</f>
        <v>106.1923156983126</v>
      </c>
      <c r="CO96">
        <f>AVERAGE(S_plus!CV$2:'S_plus'!CV96)</f>
        <v>90.122298252987349</v>
      </c>
      <c r="CP96">
        <f>AVERAGE(S_plus!CW$2:'S_plus'!CW96)</f>
        <v>107.59583562583261</v>
      </c>
      <c r="CQ96">
        <f>AVERAGE(S_plus!CX$2:'S_plus'!CX96)</f>
        <v>118.59066103482742</v>
      </c>
      <c r="CR96">
        <f>AVERAGE(S_plus!CY$2:'S_plus'!CY96)</f>
        <v>109.81105525464947</v>
      </c>
      <c r="CS96">
        <f>AVERAGE(S_plus!CZ$2:'S_plus'!CZ96)</f>
        <v>107.92281448754946</v>
      </c>
      <c r="CT96">
        <f>AVERAGE(S_plus!DA$2:'S_plus'!DA96)</f>
        <v>114.84084564187049</v>
      </c>
      <c r="CU96">
        <f>AVERAGE(S_plus!DB$2:'S_plus'!DB96)</f>
        <v>84.602715225910501</v>
      </c>
      <c r="CV96">
        <f>AVERAGE(S_plus!DC$2:'S_plus'!DC96)</f>
        <v>103.53439735502846</v>
      </c>
      <c r="CW96">
        <f>AVERAGE(S_plus!DD$2:'S_plus'!DD96)</f>
        <v>95.255423971843157</v>
      </c>
      <c r="CX96">
        <f>AVERAGE(S_plus!DE$2:'S_plus'!DE96)</f>
        <v>103.60386596353892</v>
      </c>
      <c r="CY96">
        <f>AVERAGE(S_plus!DF$2:'S_plus'!DF96)</f>
        <v>86.465890176509475</v>
      </c>
      <c r="CZ96">
        <f>AVERAGE(S_plus!DG$2:'S_plus'!DG96)</f>
        <v>88.844038442216771</v>
      </c>
      <c r="DA96">
        <f>AVERAGE(S_plus!DH$2:'S_plus'!DH96)</f>
        <v>96.919028413126384</v>
      </c>
    </row>
    <row r="97" spans="5:105" x14ac:dyDescent="0.25">
      <c r="E97">
        <f>E96+Asian!dt</f>
        <v>0.95000000000000062</v>
      </c>
      <c r="F97">
        <f>AVERAGE(S_plus!M$2:'S_plus'!M97)</f>
        <v>88.322718088551042</v>
      </c>
      <c r="G97">
        <f>AVERAGE(S_plus!N$2:'S_plus'!N97)</f>
        <v>97.383561998759333</v>
      </c>
      <c r="H97">
        <f>AVERAGE(S_plus!O$2:'S_plus'!O97)</f>
        <v>105.8341686531448</v>
      </c>
      <c r="I97">
        <f>AVERAGE(S_plus!P$2:'S_plus'!P97)</f>
        <v>98.153748693377068</v>
      </c>
      <c r="J97">
        <f>AVERAGE(S_plus!Q$2:'S_plus'!Q97)</f>
        <v>80.130639143894811</v>
      </c>
      <c r="K97">
        <f>AVERAGE(S_plus!R$2:'S_plus'!R97)</f>
        <v>95.293243859019768</v>
      </c>
      <c r="L97">
        <f>AVERAGE(S_plus!S$2:'S_plus'!S97)</f>
        <v>110.09551882876978</v>
      </c>
      <c r="M97">
        <f>AVERAGE(S_plus!T$2:'S_plus'!T97)</f>
        <v>84.417686434863512</v>
      </c>
      <c r="N97">
        <f>AVERAGE(S_plus!U$2:'S_plus'!U97)</f>
        <v>112.77235697710417</v>
      </c>
      <c r="O97">
        <f>AVERAGE(S_plus!V$2:'S_plus'!V97)</f>
        <v>112.53151051766662</v>
      </c>
      <c r="P97">
        <f>AVERAGE(S_plus!W$2:'S_plus'!W97)</f>
        <v>104.95338854637815</v>
      </c>
      <c r="Q97">
        <f>AVERAGE(S_plus!X$2:'S_plus'!X97)</f>
        <v>118.25244750317711</v>
      </c>
      <c r="R97">
        <f>AVERAGE(S_plus!Y$2:'S_plus'!Y97)</f>
        <v>92.708824205863536</v>
      </c>
      <c r="S97">
        <f>AVERAGE(S_plus!Z$2:'S_plus'!Z97)</f>
        <v>106.02340456181351</v>
      </c>
      <c r="T97">
        <f>AVERAGE(S_plus!AA$2:'S_plus'!AA97)</f>
        <v>104.48552663297183</v>
      </c>
      <c r="U97">
        <f>AVERAGE(S_plus!AB$2:'S_plus'!AB97)</f>
        <v>101.8935254383333</v>
      </c>
      <c r="V97">
        <f>AVERAGE(S_plus!AC$2:'S_plus'!AC97)</f>
        <v>87.751268007284366</v>
      </c>
      <c r="W97">
        <f>AVERAGE(S_plus!AD$2:'S_plus'!AD97)</f>
        <v>97.499085106922919</v>
      </c>
      <c r="X97">
        <f>AVERAGE(S_plus!AE$2:'S_plus'!AE97)</f>
        <v>125.9133443812031</v>
      </c>
      <c r="Y97">
        <f>AVERAGE(S_plus!AF$2:'S_plus'!AF97)</f>
        <v>115.01117862624069</v>
      </c>
      <c r="Z97">
        <f>AVERAGE(S_plus!AG$2:'S_plus'!AG97)</f>
        <v>108.96046649967919</v>
      </c>
      <c r="AA97">
        <f>AVERAGE(S_plus!AH$2:'S_plus'!AH97)</f>
        <v>109.4213779433511</v>
      </c>
      <c r="AB97">
        <f>AVERAGE(S_plus!AI$2:'S_plus'!AI97)</f>
        <v>87.066167773876046</v>
      </c>
      <c r="AC97">
        <f>AVERAGE(S_plus!AJ$2:'S_plus'!AJ97)</f>
        <v>91.6263999100115</v>
      </c>
      <c r="AD97">
        <f>AVERAGE(S_plus!AK$2:'S_plus'!AK97)</f>
        <v>108.59975083223338</v>
      </c>
      <c r="AE97">
        <f>AVERAGE(S_plus!AL$2:'S_plus'!AL97)</f>
        <v>108.58809528778437</v>
      </c>
      <c r="AF97">
        <f>AVERAGE(S_plus!AM$2:'S_plus'!AM97)</f>
        <v>96.290933156168776</v>
      </c>
      <c r="AG97">
        <f>AVERAGE(S_plus!AN$2:'S_plus'!AN97)</f>
        <v>109.44548862877291</v>
      </c>
      <c r="AH97">
        <f>AVERAGE(S_plus!AO$2:'S_plus'!AO97)</f>
        <v>100.36872356655623</v>
      </c>
      <c r="AI97">
        <f>AVERAGE(S_plus!AP$2:'S_plus'!AP97)</f>
        <v>92.083811058216625</v>
      </c>
      <c r="AJ97">
        <f>AVERAGE(S_plus!AQ$2:'S_plus'!AQ97)</f>
        <v>107.9593880547875</v>
      </c>
      <c r="AK97">
        <f>AVERAGE(S_plus!AR$2:'S_plus'!AR97)</f>
        <v>100.02241420604793</v>
      </c>
      <c r="AL97">
        <f>AVERAGE(S_plus!AS$2:'S_plus'!AS97)</f>
        <v>120.85605275334693</v>
      </c>
      <c r="AM97">
        <f>AVERAGE(S_plus!AT$2:'S_plus'!AT97)</f>
        <v>93.623692510584405</v>
      </c>
      <c r="AN97">
        <f>AVERAGE(S_plus!AU$2:'S_plus'!AU97)</f>
        <v>106.62179780758753</v>
      </c>
      <c r="AO97">
        <f>AVERAGE(S_plus!AV$2:'S_plus'!AV97)</f>
        <v>111.51582705218122</v>
      </c>
      <c r="AP97">
        <f>AVERAGE(S_plus!AW$2:'S_plus'!AW97)</f>
        <v>115.03533177741667</v>
      </c>
      <c r="AQ97">
        <f>AVERAGE(S_plus!AX$2:'S_plus'!AX97)</f>
        <v>98.148536565243788</v>
      </c>
      <c r="AR97">
        <f>AVERAGE(S_plus!AY$2:'S_plus'!AY97)</f>
        <v>96.324412979733367</v>
      </c>
      <c r="AS97">
        <f>AVERAGE(S_plus!AZ$2:'S_plus'!AZ97)</f>
        <v>120.40549890173953</v>
      </c>
      <c r="AT97">
        <f>AVERAGE(S_plus!BA$2:'S_plus'!BA97)</f>
        <v>116.34866628722916</v>
      </c>
      <c r="AU97">
        <f>AVERAGE(S_plus!BB$2:'S_plus'!BB97)</f>
        <v>105.72404183050834</v>
      </c>
      <c r="AV97">
        <f>AVERAGE(S_plus!BC$2:'S_plus'!BC97)</f>
        <v>112.40786130018961</v>
      </c>
      <c r="AW97">
        <f>AVERAGE(S_plus!BD$2:'S_plus'!BD97)</f>
        <v>108.80076216723226</v>
      </c>
      <c r="AX97">
        <f>AVERAGE(S_plus!BE$2:'S_plus'!BE97)</f>
        <v>95.164950444294846</v>
      </c>
      <c r="AY97">
        <f>AVERAGE(S_plus!BF$2:'S_plus'!BF97)</f>
        <v>88.488833953626056</v>
      </c>
      <c r="AZ97">
        <f>AVERAGE(S_plus!BG$2:'S_plus'!BG97)</f>
        <v>92.053177948898949</v>
      </c>
      <c r="BA97">
        <f>AVERAGE(S_plus!BH$2:'S_plus'!BH97)</f>
        <v>104.41967792351562</v>
      </c>
      <c r="BB97">
        <f>AVERAGE(S_plus!BI$2:'S_plus'!BI97)</f>
        <v>106.62763169137189</v>
      </c>
      <c r="BC97">
        <f>AVERAGE(S_plus!BJ$2:'S_plus'!BJ97)</f>
        <v>107.52797622788331</v>
      </c>
      <c r="BD97">
        <f>AVERAGE(S_plus!BK$2:'S_plus'!BK97)</f>
        <v>99.570473114388548</v>
      </c>
      <c r="BE97">
        <f>AVERAGE(S_plus!BL$2:'S_plus'!BL97)</f>
        <v>86.440104340708316</v>
      </c>
      <c r="BF97">
        <f>AVERAGE(S_plus!BM$2:'S_plus'!BM97)</f>
        <v>104.7713405734854</v>
      </c>
      <c r="BG97">
        <f>AVERAGE(S_plus!BN$2:'S_plus'!BN97)</f>
        <v>106.44835532890312</v>
      </c>
      <c r="BH97">
        <f>AVERAGE(S_plus!BO$2:'S_plus'!BO97)</f>
        <v>87.117122512062522</v>
      </c>
      <c r="BI97">
        <f>AVERAGE(S_plus!BP$2:'S_plus'!BP97)</f>
        <v>85.611003739317752</v>
      </c>
      <c r="BJ97">
        <f>AVERAGE(S_plus!BQ$2:'S_plus'!BQ97)</f>
        <v>92.812681059115604</v>
      </c>
      <c r="BK97">
        <f>AVERAGE(S_plus!BR$2:'S_plus'!BR97)</f>
        <v>109.33045012053542</v>
      </c>
      <c r="BL97">
        <f>AVERAGE(S_plus!BS$2:'S_plus'!BS97)</f>
        <v>110.23386105640937</v>
      </c>
      <c r="BM97">
        <f>AVERAGE(S_plus!BT$2:'S_plus'!BT97)</f>
        <v>114.09769163468336</v>
      </c>
      <c r="BN97">
        <f>AVERAGE(S_plus!BU$2:'S_plus'!BU97)</f>
        <v>98.411763152102068</v>
      </c>
      <c r="BO97">
        <f>AVERAGE(S_plus!BV$2:'S_plus'!BV97)</f>
        <v>92.381938740359374</v>
      </c>
      <c r="BP97">
        <f>AVERAGE(S_plus!BW$2:'S_plus'!BW97)</f>
        <v>100.70818356329579</v>
      </c>
      <c r="BQ97">
        <f>AVERAGE(S_plus!BX$2:'S_plus'!BX97)</f>
        <v>80.050287887245815</v>
      </c>
      <c r="BR97">
        <f>AVERAGE(S_plus!BY$2:'S_plus'!BY97)</f>
        <v>96.294261540921909</v>
      </c>
      <c r="BS97">
        <f>AVERAGE(S_plus!BZ$2:'S_plus'!BZ97)</f>
        <v>110.16039946897081</v>
      </c>
      <c r="BT97">
        <f>AVERAGE(S_plus!CA$2:'S_plus'!CA97)</f>
        <v>94.459895319925025</v>
      </c>
      <c r="BU97">
        <f>AVERAGE(S_plus!CB$2:'S_plus'!CB97)</f>
        <v>98.879990335275011</v>
      </c>
      <c r="BV97">
        <f>AVERAGE(S_plus!CC$2:'S_plus'!CC97)</f>
        <v>85.70865999537601</v>
      </c>
      <c r="BW97">
        <f>AVERAGE(S_plus!CD$2:'S_plus'!CD97)</f>
        <v>100.17462510103957</v>
      </c>
      <c r="BX97">
        <f>AVERAGE(S_plus!CE$2:'S_plus'!CE97)</f>
        <v>92.354691796240601</v>
      </c>
      <c r="BY97">
        <f>AVERAGE(S_plus!CF$2:'S_plus'!CF97)</f>
        <v>86.197595527515617</v>
      </c>
      <c r="BZ97">
        <f>AVERAGE(S_plus!CG$2:'S_plus'!CG97)</f>
        <v>97.538641747741664</v>
      </c>
      <c r="CA97">
        <f>AVERAGE(S_plus!CH$2:'S_plus'!CH97)</f>
        <v>117.86369090931247</v>
      </c>
      <c r="CB97">
        <f>AVERAGE(S_plus!CI$2:'S_plus'!CI97)</f>
        <v>95.608294377530271</v>
      </c>
      <c r="CC97">
        <f>AVERAGE(S_plus!CJ$2:'S_plus'!CJ97)</f>
        <v>100.55802877380209</v>
      </c>
      <c r="CD97">
        <f>AVERAGE(S_plus!CK$2:'S_plus'!CK97)</f>
        <v>93.807192240567659</v>
      </c>
      <c r="CE97">
        <f>AVERAGE(S_plus!CL$2:'S_plus'!CL97)</f>
        <v>87.019497523369807</v>
      </c>
      <c r="CF97">
        <f>AVERAGE(S_plus!CM$2:'S_plus'!CM97)</f>
        <v>93.675566060857321</v>
      </c>
      <c r="CG97">
        <f>AVERAGE(S_plus!CN$2:'S_plus'!CN97)</f>
        <v>99.553138550754127</v>
      </c>
      <c r="CH97">
        <f>AVERAGE(S_plus!CO$2:'S_plus'!CO97)</f>
        <v>130.21721433219787</v>
      </c>
      <c r="CI97">
        <f>AVERAGE(S_plus!CP$2:'S_plus'!CP97)</f>
        <v>91.979402862114583</v>
      </c>
      <c r="CJ97">
        <f>AVERAGE(S_plus!CQ$2:'S_plus'!CQ97)</f>
        <v>97.264347378252083</v>
      </c>
      <c r="CK97">
        <f>AVERAGE(S_plus!CR$2:'S_plus'!CR97)</f>
        <v>101.38671158850623</v>
      </c>
      <c r="CL97">
        <f>AVERAGE(S_plus!CS$2:'S_plus'!CS97)</f>
        <v>101.37159438706878</v>
      </c>
      <c r="CM97">
        <f>AVERAGE(S_plus!CT$2:'S_plus'!CT97)</f>
        <v>116.40884851468331</v>
      </c>
      <c r="CN97">
        <f>AVERAGE(S_plus!CU$2:'S_plus'!CU97)</f>
        <v>106.37220670834058</v>
      </c>
      <c r="CO97">
        <f>AVERAGE(S_plus!CV$2:'S_plus'!CV97)</f>
        <v>90.014586006683317</v>
      </c>
      <c r="CP97">
        <f>AVERAGE(S_plus!CW$2:'S_plus'!CW97)</f>
        <v>107.58332581249061</v>
      </c>
      <c r="CQ97">
        <f>AVERAGE(S_plus!CX$2:'S_plus'!CX97)</f>
        <v>118.60570535466253</v>
      </c>
      <c r="CR97">
        <f>AVERAGE(S_plus!CY$2:'S_plus'!CY97)</f>
        <v>109.79841242290313</v>
      </c>
      <c r="CS97">
        <f>AVERAGE(S_plus!CZ$2:'S_plus'!CZ97)</f>
        <v>108.02492500454373</v>
      </c>
      <c r="CT97">
        <f>AVERAGE(S_plus!DA$2:'S_plus'!DA97)</f>
        <v>114.66547352238433</v>
      </c>
      <c r="CU97">
        <f>AVERAGE(S_plus!DB$2:'S_plus'!DB97)</f>
        <v>84.519890690895821</v>
      </c>
      <c r="CV97">
        <f>AVERAGE(S_plus!DC$2:'S_plus'!DC97)</f>
        <v>103.59410400284065</v>
      </c>
      <c r="CW97">
        <f>AVERAGE(S_plus!DD$2:'S_plus'!DD97)</f>
        <v>95.379786599334366</v>
      </c>
      <c r="CX97">
        <f>AVERAGE(S_plus!DE$2:'S_plus'!DE97)</f>
        <v>103.60561214538747</v>
      </c>
      <c r="CY97">
        <f>AVERAGE(S_plus!DF$2:'S_plus'!DF97)</f>
        <v>86.420000248339591</v>
      </c>
      <c r="CZ97">
        <f>AVERAGE(S_plus!DG$2:'S_plus'!DG97)</f>
        <v>88.788556021818678</v>
      </c>
      <c r="DA97">
        <f>AVERAGE(S_plus!DH$2:'S_plus'!DH97)</f>
        <v>96.735682050038619</v>
      </c>
    </row>
    <row r="98" spans="5:105" x14ac:dyDescent="0.25">
      <c r="E98">
        <f>E97+Asian!dt</f>
        <v>0.96000000000000063</v>
      </c>
      <c r="F98">
        <f>AVERAGE(S_plus!M$2:'S_plus'!M98)</f>
        <v>88.194475394771146</v>
      </c>
      <c r="G98">
        <f>AVERAGE(S_plus!N$2:'S_plus'!N98)</f>
        <v>97.429076344277291</v>
      </c>
      <c r="H98">
        <f>AVERAGE(S_plus!O$2:'S_plus'!O98)</f>
        <v>105.82288264814332</v>
      </c>
      <c r="I98">
        <f>AVERAGE(S_plus!P$2:'S_plus'!P98)</f>
        <v>98.080557922946383</v>
      </c>
      <c r="J98">
        <f>AVERAGE(S_plus!Q$2:'S_plus'!Q98)</f>
        <v>80.00025432958661</v>
      </c>
      <c r="K98">
        <f>AVERAGE(S_plus!R$2:'S_plus'!R98)</f>
        <v>95.294133708482462</v>
      </c>
      <c r="L98">
        <f>AVERAGE(S_plus!S$2:'S_plus'!S98)</f>
        <v>109.96172165044638</v>
      </c>
      <c r="M98">
        <f>AVERAGE(S_plus!T$2:'S_plus'!T98)</f>
        <v>84.50779912028554</v>
      </c>
      <c r="N98">
        <f>AVERAGE(S_plus!U$2:'S_plus'!U98)</f>
        <v>112.8152893622062</v>
      </c>
      <c r="O98">
        <f>AVERAGE(S_plus!V$2:'S_plus'!V98)</f>
        <v>112.81247481786593</v>
      </c>
      <c r="P98">
        <f>AVERAGE(S_plus!W$2:'S_plus'!W98)</f>
        <v>104.86726002626497</v>
      </c>
      <c r="Q98">
        <f>AVERAGE(S_plus!X$2:'S_plus'!X98)</f>
        <v>118.39234369917529</v>
      </c>
      <c r="R98">
        <f>AVERAGE(S_plus!Y$2:'S_plus'!Y98)</f>
        <v>92.701533756175252</v>
      </c>
      <c r="S98">
        <f>AVERAGE(S_plus!Z$2:'S_plus'!Z98)</f>
        <v>105.94975405100411</v>
      </c>
      <c r="T98">
        <f>AVERAGE(S_plus!AA$2:'S_plus'!AA98)</f>
        <v>104.3979705183649</v>
      </c>
      <c r="U98">
        <f>AVERAGE(S_plus!AB$2:'S_plus'!AB98)</f>
        <v>101.86645447030305</v>
      </c>
      <c r="V98">
        <f>AVERAGE(S_plus!AC$2:'S_plus'!AC98)</f>
        <v>87.781198729025775</v>
      </c>
      <c r="W98">
        <f>AVERAGE(S_plus!AD$2:'S_plus'!AD98)</f>
        <v>97.493841016354651</v>
      </c>
      <c r="X98">
        <f>AVERAGE(S_plus!AE$2:'S_plus'!AE98)</f>
        <v>125.91301443598452</v>
      </c>
      <c r="Y98">
        <f>AVERAGE(S_plus!AF$2:'S_plus'!AF98)</f>
        <v>115.18602618389801</v>
      </c>
      <c r="Z98">
        <f>AVERAGE(S_plus!AG$2:'S_plus'!AG98)</f>
        <v>109.08254714401238</v>
      </c>
      <c r="AA98">
        <f>AVERAGE(S_plus!AH$2:'S_plus'!AH98)</f>
        <v>109.44697870764645</v>
      </c>
      <c r="AB98">
        <f>AVERAGE(S_plus!AI$2:'S_plus'!AI98)</f>
        <v>87.011587818029909</v>
      </c>
      <c r="AC98">
        <f>AVERAGE(S_plus!AJ$2:'S_plus'!AJ98)</f>
        <v>91.632942474712408</v>
      </c>
      <c r="AD98">
        <f>AVERAGE(S_plus!AK$2:'S_plus'!AK98)</f>
        <v>108.40522412655984</v>
      </c>
      <c r="AE98">
        <f>AVERAGE(S_plus!AL$2:'S_plus'!AL98)</f>
        <v>108.7323598424567</v>
      </c>
      <c r="AF98">
        <f>AVERAGE(S_plus!AM$2:'S_plus'!AM98)</f>
        <v>96.425217782816517</v>
      </c>
      <c r="AG98">
        <f>AVERAGE(S_plus!AN$2:'S_plus'!AN98)</f>
        <v>109.31221008603401</v>
      </c>
      <c r="AH98">
        <f>AVERAGE(S_plus!AO$2:'S_plus'!AO98)</f>
        <v>100.47602728518967</v>
      </c>
      <c r="AI98">
        <f>AVERAGE(S_plus!AP$2:'S_plus'!AP98)</f>
        <v>92.080952230763884</v>
      </c>
      <c r="AJ98">
        <f>AVERAGE(S_plus!AQ$2:'S_plus'!AQ98)</f>
        <v>107.98979772077938</v>
      </c>
      <c r="AK98">
        <f>AVERAGE(S_plus!AR$2:'S_plus'!AR98)</f>
        <v>99.955424039215472</v>
      </c>
      <c r="AL98">
        <f>AVERAGE(S_plus!AS$2:'S_plus'!AS98)</f>
        <v>120.8243212865186</v>
      </c>
      <c r="AM98">
        <f>AVERAGE(S_plus!AT$2:'S_plus'!AT98)</f>
        <v>93.715320531341263</v>
      </c>
      <c r="AN98">
        <f>AVERAGE(S_plus!AU$2:'S_plus'!AU98)</f>
        <v>106.85773266705569</v>
      </c>
      <c r="AO98">
        <f>AVERAGE(S_plus!AV$2:'S_plus'!AV98)</f>
        <v>111.57051543761233</v>
      </c>
      <c r="AP98">
        <f>AVERAGE(S_plus!AW$2:'S_plus'!AW98)</f>
        <v>115.03715502025773</v>
      </c>
      <c r="AQ98">
        <f>AVERAGE(S_plus!AX$2:'S_plus'!AX98)</f>
        <v>98.042275226173231</v>
      </c>
      <c r="AR98">
        <f>AVERAGE(S_plus!AY$2:'S_plus'!AY98)</f>
        <v>96.238662250163955</v>
      </c>
      <c r="AS98">
        <f>AVERAGE(S_plus!AZ$2:'S_plus'!AZ98)</f>
        <v>120.57052560227831</v>
      </c>
      <c r="AT98">
        <f>AVERAGE(S_plus!BA$2:'S_plus'!BA98)</f>
        <v>116.42621263249485</v>
      </c>
      <c r="AU98">
        <f>AVERAGE(S_plus!BB$2:'S_plus'!BB98)</f>
        <v>105.73314266116289</v>
      </c>
      <c r="AV98">
        <f>AVERAGE(S_plus!BC$2:'S_plus'!BC98)</f>
        <v>112.40947443155879</v>
      </c>
      <c r="AW98">
        <f>AVERAGE(S_plus!BD$2:'S_plus'!BD98)</f>
        <v>108.93022290102367</v>
      </c>
      <c r="AX98">
        <f>AVERAGE(S_plus!BE$2:'S_plus'!BE98)</f>
        <v>95.151319046654677</v>
      </c>
      <c r="AY98">
        <f>AVERAGE(S_plus!BF$2:'S_plus'!BF98)</f>
        <v>88.455549888407234</v>
      </c>
      <c r="AZ98">
        <f>AVERAGE(S_plus!BG$2:'S_plus'!BG98)</f>
        <v>91.911189263569057</v>
      </c>
      <c r="BA98">
        <f>AVERAGE(S_plus!BH$2:'S_plus'!BH98)</f>
        <v>104.51508151354123</v>
      </c>
      <c r="BB98">
        <f>AVERAGE(S_plus!BI$2:'S_plus'!BI98)</f>
        <v>106.68833732315156</v>
      </c>
      <c r="BC98">
        <f>AVERAGE(S_plus!BJ$2:'S_plus'!BJ98)</f>
        <v>107.52574305394639</v>
      </c>
      <c r="BD98">
        <f>AVERAGE(S_plus!BK$2:'S_plus'!BK98)</f>
        <v>99.680022047838136</v>
      </c>
      <c r="BE98">
        <f>AVERAGE(S_plus!BL$2:'S_plus'!BL98)</f>
        <v>86.35640695040513</v>
      </c>
      <c r="BF98">
        <f>AVERAGE(S_plus!BM$2:'S_plus'!BM98)</f>
        <v>104.8720808559237</v>
      </c>
      <c r="BG98">
        <f>AVERAGE(S_plus!BN$2:'S_plus'!BN98)</f>
        <v>106.54262020973917</v>
      </c>
      <c r="BH98">
        <f>AVERAGE(S_plus!BO$2:'S_plus'!BO98)</f>
        <v>87.132113134109304</v>
      </c>
      <c r="BI98">
        <f>AVERAGE(S_plus!BP$2:'S_plus'!BP98)</f>
        <v>85.50953294937942</v>
      </c>
      <c r="BJ98">
        <f>AVERAGE(S_plus!BQ$2:'S_plus'!BQ98)</f>
        <v>92.867693117881416</v>
      </c>
      <c r="BK98">
        <f>AVERAGE(S_plus!BR$2:'S_plus'!BR98)</f>
        <v>109.44495345180825</v>
      </c>
      <c r="BL98">
        <f>AVERAGE(S_plus!BS$2:'S_plus'!BS98)</f>
        <v>110.40745047696186</v>
      </c>
      <c r="BM98">
        <f>AVERAGE(S_plus!BT$2:'S_plus'!BT98)</f>
        <v>114.30873960693404</v>
      </c>
      <c r="BN98">
        <f>AVERAGE(S_plus!BU$2:'S_plus'!BU98)</f>
        <v>98.308365616828837</v>
      </c>
      <c r="BO98">
        <f>AVERAGE(S_plus!BV$2:'S_plus'!BV98)</f>
        <v>92.549484853190719</v>
      </c>
      <c r="BP98">
        <f>AVERAGE(S_plus!BW$2:'S_plus'!BW98)</f>
        <v>100.97475914730305</v>
      </c>
      <c r="BQ98">
        <f>AVERAGE(S_plus!BX$2:'S_plus'!BX98)</f>
        <v>80.012803308447403</v>
      </c>
      <c r="BR98">
        <f>AVERAGE(S_plus!BY$2:'S_plus'!BY98)</f>
        <v>96.127143850421675</v>
      </c>
      <c r="BS98">
        <f>AVERAGE(S_plus!BZ$2:'S_plus'!BZ98)</f>
        <v>110.50174804765153</v>
      </c>
      <c r="BT98">
        <f>AVERAGE(S_plus!CA$2:'S_plus'!CA98)</f>
        <v>94.383574204448493</v>
      </c>
      <c r="BU98">
        <f>AVERAGE(S_plus!CB$2:'S_plus'!CB98)</f>
        <v>98.752427708823717</v>
      </c>
      <c r="BV98">
        <f>AVERAGE(S_plus!CC$2:'S_plus'!CC98)</f>
        <v>85.61766357609892</v>
      </c>
      <c r="BW98">
        <f>AVERAGE(S_plus!CD$2:'S_plus'!CD98)</f>
        <v>100.27453297247214</v>
      </c>
      <c r="BX98">
        <f>AVERAGE(S_plus!CE$2:'S_plus'!CE98)</f>
        <v>92.216094023642242</v>
      </c>
      <c r="BY98">
        <f>AVERAGE(S_plus!CF$2:'S_plus'!CF98)</f>
        <v>86.091896228959797</v>
      </c>
      <c r="BZ98">
        <f>AVERAGE(S_plus!CG$2:'S_plus'!CG98)</f>
        <v>97.640871143991745</v>
      </c>
      <c r="CA98">
        <f>AVERAGE(S_plus!CH$2:'S_plus'!CH98)</f>
        <v>117.91799335863912</v>
      </c>
      <c r="CB98">
        <f>AVERAGE(S_plus!CI$2:'S_plus'!CI98)</f>
        <v>95.513556910482535</v>
      </c>
      <c r="CC98">
        <f>AVERAGE(S_plus!CJ$2:'S_plus'!CJ98)</f>
        <v>100.4869094152495</v>
      </c>
      <c r="CD98">
        <f>AVERAGE(S_plus!CK$2:'S_plus'!CK98)</f>
        <v>93.760312582718512</v>
      </c>
      <c r="CE98">
        <f>AVERAGE(S_plus!CL$2:'S_plus'!CL98)</f>
        <v>87.018720087139187</v>
      </c>
      <c r="CF98">
        <f>AVERAGE(S_plus!CM$2:'S_plus'!CM98)</f>
        <v>93.699674861447463</v>
      </c>
      <c r="CG98">
        <f>AVERAGE(S_plus!CN$2:'S_plus'!CN98)</f>
        <v>99.625992129096872</v>
      </c>
      <c r="CH98">
        <f>AVERAGE(S_plus!CO$2:'S_plus'!CO98)</f>
        <v>130.43684372251542</v>
      </c>
      <c r="CI98">
        <f>AVERAGE(S_plus!CP$2:'S_plus'!CP98)</f>
        <v>91.89800047630311</v>
      </c>
      <c r="CJ98">
        <f>AVERAGE(S_plus!CQ$2:'S_plus'!CQ98)</f>
        <v>97.172053799797951</v>
      </c>
      <c r="CK98">
        <f>AVERAGE(S_plus!CR$2:'S_plus'!CR98)</f>
        <v>101.41286706855257</v>
      </c>
      <c r="CL98">
        <f>AVERAGE(S_plus!CS$2:'S_plus'!CS98)</f>
        <v>101.20156585266086</v>
      </c>
      <c r="CM98">
        <f>AVERAGE(S_plus!CT$2:'S_plus'!CT98)</f>
        <v>116.51093241708864</v>
      </c>
      <c r="CN98">
        <f>AVERAGE(S_plus!CU$2:'S_plus'!CU98)</f>
        <v>106.58194959051234</v>
      </c>
      <c r="CO98">
        <f>AVERAGE(S_plus!CV$2:'S_plus'!CV98)</f>
        <v>89.950183722455662</v>
      </c>
      <c r="CP98">
        <f>AVERAGE(S_plus!CW$2:'S_plus'!CW98)</f>
        <v>107.53456103216595</v>
      </c>
      <c r="CQ98">
        <f>AVERAGE(S_plus!CX$2:'S_plus'!CX98)</f>
        <v>118.62448174998561</v>
      </c>
      <c r="CR98">
        <f>AVERAGE(S_plus!CY$2:'S_plus'!CY98)</f>
        <v>109.73623805765671</v>
      </c>
      <c r="CS98">
        <f>AVERAGE(S_plus!CZ$2:'S_plus'!CZ98)</f>
        <v>108.09841397637318</v>
      </c>
      <c r="CT98">
        <f>AVERAGE(S_plus!DA$2:'S_plus'!DA98)</f>
        <v>114.50219870204532</v>
      </c>
      <c r="CU98">
        <f>AVERAGE(S_plus!DB$2:'S_plus'!DB98)</f>
        <v>84.433149513729887</v>
      </c>
      <c r="CV98">
        <f>AVERAGE(S_plus!DC$2:'S_plus'!DC98)</f>
        <v>103.67499987070828</v>
      </c>
      <c r="CW98">
        <f>AVERAGE(S_plus!DD$2:'S_plus'!DD98)</f>
        <v>95.468006585475266</v>
      </c>
      <c r="CX98">
        <f>AVERAGE(S_plus!DE$2:'S_plus'!DE98)</f>
        <v>103.58460200235254</v>
      </c>
      <c r="CY98">
        <f>AVERAGE(S_plus!DF$2:'S_plus'!DF98)</f>
        <v>86.387421372022686</v>
      </c>
      <c r="CZ98">
        <f>AVERAGE(S_plus!DG$2:'S_plus'!DG98)</f>
        <v>88.743750841956626</v>
      </c>
      <c r="DA98">
        <f>AVERAGE(S_plus!DH$2:'S_plus'!DH98)</f>
        <v>96.539866760251613</v>
      </c>
    </row>
    <row r="99" spans="5:105" x14ac:dyDescent="0.25">
      <c r="E99">
        <f>E98+Asian!dt</f>
        <v>0.97000000000000064</v>
      </c>
      <c r="F99">
        <f>AVERAGE(S_plus!M$2:'S_plus'!M99)</f>
        <v>88.096983483334697</v>
      </c>
      <c r="G99">
        <f>AVERAGE(S_plus!N$2:'S_plus'!N99)</f>
        <v>97.503302173580579</v>
      </c>
      <c r="H99">
        <f>AVERAGE(S_plus!O$2:'S_plus'!O99)</f>
        <v>105.82208604503981</v>
      </c>
      <c r="I99">
        <f>AVERAGE(S_plus!P$2:'S_plus'!P99)</f>
        <v>98.026078306821418</v>
      </c>
      <c r="J99">
        <f>AVERAGE(S_plus!Q$2:'S_plus'!Q99)</f>
        <v>79.861172141268383</v>
      </c>
      <c r="K99">
        <f>AVERAGE(S_plus!R$2:'S_plus'!R99)</f>
        <v>95.291964102305087</v>
      </c>
      <c r="L99">
        <f>AVERAGE(S_plus!S$2:'S_plus'!S99)</f>
        <v>109.83528672277039</v>
      </c>
      <c r="M99">
        <f>AVERAGE(S_plus!T$2:'S_plus'!T99)</f>
        <v>84.563839491275473</v>
      </c>
      <c r="N99">
        <f>AVERAGE(S_plus!U$2:'S_plus'!U99)</f>
        <v>112.82329225798981</v>
      </c>
      <c r="O99">
        <f>AVERAGE(S_plus!V$2:'S_plus'!V99)</f>
        <v>113.08160606980607</v>
      </c>
      <c r="P99">
        <f>AVERAGE(S_plus!W$2:'S_plus'!W99)</f>
        <v>104.75937287792348</v>
      </c>
      <c r="Q99">
        <f>AVERAGE(S_plus!X$2:'S_plus'!X99)</f>
        <v>118.59488539258166</v>
      </c>
      <c r="R99">
        <f>AVERAGE(S_plus!Y$2:'S_plus'!Y99)</f>
        <v>92.666746527612233</v>
      </c>
      <c r="S99">
        <f>AVERAGE(S_plus!Z$2:'S_plus'!Z99)</f>
        <v>105.85769661024896</v>
      </c>
      <c r="T99">
        <f>AVERAGE(S_plus!AA$2:'S_plus'!AA99)</f>
        <v>104.2799420503877</v>
      </c>
      <c r="U99">
        <f>AVERAGE(S_plus!AB$2:'S_plus'!AB99)</f>
        <v>101.82756723259077</v>
      </c>
      <c r="V99">
        <f>AVERAGE(S_plus!AC$2:'S_plus'!AC99)</f>
        <v>87.779438181058154</v>
      </c>
      <c r="W99">
        <f>AVERAGE(S_plus!AD$2:'S_plus'!AD99)</f>
        <v>97.476068982259193</v>
      </c>
      <c r="X99">
        <f>AVERAGE(S_plus!AE$2:'S_plus'!AE99)</f>
        <v>125.94359153267857</v>
      </c>
      <c r="Y99">
        <f>AVERAGE(S_plus!AF$2:'S_plus'!AF99)</f>
        <v>115.43391269583783</v>
      </c>
      <c r="Z99">
        <f>AVERAGE(S_plus!AG$2:'S_plus'!AG99)</f>
        <v>109.20836212932858</v>
      </c>
      <c r="AA99">
        <f>AVERAGE(S_plus!AH$2:'S_plus'!AH99)</f>
        <v>109.46062733267047</v>
      </c>
      <c r="AB99">
        <f>AVERAGE(S_plus!AI$2:'S_plus'!AI99)</f>
        <v>86.963718317926535</v>
      </c>
      <c r="AC99">
        <f>AVERAGE(S_plus!AJ$2:'S_plus'!AJ99)</f>
        <v>91.637722627283722</v>
      </c>
      <c r="AD99">
        <f>AVERAGE(S_plus!AK$2:'S_plus'!AK99)</f>
        <v>108.18999954896739</v>
      </c>
      <c r="AE99">
        <f>AVERAGE(S_plus!AL$2:'S_plus'!AL99)</f>
        <v>108.92675127348265</v>
      </c>
      <c r="AF99">
        <f>AVERAGE(S_plus!AM$2:'S_plus'!AM99)</f>
        <v>96.540996819553087</v>
      </c>
      <c r="AG99">
        <f>AVERAGE(S_plus!AN$2:'S_plus'!AN99)</f>
        <v>109.17670109425612</v>
      </c>
      <c r="AH99">
        <f>AVERAGE(S_plus!AO$2:'S_plus'!AO99)</f>
        <v>100.54197111768772</v>
      </c>
      <c r="AI99">
        <f>AVERAGE(S_plus!AP$2:'S_plus'!AP99)</f>
        <v>92.080392772474454</v>
      </c>
      <c r="AJ99">
        <f>AVERAGE(S_plus!AQ$2:'S_plus'!AQ99)</f>
        <v>108.00080430075103</v>
      </c>
      <c r="AK99">
        <f>AVERAGE(S_plus!AR$2:'S_plus'!AR99)</f>
        <v>99.905552407805104</v>
      </c>
      <c r="AL99">
        <f>AVERAGE(S_plus!AS$2:'S_plus'!AS99)</f>
        <v>120.83896889998269</v>
      </c>
      <c r="AM99">
        <f>AVERAGE(S_plus!AT$2:'S_plus'!AT99)</f>
        <v>93.779840226715336</v>
      </c>
      <c r="AN99">
        <f>AVERAGE(S_plus!AU$2:'S_plus'!AU99)</f>
        <v>107.0890682392286</v>
      </c>
      <c r="AO99">
        <f>AVERAGE(S_plus!AV$2:'S_plus'!AV99)</f>
        <v>111.60845657806526</v>
      </c>
      <c r="AP99">
        <f>AVERAGE(S_plus!AW$2:'S_plus'!AW99)</f>
        <v>115.04690330372449</v>
      </c>
      <c r="AQ99">
        <f>AVERAGE(S_plus!AX$2:'S_plus'!AX99)</f>
        <v>97.933915772597985</v>
      </c>
      <c r="AR99">
        <f>AVERAGE(S_plus!AY$2:'S_plus'!AY99)</f>
        <v>96.148569150199009</v>
      </c>
      <c r="AS99">
        <f>AVERAGE(S_plus!AZ$2:'S_plus'!AZ99)</f>
        <v>120.71380485110201</v>
      </c>
      <c r="AT99">
        <f>AVERAGE(S_plus!BA$2:'S_plus'!BA99)</f>
        <v>116.44899334225512</v>
      </c>
      <c r="AU99">
        <f>AVERAGE(S_plus!BB$2:'S_plus'!BB99)</f>
        <v>105.74668561087552</v>
      </c>
      <c r="AV99">
        <f>AVERAGE(S_plus!BC$2:'S_plus'!BC99)</f>
        <v>112.41712061537963</v>
      </c>
      <c r="AW99">
        <f>AVERAGE(S_plus!BD$2:'S_plus'!BD99)</f>
        <v>109.06134872050302</v>
      </c>
      <c r="AX99">
        <f>AVERAGE(S_plus!BE$2:'S_plus'!BE99)</f>
        <v>95.155264792566371</v>
      </c>
      <c r="AY99">
        <f>AVERAGE(S_plus!BF$2:'S_plus'!BF99)</f>
        <v>88.416954564903079</v>
      </c>
      <c r="AZ99">
        <f>AVERAGE(S_plus!BG$2:'S_plus'!BG99)</f>
        <v>91.78582960447855</v>
      </c>
      <c r="BA99">
        <f>AVERAGE(S_plus!BH$2:'S_plus'!BH99)</f>
        <v>104.61075665775</v>
      </c>
      <c r="BB99">
        <f>AVERAGE(S_plus!BI$2:'S_plus'!BI99)</f>
        <v>106.77139665342553</v>
      </c>
      <c r="BC99">
        <f>AVERAGE(S_plus!BJ$2:'S_plus'!BJ99)</f>
        <v>107.51911584875306</v>
      </c>
      <c r="BD99">
        <f>AVERAGE(S_plus!BK$2:'S_plus'!BK99)</f>
        <v>99.757032106258166</v>
      </c>
      <c r="BE99">
        <f>AVERAGE(S_plus!BL$2:'S_plus'!BL99)</f>
        <v>86.284440365439764</v>
      </c>
      <c r="BF99">
        <f>AVERAGE(S_plus!BM$2:'S_plus'!BM99)</f>
        <v>104.97330412910814</v>
      </c>
      <c r="BG99">
        <f>AVERAGE(S_plus!BN$2:'S_plus'!BN99)</f>
        <v>106.65251097642552</v>
      </c>
      <c r="BH99">
        <f>AVERAGE(S_plus!BO$2:'S_plus'!BO99)</f>
        <v>87.114802678863285</v>
      </c>
      <c r="BI99">
        <f>AVERAGE(S_plus!BP$2:'S_plus'!BP99)</f>
        <v>85.41908769837147</v>
      </c>
      <c r="BJ99">
        <f>AVERAGE(S_plus!BQ$2:'S_plus'!BQ99)</f>
        <v>92.890148297452029</v>
      </c>
      <c r="BK99">
        <f>AVERAGE(S_plus!BR$2:'S_plus'!BR99)</f>
        <v>109.54931331889183</v>
      </c>
      <c r="BL99">
        <f>AVERAGE(S_plus!BS$2:'S_plus'!BS99)</f>
        <v>110.54657654656428</v>
      </c>
      <c r="BM99">
        <f>AVERAGE(S_plus!BT$2:'S_plus'!BT99)</f>
        <v>114.52328876698574</v>
      </c>
      <c r="BN99">
        <f>AVERAGE(S_plus!BU$2:'S_plus'!BU99)</f>
        <v>98.221654189902011</v>
      </c>
      <c r="BO99">
        <f>AVERAGE(S_plus!BV$2:'S_plus'!BV99)</f>
        <v>92.709864958943868</v>
      </c>
      <c r="BP99">
        <f>AVERAGE(S_plus!BW$2:'S_plus'!BW99)</f>
        <v>101.30237247892239</v>
      </c>
      <c r="BQ99">
        <f>AVERAGE(S_plus!BX$2:'S_plus'!BX99)</f>
        <v>79.979850796647938</v>
      </c>
      <c r="BR99">
        <f>AVERAGE(S_plus!BY$2:'S_plus'!BY99)</f>
        <v>95.963367099476557</v>
      </c>
      <c r="BS99">
        <f>AVERAGE(S_plus!BZ$2:'S_plus'!BZ99)</f>
        <v>110.82933025138978</v>
      </c>
      <c r="BT99">
        <f>AVERAGE(S_plus!CA$2:'S_plus'!CA99)</f>
        <v>94.278759271387798</v>
      </c>
      <c r="BU99">
        <f>AVERAGE(S_plus!CB$2:'S_plus'!CB99)</f>
        <v>98.61957147023368</v>
      </c>
      <c r="BV99">
        <f>AVERAGE(S_plus!CC$2:'S_plus'!CC99)</f>
        <v>85.526480212213215</v>
      </c>
      <c r="BW99">
        <f>AVERAGE(S_plus!CD$2:'S_plus'!CD99)</f>
        <v>100.35154853080405</v>
      </c>
      <c r="BX99">
        <f>AVERAGE(S_plus!CE$2:'S_plus'!CE99)</f>
        <v>92.111244776547935</v>
      </c>
      <c r="BY99">
        <f>AVERAGE(S_plus!CF$2:'S_plus'!CF99)</f>
        <v>85.982124096712255</v>
      </c>
      <c r="BZ99">
        <f>AVERAGE(S_plus!CG$2:'S_plus'!CG99)</f>
        <v>97.764503773012237</v>
      </c>
      <c r="CA99">
        <f>AVERAGE(S_plus!CH$2:'S_plus'!CH99)</f>
        <v>117.96871674070402</v>
      </c>
      <c r="CB99">
        <f>AVERAGE(S_plus!CI$2:'S_plus'!CI99)</f>
        <v>95.427611082727609</v>
      </c>
      <c r="CC99">
        <f>AVERAGE(S_plus!CJ$2:'S_plus'!CJ99)</f>
        <v>100.41230297350205</v>
      </c>
      <c r="CD99">
        <f>AVERAGE(S_plus!CK$2:'S_plus'!CK99)</f>
        <v>93.684258532944853</v>
      </c>
      <c r="CE99">
        <f>AVERAGE(S_plus!CL$2:'S_plus'!CL99)</f>
        <v>86.980432279971438</v>
      </c>
      <c r="CF99">
        <f>AVERAGE(S_plus!CM$2:'S_plus'!CM99)</f>
        <v>93.707523983791859</v>
      </c>
      <c r="CG99">
        <f>AVERAGE(S_plus!CN$2:'S_plus'!CN99)</f>
        <v>99.687714756146903</v>
      </c>
      <c r="CH99">
        <f>AVERAGE(S_plus!CO$2:'S_plus'!CO99)</f>
        <v>130.69436800814282</v>
      </c>
      <c r="CI99">
        <f>AVERAGE(S_plus!CP$2:'S_plus'!CP99)</f>
        <v>91.824242645951031</v>
      </c>
      <c r="CJ99">
        <f>AVERAGE(S_plus!CQ$2:'S_plus'!CQ99)</f>
        <v>97.092361654380625</v>
      </c>
      <c r="CK99">
        <f>AVERAGE(S_plus!CR$2:'S_plus'!CR99)</f>
        <v>101.43448478834284</v>
      </c>
      <c r="CL99">
        <f>AVERAGE(S_plus!CS$2:'S_plus'!CS99)</f>
        <v>101.04900656918167</v>
      </c>
      <c r="CM99">
        <f>AVERAGE(S_plus!CT$2:'S_plus'!CT99)</f>
        <v>116.58806685764897</v>
      </c>
      <c r="CN99">
        <f>AVERAGE(S_plus!CU$2:'S_plus'!CU99)</f>
        <v>106.797334288752</v>
      </c>
      <c r="CO99">
        <f>AVERAGE(S_plus!CV$2:'S_plus'!CV99)</f>
        <v>89.900237597602043</v>
      </c>
      <c r="CP99">
        <f>AVERAGE(S_plus!CW$2:'S_plus'!CW99)</f>
        <v>107.45383734414487</v>
      </c>
      <c r="CQ99">
        <f>AVERAGE(S_plus!CX$2:'S_plus'!CX99)</f>
        <v>118.63726891535309</v>
      </c>
      <c r="CR99">
        <f>AVERAGE(S_plus!CY$2:'S_plus'!CY99)</f>
        <v>109.69192236529287</v>
      </c>
      <c r="CS99">
        <f>AVERAGE(S_plus!CZ$2:'S_plus'!CZ99)</f>
        <v>108.20206839973672</v>
      </c>
      <c r="CT99">
        <f>AVERAGE(S_plus!DA$2:'S_plus'!DA99)</f>
        <v>114.3681913698714</v>
      </c>
      <c r="CU99">
        <f>AVERAGE(S_plus!DB$2:'S_plus'!DB99)</f>
        <v>84.319765717051013</v>
      </c>
      <c r="CV99">
        <f>AVERAGE(S_plus!DC$2:'S_plus'!DC99)</f>
        <v>103.79340625866024</v>
      </c>
      <c r="CW99">
        <f>AVERAGE(S_plus!DD$2:'S_plus'!DD99)</f>
        <v>95.570364122041838</v>
      </c>
      <c r="CX99">
        <f>AVERAGE(S_plus!DE$2:'S_plus'!DE99)</f>
        <v>103.5692323182367</v>
      </c>
      <c r="CY99">
        <f>AVERAGE(S_plus!DF$2:'S_plus'!DF99)</f>
        <v>86.35571163773777</v>
      </c>
      <c r="CZ99">
        <f>AVERAGE(S_plus!DG$2:'S_plus'!DG99)</f>
        <v>88.697835036400946</v>
      </c>
      <c r="DA99">
        <f>AVERAGE(S_plus!DH$2:'S_plus'!DH99)</f>
        <v>96.367481621751097</v>
      </c>
    </row>
    <row r="100" spans="5:105" x14ac:dyDescent="0.25">
      <c r="E100">
        <f>E99+Asian!dt</f>
        <v>0.98000000000000065</v>
      </c>
      <c r="F100">
        <f>AVERAGE(S_plus!M$2:'S_plus'!M100)</f>
        <v>88.011955790501005</v>
      </c>
      <c r="G100">
        <f>AVERAGE(S_plus!N$2:'S_plus'!N100)</f>
        <v>97.567419245463597</v>
      </c>
      <c r="H100">
        <f>AVERAGE(S_plus!O$2:'S_plus'!O100)</f>
        <v>105.79583650274648</v>
      </c>
      <c r="I100">
        <f>AVERAGE(S_plus!P$2:'S_plus'!P100)</f>
        <v>97.992845537499988</v>
      </c>
      <c r="J100">
        <f>AVERAGE(S_plus!Q$2:'S_plus'!Q100)</f>
        <v>79.735482376433339</v>
      </c>
      <c r="K100">
        <f>AVERAGE(S_plus!R$2:'S_plus'!R100)</f>
        <v>95.29022678917373</v>
      </c>
      <c r="L100">
        <f>AVERAGE(S_plus!S$2:'S_plus'!S100)</f>
        <v>109.70820787733332</v>
      </c>
      <c r="M100">
        <f>AVERAGE(S_plus!T$2:'S_plus'!T100)</f>
        <v>84.653363879231293</v>
      </c>
      <c r="N100">
        <f>AVERAGE(S_plus!U$2:'S_plus'!U100)</f>
        <v>112.82828521418183</v>
      </c>
      <c r="O100">
        <f>AVERAGE(S_plus!V$2:'S_plus'!V100)</f>
        <v>113.33271958314135</v>
      </c>
      <c r="P100">
        <f>AVERAGE(S_plus!W$2:'S_plus'!W100)</f>
        <v>104.63911930713132</v>
      </c>
      <c r="Q100">
        <f>AVERAGE(S_plus!X$2:'S_plus'!X100)</f>
        <v>118.78152665618185</v>
      </c>
      <c r="R100">
        <f>AVERAGE(S_plus!Y$2:'S_plus'!Y100)</f>
        <v>92.636314601593938</v>
      </c>
      <c r="S100">
        <f>AVERAGE(S_plus!Z$2:'S_plus'!Z100)</f>
        <v>105.76202560377271</v>
      </c>
      <c r="T100">
        <f>AVERAGE(S_plus!AA$2:'S_plus'!AA100)</f>
        <v>104.16523579074035</v>
      </c>
      <c r="U100">
        <f>AVERAGE(S_plus!AB$2:'S_plus'!AB100)</f>
        <v>101.80954366569593</v>
      </c>
      <c r="V100">
        <f>AVERAGE(S_plus!AC$2:'S_plus'!AC100)</f>
        <v>87.739788875094945</v>
      </c>
      <c r="W100">
        <f>AVERAGE(S_plus!AD$2:'S_plus'!AD100)</f>
        <v>97.417422700842437</v>
      </c>
      <c r="X100">
        <f>AVERAGE(S_plus!AE$2:'S_plus'!AE100)</f>
        <v>125.94842674226767</v>
      </c>
      <c r="Y100">
        <f>AVERAGE(S_plus!AF$2:'S_plus'!AF100)</f>
        <v>115.63750852234452</v>
      </c>
      <c r="Z100">
        <f>AVERAGE(S_plus!AG$2:'S_plus'!AG100)</f>
        <v>109.2830772117394</v>
      </c>
      <c r="AA100">
        <f>AVERAGE(S_plus!AH$2:'S_plus'!AH100)</f>
        <v>109.45257602512835</v>
      </c>
      <c r="AB100">
        <f>AVERAGE(S_plus!AI$2:'S_plus'!AI100)</f>
        <v>86.892896179557582</v>
      </c>
      <c r="AC100">
        <f>AVERAGE(S_plus!AJ$2:'S_plus'!AJ100)</f>
        <v>91.622366049170751</v>
      </c>
      <c r="AD100">
        <f>AVERAGE(S_plus!AK$2:'S_plus'!AK100)</f>
        <v>108.00023325124953</v>
      </c>
      <c r="AE100">
        <f>AVERAGE(S_plus!AL$2:'S_plus'!AL100)</f>
        <v>109.14892950803332</v>
      </c>
      <c r="AF100">
        <f>AVERAGE(S_plus!AM$2:'S_plus'!AM100)</f>
        <v>96.689602477608105</v>
      </c>
      <c r="AG100">
        <f>AVERAGE(S_plus!AN$2:'S_plus'!AN100)</f>
        <v>109.00197676281009</v>
      </c>
      <c r="AH100">
        <f>AVERAGE(S_plus!AO$2:'S_plus'!AO100)</f>
        <v>100.62468126159997</v>
      </c>
      <c r="AI100">
        <f>AVERAGE(S_plus!AP$2:'S_plus'!AP100)</f>
        <v>92.076513328662585</v>
      </c>
      <c r="AJ100">
        <f>AVERAGE(S_plus!AQ$2:'S_plus'!AQ100)</f>
        <v>108.01037519684444</v>
      </c>
      <c r="AK100">
        <f>AVERAGE(S_plus!AR$2:'S_plus'!AR100)</f>
        <v>99.829172646188894</v>
      </c>
      <c r="AL100">
        <f>AVERAGE(S_plus!AS$2:'S_plus'!AS100)</f>
        <v>120.86227075819498</v>
      </c>
      <c r="AM100">
        <f>AVERAGE(S_plus!AT$2:'S_plus'!AT100)</f>
        <v>93.831700844264674</v>
      </c>
      <c r="AN100">
        <f>AVERAGE(S_plus!AU$2:'S_plus'!AU100)</f>
        <v>107.28123086500405</v>
      </c>
      <c r="AO100">
        <f>AVERAGE(S_plus!AV$2:'S_plus'!AV100)</f>
        <v>111.64079501967066</v>
      </c>
      <c r="AP100">
        <f>AVERAGE(S_plus!AW$2:'S_plus'!AW100)</f>
        <v>115.05716746515151</v>
      </c>
      <c r="AQ100">
        <f>AVERAGE(S_plus!AX$2:'S_plus'!AX100)</f>
        <v>97.829856139806083</v>
      </c>
      <c r="AR100">
        <f>AVERAGE(S_plus!AY$2:'S_plus'!AY100)</f>
        <v>96.051287909690942</v>
      </c>
      <c r="AS100">
        <f>AVERAGE(S_plus!AZ$2:'S_plus'!AZ100)</f>
        <v>120.85756881554542</v>
      </c>
      <c r="AT100">
        <f>AVERAGE(S_plus!BA$2:'S_plus'!BA100)</f>
        <v>116.45156561513132</v>
      </c>
      <c r="AU100">
        <f>AVERAGE(S_plus!BB$2:'S_plus'!BB100)</f>
        <v>105.74614687592727</v>
      </c>
      <c r="AV100">
        <f>AVERAGE(S_plus!BC$2:'S_plus'!BC100)</f>
        <v>112.45555058917377</v>
      </c>
      <c r="AW100">
        <f>AVERAGE(S_plus!BD$2:'S_plus'!BD100)</f>
        <v>109.20382271449795</v>
      </c>
      <c r="AX100">
        <f>AVERAGE(S_plus!BE$2:'S_plus'!BE100)</f>
        <v>95.142972319209136</v>
      </c>
      <c r="AY100">
        <f>AVERAGE(S_plus!BF$2:'S_plus'!BF100)</f>
        <v>88.36538022389901</v>
      </c>
      <c r="AZ100">
        <f>AVERAGE(S_plus!BG$2:'S_plus'!BG100)</f>
        <v>91.651732534665626</v>
      </c>
      <c r="BA100">
        <f>AVERAGE(S_plus!BH$2:'S_plus'!BH100)</f>
        <v>104.71472868975252</v>
      </c>
      <c r="BB100">
        <f>AVERAGE(S_plus!BI$2:'S_plus'!BI100)</f>
        <v>106.85217607791617</v>
      </c>
      <c r="BC100">
        <f>AVERAGE(S_plus!BJ$2:'S_plus'!BJ100)</f>
        <v>107.51075417583637</v>
      </c>
      <c r="BD100">
        <f>AVERAGE(S_plus!BK$2:'S_plus'!BK100)</f>
        <v>99.790234363710113</v>
      </c>
      <c r="BE100">
        <f>AVERAGE(S_plus!BL$2:'S_plus'!BL100)</f>
        <v>86.216951385637358</v>
      </c>
      <c r="BF100">
        <f>AVERAGE(S_plus!BM$2:'S_plus'!BM100)</f>
        <v>105.02283170281413</v>
      </c>
      <c r="BG100">
        <f>AVERAGE(S_plus!BN$2:'S_plus'!BN100)</f>
        <v>106.75241129789596</v>
      </c>
      <c r="BH100">
        <f>AVERAGE(S_plus!BO$2:'S_plus'!BO100)</f>
        <v>87.103465154594971</v>
      </c>
      <c r="BI100">
        <f>AVERAGE(S_plus!BP$2:'S_plus'!BP100)</f>
        <v>85.31056181201518</v>
      </c>
      <c r="BJ100">
        <f>AVERAGE(S_plus!BQ$2:'S_plus'!BQ100)</f>
        <v>92.906327065337365</v>
      </c>
      <c r="BK100">
        <f>AVERAGE(S_plus!BR$2:'S_plus'!BR100)</f>
        <v>109.68285911359999</v>
      </c>
      <c r="BL100">
        <f>AVERAGE(S_plus!BS$2:'S_plus'!BS100)</f>
        <v>110.65207484343738</v>
      </c>
      <c r="BM100">
        <f>AVERAGE(S_plus!BT$2:'S_plus'!BT100)</f>
        <v>114.72506515358184</v>
      </c>
      <c r="BN100">
        <f>AVERAGE(S_plus!BU$2:'S_plus'!BU100)</f>
        <v>98.13777662423027</v>
      </c>
      <c r="BO100">
        <f>AVERAGE(S_plus!BV$2:'S_plus'!BV100)</f>
        <v>92.873974150156542</v>
      </c>
      <c r="BP100">
        <f>AVERAGE(S_plus!BW$2:'S_plus'!BW100)</f>
        <v>101.5851029650141</v>
      </c>
      <c r="BQ100">
        <f>AVERAGE(S_plus!BX$2:'S_plus'!BX100)</f>
        <v>79.960283498090902</v>
      </c>
      <c r="BR100">
        <f>AVERAGE(S_plus!BY$2:'S_plus'!BY100)</f>
        <v>95.811415635224265</v>
      </c>
      <c r="BS100">
        <f>AVERAGE(S_plus!BZ$2:'S_plus'!BZ100)</f>
        <v>111.20089958992119</v>
      </c>
      <c r="BT100">
        <f>AVERAGE(S_plus!CA$2:'S_plus'!CA100)</f>
        <v>94.172711840669734</v>
      </c>
      <c r="BU100">
        <f>AVERAGE(S_plus!CB$2:'S_plus'!CB100)</f>
        <v>98.466977229115159</v>
      </c>
      <c r="BV100">
        <f>AVERAGE(S_plus!CC$2:'S_plus'!CC100)</f>
        <v>85.433512329369648</v>
      </c>
      <c r="BW100">
        <f>AVERAGE(S_plus!CD$2:'S_plus'!CD100)</f>
        <v>100.4231395504727</v>
      </c>
      <c r="BX100">
        <f>AVERAGE(S_plus!CE$2:'S_plus'!CE100)</f>
        <v>91.997656710707048</v>
      </c>
      <c r="BY100">
        <f>AVERAGE(S_plus!CF$2:'S_plus'!CF100)</f>
        <v>85.866856169740416</v>
      </c>
      <c r="BZ100">
        <f>AVERAGE(S_plus!CG$2:'S_plus'!CG100)</f>
        <v>97.927223824931303</v>
      </c>
      <c r="CA100">
        <f>AVERAGE(S_plus!CH$2:'S_plus'!CH100)</f>
        <v>117.99628576870701</v>
      </c>
      <c r="CB100">
        <f>AVERAGE(S_plus!CI$2:'S_plus'!CI100)</f>
        <v>95.306966302957633</v>
      </c>
      <c r="CC100">
        <f>AVERAGE(S_plus!CJ$2:'S_plus'!CJ100)</f>
        <v>100.32614559273435</v>
      </c>
      <c r="CD100">
        <f>AVERAGE(S_plus!CK$2:'S_plus'!CK100)</f>
        <v>93.627872156451474</v>
      </c>
      <c r="CE100">
        <f>AVERAGE(S_plus!CL$2:'S_plus'!CL100)</f>
        <v>86.959715524448498</v>
      </c>
      <c r="CF100">
        <f>AVERAGE(S_plus!CM$2:'S_plus'!CM100)</f>
        <v>93.716365628246493</v>
      </c>
      <c r="CG100">
        <f>AVERAGE(S_plus!CN$2:'S_plus'!CN100)</f>
        <v>99.739143244448456</v>
      </c>
      <c r="CH100">
        <f>AVERAGE(S_plus!CO$2:'S_plus'!CO100)</f>
        <v>130.97764003115148</v>
      </c>
      <c r="CI100">
        <f>AVERAGE(S_plus!CP$2:'S_plus'!CP100)</f>
        <v>91.769521319373752</v>
      </c>
      <c r="CJ100">
        <f>AVERAGE(S_plus!CQ$2:'S_plus'!CQ100)</f>
        <v>97.046750938019215</v>
      </c>
      <c r="CK100">
        <f>AVERAGE(S_plus!CR$2:'S_plus'!CR100)</f>
        <v>101.45361614192525</v>
      </c>
      <c r="CL100">
        <f>AVERAGE(S_plus!CS$2:'S_plus'!CS100)</f>
        <v>100.90028112877984</v>
      </c>
      <c r="CM100">
        <f>AVERAGE(S_plus!CT$2:'S_plus'!CT100)</f>
        <v>116.62037588381413</v>
      </c>
      <c r="CN100">
        <f>AVERAGE(S_plus!CU$2:'S_plus'!CU100)</f>
        <v>107.03052853939086</v>
      </c>
      <c r="CO100">
        <f>AVERAGE(S_plus!CV$2:'S_plus'!CV100)</f>
        <v>89.86286503862425</v>
      </c>
      <c r="CP100">
        <f>AVERAGE(S_plus!CW$2:'S_plus'!CW100)</f>
        <v>107.42058917833532</v>
      </c>
      <c r="CQ100">
        <f>AVERAGE(S_plus!CX$2:'S_plus'!CX100)</f>
        <v>118.65543171905659</v>
      </c>
      <c r="CR100">
        <f>AVERAGE(S_plus!CY$2:'S_plus'!CY100)</f>
        <v>109.64384256084547</v>
      </c>
      <c r="CS100">
        <f>AVERAGE(S_plus!CZ$2:'S_plus'!CZ100)</f>
        <v>108.30613847349696</v>
      </c>
      <c r="CT100">
        <f>AVERAGE(S_plus!DA$2:'S_plus'!DA100)</f>
        <v>114.25461545085248</v>
      </c>
      <c r="CU100">
        <f>AVERAGE(S_plus!DB$2:'S_plus'!DB100)</f>
        <v>84.200921714351495</v>
      </c>
      <c r="CV100">
        <f>AVERAGE(S_plus!DC$2:'S_plus'!DC100)</f>
        <v>103.89158350615861</v>
      </c>
      <c r="CW100">
        <f>AVERAGE(S_plus!DD$2:'S_plus'!DD100)</f>
        <v>95.638225173304022</v>
      </c>
      <c r="CX100">
        <f>AVERAGE(S_plus!DE$2:'S_plus'!DE100)</f>
        <v>103.57534327571916</v>
      </c>
      <c r="CY100">
        <f>AVERAGE(S_plus!DF$2:'S_plus'!DF100)</f>
        <v>86.32162410429396</v>
      </c>
      <c r="CZ100">
        <f>AVERAGE(S_plus!DG$2:'S_plus'!DG100)</f>
        <v>88.685918005075692</v>
      </c>
      <c r="DA100">
        <f>AVERAGE(S_plus!DH$2:'S_plus'!DH100)</f>
        <v>96.210345157438454</v>
      </c>
    </row>
    <row r="101" spans="5:105" x14ac:dyDescent="0.25">
      <c r="E101">
        <f>E100+Asian!dt</f>
        <v>0.99000000000000066</v>
      </c>
      <c r="F101">
        <f>AVERAGE(S_plus!M$2:'S_plus'!M101)</f>
        <v>87.914659412229</v>
      </c>
      <c r="G101">
        <f>AVERAGE(S_plus!N$2:'S_plus'!N101)</f>
        <v>97.645461460218954</v>
      </c>
      <c r="H101">
        <f>AVERAGE(S_plus!O$2:'S_plus'!O101)</f>
        <v>105.78135336176902</v>
      </c>
      <c r="I101">
        <f>AVERAGE(S_plus!P$2:'S_plus'!P101)</f>
        <v>97.930076863188987</v>
      </c>
      <c r="J101">
        <f>AVERAGE(S_plus!Q$2:'S_plus'!Q101)</f>
        <v>79.599786645914008</v>
      </c>
      <c r="K101">
        <f>AVERAGE(S_plus!R$2:'S_plus'!R101)</f>
        <v>95.295449539950994</v>
      </c>
      <c r="L101">
        <f>AVERAGE(S_plus!S$2:'S_plus'!S101)</f>
        <v>109.58667529837099</v>
      </c>
      <c r="M101">
        <f>AVERAGE(S_plus!T$2:'S_plus'!T101)</f>
        <v>84.782111419663977</v>
      </c>
      <c r="N101">
        <f>AVERAGE(S_plus!U$2:'S_plus'!U101)</f>
        <v>112.82413775563002</v>
      </c>
      <c r="O101">
        <f>AVERAGE(S_plus!V$2:'S_plus'!V101)</f>
        <v>113.57100779873994</v>
      </c>
      <c r="P101">
        <f>AVERAGE(S_plus!W$2:'S_plus'!W101)</f>
        <v>104.52954228805602</v>
      </c>
      <c r="Q101">
        <f>AVERAGE(S_plus!X$2:'S_plus'!X101)</f>
        <v>118.93676915052004</v>
      </c>
      <c r="R101">
        <f>AVERAGE(S_plus!Y$2:'S_plus'!Y101)</f>
        <v>92.628284177941993</v>
      </c>
      <c r="S101">
        <f>AVERAGE(S_plus!Z$2:'S_plus'!Z101)</f>
        <v>105.65475457812599</v>
      </c>
      <c r="T101">
        <f>AVERAGE(S_plus!AA$2:'S_plus'!AA101)</f>
        <v>104.07140133633294</v>
      </c>
      <c r="U101">
        <f>AVERAGE(S_plus!AB$2:'S_plus'!AB101)</f>
        <v>101.78210073043196</v>
      </c>
      <c r="V101">
        <f>AVERAGE(S_plus!AC$2:'S_plus'!AC101)</f>
        <v>87.683554101917991</v>
      </c>
      <c r="W101">
        <f>AVERAGE(S_plus!AD$2:'S_plus'!AD101)</f>
        <v>97.338815737291</v>
      </c>
      <c r="X101">
        <f>AVERAGE(S_plus!AE$2:'S_plus'!AE101)</f>
        <v>125.91159851125499</v>
      </c>
      <c r="Y101">
        <f>AVERAGE(S_plus!AF$2:'S_plus'!AF101)</f>
        <v>115.79617160683108</v>
      </c>
      <c r="Z101">
        <f>AVERAGE(S_plus!AG$2:'S_plus'!AG101)</f>
        <v>109.354716238202</v>
      </c>
      <c r="AA101">
        <f>AVERAGE(S_plus!AH$2:'S_plus'!AH101)</f>
        <v>109.46794980603707</v>
      </c>
      <c r="AB101">
        <f>AVERAGE(S_plus!AI$2:'S_plus'!AI101)</f>
        <v>86.826931801984998</v>
      </c>
      <c r="AC101">
        <f>AVERAGE(S_plus!AJ$2:'S_plus'!AJ101)</f>
        <v>91.615493323031046</v>
      </c>
      <c r="AD101">
        <f>AVERAGE(S_plus!AK$2:'S_plus'!AK101)</f>
        <v>107.81678777781703</v>
      </c>
      <c r="AE101">
        <f>AVERAGE(S_plus!AL$2:'S_plus'!AL101)</f>
        <v>109.39593835994299</v>
      </c>
      <c r="AF101">
        <f>AVERAGE(S_plus!AM$2:'S_plus'!AM101)</f>
        <v>96.803478805702028</v>
      </c>
      <c r="AG101">
        <f>AVERAGE(S_plus!AN$2:'S_plus'!AN101)</f>
        <v>108.808721651369</v>
      </c>
      <c r="AH101">
        <f>AVERAGE(S_plus!AO$2:'S_plus'!AO101)</f>
        <v>100.71335009815397</v>
      </c>
      <c r="AI101">
        <f>AVERAGE(S_plus!AP$2:'S_plus'!AP101)</f>
        <v>92.071503016382962</v>
      </c>
      <c r="AJ101">
        <f>AVERAGE(S_plus!AQ$2:'S_plus'!AQ101)</f>
        <v>108.022210822166</v>
      </c>
      <c r="AK101">
        <f>AVERAGE(S_plus!AR$2:'S_plus'!AR101)</f>
        <v>99.763037256427012</v>
      </c>
      <c r="AL101">
        <f>AVERAGE(S_plus!AS$2:'S_plus'!AS101)</f>
        <v>120.89337170090303</v>
      </c>
      <c r="AM101">
        <f>AVERAGE(S_plus!AT$2:'S_plus'!AT101)</f>
        <v>93.874960198204022</v>
      </c>
      <c r="AN101">
        <f>AVERAGE(S_plus!AU$2:'S_plus'!AU101)</f>
        <v>107.46588436188399</v>
      </c>
      <c r="AO101">
        <f>AVERAGE(S_plus!AV$2:'S_plus'!AV101)</f>
        <v>111.71837521275397</v>
      </c>
      <c r="AP101">
        <f>AVERAGE(S_plus!AW$2:'S_plus'!AW101)</f>
        <v>115.05531123154</v>
      </c>
      <c r="AQ101">
        <f>AVERAGE(S_plus!AX$2:'S_plus'!AX101)</f>
        <v>97.749944216742023</v>
      </c>
      <c r="AR101">
        <f>AVERAGE(S_plus!AY$2:'S_plus'!AY101)</f>
        <v>95.988293772519029</v>
      </c>
      <c r="AS101">
        <f>AVERAGE(S_plus!AZ$2:'S_plus'!AZ101)</f>
        <v>120.97579159776997</v>
      </c>
      <c r="AT101">
        <f>AVERAGE(S_plus!BA$2:'S_plus'!BA101)</f>
        <v>116.45999238590001</v>
      </c>
      <c r="AU101">
        <f>AVERAGE(S_plus!BB$2:'S_plus'!BB101)</f>
        <v>105.74414680202798</v>
      </c>
      <c r="AV101">
        <f>AVERAGE(S_plus!BC$2:'S_plus'!BC101)</f>
        <v>112.48659159213203</v>
      </c>
      <c r="AW101">
        <f>AVERAGE(S_plus!BD$2:'S_plus'!BD101)</f>
        <v>109.32995093579297</v>
      </c>
      <c r="AX101">
        <f>AVERAGE(S_plus!BE$2:'S_plus'!BE101)</f>
        <v>95.148518751930041</v>
      </c>
      <c r="AY101">
        <f>AVERAGE(S_plus!BF$2:'S_plus'!BF101)</f>
        <v>88.318747961289034</v>
      </c>
      <c r="AZ101">
        <f>AVERAGE(S_plus!BG$2:'S_plus'!BG101)</f>
        <v>91.484237273285984</v>
      </c>
      <c r="BA101">
        <f>AVERAGE(S_plus!BH$2:'S_plus'!BH101)</f>
        <v>104.85114770804499</v>
      </c>
      <c r="BB101">
        <f>AVERAGE(S_plus!BI$2:'S_plus'!BI101)</f>
        <v>106.88227665629699</v>
      </c>
      <c r="BC101">
        <f>AVERAGE(S_plus!BJ$2:'S_plus'!BJ101)</f>
        <v>107.51425719793801</v>
      </c>
      <c r="BD101">
        <f>AVERAGE(S_plus!BK$2:'S_plus'!BK101)</f>
        <v>99.828071623163012</v>
      </c>
      <c r="BE101">
        <f>AVERAGE(S_plus!BL$2:'S_plus'!BL101)</f>
        <v>86.126348442267968</v>
      </c>
      <c r="BF101">
        <f>AVERAGE(S_plus!BM$2:'S_plus'!BM101)</f>
        <v>105.07463676250597</v>
      </c>
      <c r="BG101">
        <f>AVERAGE(S_plus!BN$2:'S_plus'!BN101)</f>
        <v>106.844136445397</v>
      </c>
      <c r="BH101">
        <f>AVERAGE(S_plus!BO$2:'S_plus'!BO101)</f>
        <v>87.084926545911017</v>
      </c>
      <c r="BI101">
        <f>AVERAGE(S_plus!BP$2:'S_plus'!BP101)</f>
        <v>85.179900935035036</v>
      </c>
      <c r="BJ101">
        <f>AVERAGE(S_plus!BQ$2:'S_plus'!BQ101)</f>
        <v>92.94067493388998</v>
      </c>
      <c r="BK101">
        <f>AVERAGE(S_plus!BR$2:'S_plus'!BR101)</f>
        <v>109.783770218334</v>
      </c>
      <c r="BL101">
        <f>AVERAGE(S_plus!BS$2:'S_plus'!BS101)</f>
        <v>110.760688308083</v>
      </c>
      <c r="BM101">
        <f>AVERAGE(S_plus!BT$2:'S_plus'!BT101)</f>
        <v>114.88374759957601</v>
      </c>
      <c r="BN101">
        <f>AVERAGE(S_plus!BU$2:'S_plus'!BU101)</f>
        <v>98.028663786873963</v>
      </c>
      <c r="BO101">
        <f>AVERAGE(S_plus!BV$2:'S_plus'!BV101)</f>
        <v>93.04178847958498</v>
      </c>
      <c r="BP101">
        <f>AVERAGE(S_plus!BW$2:'S_plus'!BW101)</f>
        <v>101.85175715759395</v>
      </c>
      <c r="BQ101">
        <f>AVERAGE(S_plus!BX$2:'S_plus'!BX101)</f>
        <v>79.936212017243989</v>
      </c>
      <c r="BR101">
        <f>AVERAGE(S_plus!BY$2:'S_plus'!BY101)</f>
        <v>95.676026229442016</v>
      </c>
      <c r="BS101">
        <f>AVERAGE(S_plus!BZ$2:'S_plus'!BZ101)</f>
        <v>111.57162741943198</v>
      </c>
      <c r="BT101">
        <f>AVERAGE(S_plus!CA$2:'S_plus'!CA101)</f>
        <v>94.082161939310041</v>
      </c>
      <c r="BU101">
        <f>AVERAGE(S_plus!CB$2:'S_plus'!CB101)</f>
        <v>98.344636013208998</v>
      </c>
      <c r="BV101">
        <f>AVERAGE(S_plus!CC$2:'S_plus'!CC101)</f>
        <v>85.359496642694936</v>
      </c>
      <c r="BW101">
        <f>AVERAGE(S_plus!CD$2:'S_plus'!CD101)</f>
        <v>100.47162652524797</v>
      </c>
      <c r="BX101">
        <f>AVERAGE(S_plus!CE$2:'S_plus'!CE101)</f>
        <v>91.893926635881982</v>
      </c>
      <c r="BY101">
        <f>AVERAGE(S_plus!CF$2:'S_plus'!CF101)</f>
        <v>85.747024405660014</v>
      </c>
      <c r="BZ101">
        <f>AVERAGE(S_plus!CG$2:'S_plus'!CG101)</f>
        <v>98.044122652301994</v>
      </c>
      <c r="CA101">
        <f>AVERAGE(S_plus!CH$2:'S_plus'!CH101)</f>
        <v>118.02598286765995</v>
      </c>
      <c r="CB101">
        <f>AVERAGE(S_plus!CI$2:'S_plus'!CI101)</f>
        <v>95.196937669699054</v>
      </c>
      <c r="CC101">
        <f>AVERAGE(S_plus!CJ$2:'S_plus'!CJ101)</f>
        <v>100.24170373132101</v>
      </c>
      <c r="CD101">
        <f>AVERAGE(S_plus!CK$2:'S_plus'!CK101)</f>
        <v>93.576949391852963</v>
      </c>
      <c r="CE101">
        <f>AVERAGE(S_plus!CL$2:'S_plus'!CL101)</f>
        <v>86.92425519852101</v>
      </c>
      <c r="CF101">
        <f>AVERAGE(S_plus!CM$2:'S_plus'!CM101)</f>
        <v>93.749963108837036</v>
      </c>
      <c r="CG101">
        <f>AVERAGE(S_plus!CN$2:'S_plus'!CN101)</f>
        <v>99.831869299943975</v>
      </c>
      <c r="CH101">
        <f>AVERAGE(S_plus!CO$2:'S_plus'!CO101)</f>
        <v>131.30683156860997</v>
      </c>
      <c r="CI101">
        <f>AVERAGE(S_plus!CP$2:'S_plus'!CP101)</f>
        <v>91.734414583753022</v>
      </c>
      <c r="CJ101">
        <f>AVERAGE(S_plus!CQ$2:'S_plus'!CQ101)</f>
        <v>97.035113428951007</v>
      </c>
      <c r="CK101">
        <f>AVERAGE(S_plus!CR$2:'S_plus'!CR101)</f>
        <v>101.479377834766</v>
      </c>
      <c r="CL101">
        <f>AVERAGE(S_plus!CS$2:'S_plus'!CS101)</f>
        <v>100.74985055682004</v>
      </c>
      <c r="CM101">
        <f>AVERAGE(S_plus!CT$2:'S_plus'!CT101)</f>
        <v>116.66035070685599</v>
      </c>
      <c r="CN101">
        <f>AVERAGE(S_plus!CU$2:'S_plus'!CU101)</f>
        <v>107.21974146241695</v>
      </c>
      <c r="CO101">
        <f>AVERAGE(S_plus!CV$2:'S_plus'!CV101)</f>
        <v>89.810216369144996</v>
      </c>
      <c r="CP101">
        <f>AVERAGE(S_plus!CW$2:'S_plus'!CW101)</f>
        <v>107.40386199702198</v>
      </c>
      <c r="CQ101">
        <f>AVERAGE(S_plus!CX$2:'S_plus'!CX101)</f>
        <v>118.70664585086602</v>
      </c>
      <c r="CR101">
        <f>AVERAGE(S_plus!CY$2:'S_plus'!CY101)</f>
        <v>109.57056785821702</v>
      </c>
      <c r="CS101">
        <f>AVERAGE(S_plus!CZ$2:'S_plus'!CZ101)</f>
        <v>108.42288785489198</v>
      </c>
      <c r="CT101">
        <f>AVERAGE(S_plus!DA$2:'S_plus'!DA101)</f>
        <v>114.12704378174396</v>
      </c>
      <c r="CU101">
        <f>AVERAGE(S_plus!DB$2:'S_plus'!DB101)</f>
        <v>84.071930829213983</v>
      </c>
      <c r="CV101">
        <f>AVERAGE(S_plus!DC$2:'S_plus'!DC101)</f>
        <v>103.99640471933702</v>
      </c>
      <c r="CW101">
        <f>AVERAGE(S_plus!DD$2:'S_plus'!DD101)</f>
        <v>95.680529112420984</v>
      </c>
      <c r="CX101">
        <f>AVERAGE(S_plus!DE$2:'S_plus'!DE101)</f>
        <v>103.57902101826197</v>
      </c>
      <c r="CY101">
        <f>AVERAGE(S_plus!DF$2:'S_plus'!DF101)</f>
        <v>86.287400070152017</v>
      </c>
      <c r="CZ101">
        <f>AVERAGE(S_plus!DG$2:'S_plus'!DG101)</f>
        <v>88.683398261847927</v>
      </c>
      <c r="DA101">
        <f>AVERAGE(S_plus!DH$2:'S_plus'!DH101)</f>
        <v>96.030664128997074</v>
      </c>
    </row>
    <row r="102" spans="5:105" x14ac:dyDescent="0.25">
      <c r="E102">
        <f>E101+Asian!dt</f>
        <v>1.0000000000000007</v>
      </c>
      <c r="F102">
        <f>AVERAGE(S_plus!M$2:'S_plus'!M102)</f>
        <v>87.83418216702276</v>
      </c>
      <c r="G102">
        <f>AVERAGE(S_plus!N$2:'S_plus'!N102)</f>
        <v>97.760492994959364</v>
      </c>
      <c r="H102">
        <f>AVERAGE(S_plus!O$2:'S_plus'!O102)</f>
        <v>105.74472147532576</v>
      </c>
      <c r="I102">
        <f>AVERAGE(S_plus!P$2:'S_plus'!P102)</f>
        <v>97.861606200439596</v>
      </c>
      <c r="J102">
        <f>AVERAGE(S_plus!Q$2:'S_plus'!Q102)</f>
        <v>79.468467355100017</v>
      </c>
      <c r="K102">
        <f>AVERAGE(S_plus!R$2:'S_plus'!R102)</f>
        <v>95.327409905197015</v>
      </c>
      <c r="L102">
        <f>AVERAGE(S_plus!S$2:'S_plus'!S102)</f>
        <v>109.46614957929206</v>
      </c>
      <c r="M102">
        <f>AVERAGE(S_plus!T$2:'S_plus'!T102)</f>
        <v>84.920596660772247</v>
      </c>
      <c r="N102">
        <f>AVERAGE(S_plus!U$2:'S_plus'!U102)</f>
        <v>112.80819424066338</v>
      </c>
      <c r="O102">
        <f>AVERAGE(S_plus!V$2:'S_plus'!V102)</f>
        <v>113.83063930860389</v>
      </c>
      <c r="P102">
        <f>AVERAGE(S_plus!W$2:'S_plus'!W102)</f>
        <v>104.42863543724457</v>
      </c>
      <c r="Q102">
        <f>AVERAGE(S_plus!X$2:'S_plus'!X102)</f>
        <v>119.07272427581192</v>
      </c>
      <c r="R102">
        <f>AVERAGE(S_plus!Y$2:'S_plus'!Y102)</f>
        <v>92.60008320314455</v>
      </c>
      <c r="S102">
        <f>AVERAGE(S_plus!Z$2:'S_plus'!Z102)</f>
        <v>105.50870295570098</v>
      </c>
      <c r="T102">
        <f>AVERAGE(S_plus!AA$2:'S_plus'!AA102)</f>
        <v>103.95840643394153</v>
      </c>
      <c r="U102">
        <f>AVERAGE(S_plus!AB$2:'S_plus'!AB102)</f>
        <v>101.7529843177346</v>
      </c>
      <c r="V102">
        <f>AVERAGE(S_plus!AC$2:'S_plus'!AC102)</f>
        <v>87.644460734236631</v>
      </c>
      <c r="W102">
        <f>AVERAGE(S_plus!AD$2:'S_plus'!AD102)</f>
        <v>97.241693590735636</v>
      </c>
      <c r="X102">
        <f>AVERAGE(S_plus!AE$2:'S_plus'!AE102)</f>
        <v>125.89281345127227</v>
      </c>
      <c r="Y102">
        <f>AVERAGE(S_plus!AF$2:'S_plus'!AF102)</f>
        <v>115.96568465256543</v>
      </c>
      <c r="Z102">
        <f>AVERAGE(S_plus!AG$2:'S_plus'!AG102)</f>
        <v>109.41271140506139</v>
      </c>
      <c r="AA102">
        <f>AVERAGE(S_plus!AH$2:'S_plus'!AH102)</f>
        <v>109.44831990248225</v>
      </c>
      <c r="AB102">
        <f>AVERAGE(S_plus!AI$2:'S_plus'!AI102)</f>
        <v>86.784088841520798</v>
      </c>
      <c r="AC102">
        <f>AVERAGE(S_plus!AJ$2:'S_plus'!AJ102)</f>
        <v>91.599054033264395</v>
      </c>
      <c r="AD102">
        <f>AVERAGE(S_plus!AK$2:'S_plus'!AK102)</f>
        <v>107.64138702333467</v>
      </c>
      <c r="AE102">
        <f>AVERAGE(S_plus!AL$2:'S_plus'!AL102)</f>
        <v>109.66763942117129</v>
      </c>
      <c r="AF102">
        <f>AVERAGE(S_plus!AM$2:'S_plus'!AM102)</f>
        <v>96.911142915417855</v>
      </c>
      <c r="AG102">
        <f>AVERAGE(S_plus!AN$2:'S_plus'!AN102)</f>
        <v>108.60183895908514</v>
      </c>
      <c r="AH102">
        <f>AVERAGE(S_plus!AO$2:'S_plus'!AO102)</f>
        <v>100.82326849910295</v>
      </c>
      <c r="AI102">
        <f>AVERAGE(S_plus!AP$2:'S_plus'!AP102)</f>
        <v>92.081265693623706</v>
      </c>
      <c r="AJ102">
        <f>AVERAGE(S_plus!AQ$2:'S_plus'!AQ102)</f>
        <v>108.03457395444158</v>
      </c>
      <c r="AK102">
        <f>AVERAGE(S_plus!AR$2:'S_plus'!AR102)</f>
        <v>99.663830589663377</v>
      </c>
      <c r="AL102">
        <f>AVERAGE(S_plus!AS$2:'S_plus'!AS102)</f>
        <v>120.94469551995348</v>
      </c>
      <c r="AM102">
        <f>AVERAGE(S_plus!AT$2:'S_plus'!AT102)</f>
        <v>93.916537659196067</v>
      </c>
      <c r="AN102">
        <f>AVERAGE(S_plus!AU$2:'S_plus'!AU102)</f>
        <v>107.66612314772674</v>
      </c>
      <c r="AO102">
        <f>AVERAGE(S_plus!AV$2:'S_plus'!AV102)</f>
        <v>111.78453995565738</v>
      </c>
      <c r="AP102">
        <f>AVERAGE(S_plus!AW$2:'S_plus'!AW102)</f>
        <v>115.04961931271288</v>
      </c>
      <c r="AQ102">
        <f>AVERAGE(S_plus!AX$2:'S_plus'!AX102)</f>
        <v>97.645089109248545</v>
      </c>
      <c r="AR102">
        <f>AVERAGE(S_plus!AY$2:'S_plus'!AY102)</f>
        <v>95.933726772402011</v>
      </c>
      <c r="AS102">
        <f>AVERAGE(S_plus!AZ$2:'S_plus'!AZ102)</f>
        <v>121.0833171322079</v>
      </c>
      <c r="AT102">
        <f>AVERAGE(S_plus!BA$2:'S_plus'!BA102)</f>
        <v>116.4362218649901</v>
      </c>
      <c r="AU102">
        <f>AVERAGE(S_plus!BB$2:'S_plus'!BB102)</f>
        <v>105.75278954232473</v>
      </c>
      <c r="AV102">
        <f>AVERAGE(S_plus!BC$2:'S_plus'!BC102)</f>
        <v>112.5263220699624</v>
      </c>
      <c r="AW102">
        <f>AVERAGE(S_plus!BD$2:'S_plus'!BD102)</f>
        <v>109.48531845690393</v>
      </c>
      <c r="AX102">
        <f>AVERAGE(S_plus!BE$2:'S_plus'!BE102)</f>
        <v>95.146487862963397</v>
      </c>
      <c r="AY102">
        <f>AVERAGE(S_plus!BF$2:'S_plus'!BF102)</f>
        <v>88.28348421288122</v>
      </c>
      <c r="AZ102">
        <f>AVERAGE(S_plus!BG$2:'S_plus'!BG102)</f>
        <v>91.304883951497004</v>
      </c>
      <c r="BA102">
        <f>AVERAGE(S_plus!BH$2:'S_plus'!BH102)</f>
        <v>105.03118291859901</v>
      </c>
      <c r="BB102">
        <f>AVERAGE(S_plus!BI$2:'S_plus'!BI102)</f>
        <v>106.91871234506634</v>
      </c>
      <c r="BC102">
        <f>AVERAGE(S_plus!BJ$2:'S_plus'!BJ102)</f>
        <v>107.50517292854258</v>
      </c>
      <c r="BD102">
        <f>AVERAGE(S_plus!BK$2:'S_plus'!BK102)</f>
        <v>99.859744649686149</v>
      </c>
      <c r="BE102">
        <f>AVERAGE(S_plus!BL$2:'S_plus'!BL102)</f>
        <v>86.027652762924717</v>
      </c>
      <c r="BF102">
        <f>AVERAGE(S_plus!BM$2:'S_plus'!BM102)</f>
        <v>105.10719636603562</v>
      </c>
      <c r="BG102">
        <f>AVERAGE(S_plus!BN$2:'S_plus'!BN102)</f>
        <v>106.95087738792772</v>
      </c>
      <c r="BH102">
        <f>AVERAGE(S_plus!BO$2:'S_plus'!BO102)</f>
        <v>87.044440585146546</v>
      </c>
      <c r="BI102">
        <f>AVERAGE(S_plus!BP$2:'S_plus'!BP102)</f>
        <v>85.061261853836669</v>
      </c>
      <c r="BJ102">
        <f>AVERAGE(S_plus!BQ$2:'S_plus'!BQ102)</f>
        <v>92.983269761497013</v>
      </c>
      <c r="BK102">
        <f>AVERAGE(S_plus!BR$2:'S_plus'!BR102)</f>
        <v>109.88473228714255</v>
      </c>
      <c r="BL102">
        <f>AVERAGE(S_plus!BS$2:'S_plus'!BS102)</f>
        <v>110.86930066397328</v>
      </c>
      <c r="BM102">
        <f>AVERAGE(S_plus!BT$2:'S_plus'!BT102)</f>
        <v>115.03462851432279</v>
      </c>
      <c r="BN102">
        <f>AVERAGE(S_plus!BU$2:'S_plus'!BU102)</f>
        <v>97.932608920471253</v>
      </c>
      <c r="BO102">
        <f>AVERAGE(S_plus!BV$2:'S_plus'!BV102)</f>
        <v>93.239098202688098</v>
      </c>
      <c r="BP102">
        <f>AVERAGE(S_plus!BW$2:'S_plus'!BW102)</f>
        <v>102.10028870941974</v>
      </c>
      <c r="BQ102">
        <f>AVERAGE(S_plus!BX$2:'S_plus'!BX102)</f>
        <v>79.909566584512859</v>
      </c>
      <c r="BR102">
        <f>AVERAGE(S_plus!BY$2:'S_plus'!BY102)</f>
        <v>95.544513244405948</v>
      </c>
      <c r="BS102">
        <f>AVERAGE(S_plus!BZ$2:'S_plus'!BZ102)</f>
        <v>111.93256273505145</v>
      </c>
      <c r="BT102">
        <f>AVERAGE(S_plus!CA$2:'S_plus'!CA102)</f>
        <v>93.968153465626784</v>
      </c>
      <c r="BU102">
        <f>AVERAGE(S_plus!CB$2:'S_plus'!CB102)</f>
        <v>98.214613870467318</v>
      </c>
      <c r="BV102">
        <f>AVERAGE(S_plus!CC$2:'S_plus'!CC102)</f>
        <v>85.269034512125685</v>
      </c>
      <c r="BW102">
        <f>AVERAGE(S_plus!CD$2:'S_plus'!CD102)</f>
        <v>100.538461724998</v>
      </c>
      <c r="BX102">
        <f>AVERAGE(S_plus!CE$2:'S_plus'!CE102)</f>
        <v>91.792770251416812</v>
      </c>
      <c r="BY102">
        <f>AVERAGE(S_plus!CF$2:'S_plus'!CF102)</f>
        <v>85.611160867912872</v>
      </c>
      <c r="BZ102">
        <f>AVERAGE(S_plus!CG$2:'S_plus'!CG102)</f>
        <v>98.164983129635644</v>
      </c>
      <c r="CA102">
        <f>AVERAGE(S_plus!CH$2:'S_plus'!CH102)</f>
        <v>118.10064978408906</v>
      </c>
      <c r="CB102">
        <f>AVERAGE(S_plus!CI$2:'S_plus'!CI102)</f>
        <v>95.108650369211929</v>
      </c>
      <c r="CC102">
        <f>AVERAGE(S_plus!CJ$2:'S_plus'!CJ102)</f>
        <v>100.17728433955249</v>
      </c>
      <c r="CD102">
        <f>AVERAGE(S_plus!CK$2:'S_plus'!CK102)</f>
        <v>93.50836853498808</v>
      </c>
      <c r="CE102">
        <f>AVERAGE(S_plus!CL$2:'S_plus'!CL102)</f>
        <v>86.904591880744547</v>
      </c>
      <c r="CF102">
        <f>AVERAGE(S_plus!CM$2:'S_plus'!CM102)</f>
        <v>93.728981875138643</v>
      </c>
      <c r="CG102">
        <f>AVERAGE(S_plus!CN$2:'S_plus'!CN102)</f>
        <v>99.925069900122736</v>
      </c>
      <c r="CH102">
        <f>AVERAGE(S_plus!CO$2:'S_plus'!CO102)</f>
        <v>131.67331317847521</v>
      </c>
      <c r="CI102">
        <f>AVERAGE(S_plus!CP$2:'S_plus'!CP102)</f>
        <v>91.677963146501014</v>
      </c>
      <c r="CJ102">
        <f>AVERAGE(S_plus!CQ$2:'S_plus'!CQ102)</f>
        <v>97.034384328306942</v>
      </c>
      <c r="CK102">
        <f>AVERAGE(S_plus!CR$2:'S_plus'!CR102)</f>
        <v>101.5148231896198</v>
      </c>
      <c r="CL102">
        <f>AVERAGE(S_plus!CS$2:'S_plus'!CS102)</f>
        <v>100.5775876400545</v>
      </c>
      <c r="CM102">
        <f>AVERAGE(S_plus!CT$2:'S_plus'!CT102)</f>
        <v>116.68523249938218</v>
      </c>
      <c r="CN102">
        <f>AVERAGE(S_plus!CU$2:'S_plus'!CU102)</f>
        <v>107.41384311775936</v>
      </c>
      <c r="CO102">
        <f>AVERAGE(S_plus!CV$2:'S_plus'!CV102)</f>
        <v>89.755118090854467</v>
      </c>
      <c r="CP102">
        <f>AVERAGE(S_plus!CW$2:'S_plus'!CW102)</f>
        <v>107.3689203324079</v>
      </c>
      <c r="CQ102">
        <f>AVERAGE(S_plus!CX$2:'S_plus'!CX102)</f>
        <v>118.78097239667923</v>
      </c>
      <c r="CR102">
        <f>AVERAGE(S_plus!CY$2:'S_plus'!CY102)</f>
        <v>109.48752724570001</v>
      </c>
      <c r="CS102">
        <f>AVERAGE(S_plus!CZ$2:'S_plus'!CZ102)</f>
        <v>108.52301043647721</v>
      </c>
      <c r="CT102">
        <f>AVERAGE(S_plus!DA$2:'S_plus'!DA102)</f>
        <v>114.02619007689502</v>
      </c>
      <c r="CU102">
        <f>AVERAGE(S_plus!DB$2:'S_plus'!DB102)</f>
        <v>83.923899055541554</v>
      </c>
      <c r="CV102">
        <f>AVERAGE(S_plus!DC$2:'S_plus'!DC102)</f>
        <v>104.10891060767031</v>
      </c>
      <c r="CW102">
        <f>AVERAGE(S_plus!DD$2:'S_plus'!DD102)</f>
        <v>95.744252005228688</v>
      </c>
      <c r="CX102">
        <f>AVERAGE(S_plus!DE$2:'S_plus'!DE102)</f>
        <v>103.57676277115047</v>
      </c>
      <c r="CY102">
        <f>AVERAGE(S_plus!DF$2:'S_plus'!DF102)</f>
        <v>86.244912781447539</v>
      </c>
      <c r="CZ102">
        <f>AVERAGE(S_plus!DG$2:'S_plus'!DG102)</f>
        <v>88.674969911840506</v>
      </c>
      <c r="DA102">
        <f>AVERAGE(S_plus!DH$2:'S_plus'!DH102)</f>
        <v>95.867144444023836</v>
      </c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H102"/>
  <sheetViews>
    <sheetView tabSelected="1" topLeftCell="B1" zoomScaleNormal="100" workbookViewId="0">
      <selection activeCell="J6" sqref="J6"/>
    </sheetView>
  </sheetViews>
  <sheetFormatPr defaultRowHeight="15" x14ac:dyDescent="0.25"/>
  <cols>
    <col min="1" max="1" width="11.5703125" bestFit="1" customWidth="1"/>
    <col min="2" max="2" width="10.5703125" customWidth="1"/>
    <col min="3" max="5" width="10.5703125" bestFit="1" customWidth="1"/>
    <col min="6" max="7" width="10.5703125" customWidth="1"/>
    <col min="13" max="13" width="10.5703125" bestFit="1" customWidth="1"/>
  </cols>
  <sheetData>
    <row r="1" spans="1:112" x14ac:dyDescent="0.25">
      <c r="A1" t="s">
        <v>332</v>
      </c>
      <c r="C1" t="s">
        <v>333</v>
      </c>
      <c r="D1" t="s">
        <v>329</v>
      </c>
      <c r="E1" t="s">
        <v>326</v>
      </c>
      <c r="F1" t="s">
        <v>325</v>
      </c>
      <c r="G1" t="s">
        <v>328</v>
      </c>
      <c r="H1" t="s">
        <v>327</v>
      </c>
      <c r="I1" t="s">
        <v>330</v>
      </c>
      <c r="J1" t="s">
        <v>331</v>
      </c>
      <c r="L1" t="s">
        <v>1</v>
      </c>
      <c r="M1" t="s">
        <v>2</v>
      </c>
      <c r="N1" t="s">
        <v>3</v>
      </c>
      <c r="O1" t="s">
        <v>4</v>
      </c>
      <c r="P1" t="s">
        <v>5</v>
      </c>
      <c r="Q1" t="s">
        <v>6</v>
      </c>
      <c r="R1" t="s">
        <v>7</v>
      </c>
      <c r="S1" t="s">
        <v>8</v>
      </c>
      <c r="T1" t="s">
        <v>9</v>
      </c>
      <c r="U1" t="s">
        <v>10</v>
      </c>
      <c r="V1" t="s">
        <v>11</v>
      </c>
      <c r="W1" t="s">
        <v>12</v>
      </c>
      <c r="X1" t="s">
        <v>13</v>
      </c>
      <c r="Y1" t="s">
        <v>14</v>
      </c>
      <c r="Z1" t="s">
        <v>15</v>
      </c>
      <c r="AA1" t="s">
        <v>16</v>
      </c>
      <c r="AB1" t="s">
        <v>17</v>
      </c>
      <c r="AC1" t="s">
        <v>18</v>
      </c>
      <c r="AD1" t="s">
        <v>19</v>
      </c>
      <c r="AE1" t="s">
        <v>20</v>
      </c>
      <c r="AF1" t="s">
        <v>21</v>
      </c>
      <c r="AG1" t="s">
        <v>22</v>
      </c>
      <c r="AH1" t="s">
        <v>23</v>
      </c>
      <c r="AI1" t="s">
        <v>24</v>
      </c>
      <c r="AJ1" t="s">
        <v>25</v>
      </c>
      <c r="AK1" t="s">
        <v>26</v>
      </c>
      <c r="AL1" t="s">
        <v>27</v>
      </c>
      <c r="AM1" t="s">
        <v>28</v>
      </c>
      <c r="AN1" t="s">
        <v>29</v>
      </c>
      <c r="AO1" t="s">
        <v>30</v>
      </c>
      <c r="AP1" t="s">
        <v>31</v>
      </c>
      <c r="AQ1" t="s">
        <v>32</v>
      </c>
      <c r="AR1" t="s">
        <v>33</v>
      </c>
      <c r="AS1" t="s">
        <v>34</v>
      </c>
      <c r="AT1" t="s">
        <v>35</v>
      </c>
      <c r="AU1" t="s">
        <v>36</v>
      </c>
      <c r="AV1" t="s">
        <v>37</v>
      </c>
      <c r="AW1" t="s">
        <v>38</v>
      </c>
      <c r="AX1" t="s">
        <v>39</v>
      </c>
      <c r="AY1" t="s">
        <v>40</v>
      </c>
      <c r="AZ1" t="s">
        <v>41</v>
      </c>
      <c r="BA1" t="s">
        <v>42</v>
      </c>
      <c r="BB1" t="s">
        <v>43</v>
      </c>
      <c r="BC1" t="s">
        <v>44</v>
      </c>
      <c r="BD1" t="s">
        <v>45</v>
      </c>
      <c r="BE1" t="s">
        <v>46</v>
      </c>
      <c r="BF1" t="s">
        <v>47</v>
      </c>
      <c r="BG1" t="s">
        <v>48</v>
      </c>
      <c r="BH1" t="s">
        <v>49</v>
      </c>
      <c r="BI1" t="s">
        <v>50</v>
      </c>
      <c r="BJ1" t="s">
        <v>51</v>
      </c>
      <c r="BK1" t="s">
        <v>52</v>
      </c>
      <c r="BL1" t="s">
        <v>53</v>
      </c>
      <c r="BM1" t="s">
        <v>54</v>
      </c>
      <c r="BN1" t="s">
        <v>55</v>
      </c>
      <c r="BO1" t="s">
        <v>56</v>
      </c>
      <c r="BP1" t="s">
        <v>57</v>
      </c>
      <c r="BQ1" t="s">
        <v>58</v>
      </c>
      <c r="BR1" t="s">
        <v>59</v>
      </c>
      <c r="BS1" t="s">
        <v>60</v>
      </c>
      <c r="BT1" t="s">
        <v>61</v>
      </c>
      <c r="BU1" t="s">
        <v>62</v>
      </c>
      <c r="BV1" t="s">
        <v>63</v>
      </c>
      <c r="BW1" t="s">
        <v>64</v>
      </c>
      <c r="BX1" t="s">
        <v>65</v>
      </c>
      <c r="BY1" t="s">
        <v>66</v>
      </c>
      <c r="BZ1" t="s">
        <v>67</v>
      </c>
      <c r="CA1" t="s">
        <v>68</v>
      </c>
      <c r="CB1" t="s">
        <v>69</v>
      </c>
      <c r="CC1" t="s">
        <v>70</v>
      </c>
      <c r="CD1" t="s">
        <v>71</v>
      </c>
      <c r="CE1" t="s">
        <v>72</v>
      </c>
      <c r="CF1" t="s">
        <v>73</v>
      </c>
      <c r="CG1" t="s">
        <v>74</v>
      </c>
      <c r="CH1" t="s">
        <v>75</v>
      </c>
      <c r="CI1" t="s">
        <v>76</v>
      </c>
      <c r="CJ1" t="s">
        <v>77</v>
      </c>
      <c r="CK1" t="s">
        <v>78</v>
      </c>
      <c r="CL1" t="s">
        <v>79</v>
      </c>
      <c r="CM1" t="s">
        <v>80</v>
      </c>
      <c r="CN1" t="s">
        <v>81</v>
      </c>
      <c r="CO1" t="s">
        <v>82</v>
      </c>
      <c r="CP1" t="s">
        <v>83</v>
      </c>
      <c r="CQ1" t="s">
        <v>84</v>
      </c>
      <c r="CR1" t="s">
        <v>85</v>
      </c>
      <c r="CS1" t="s">
        <v>86</v>
      </c>
      <c r="CT1" t="s">
        <v>87</v>
      </c>
      <c r="CU1" t="s">
        <v>88</v>
      </c>
      <c r="CV1" t="s">
        <v>89</v>
      </c>
      <c r="CW1" t="s">
        <v>90</v>
      </c>
      <c r="CX1" t="s">
        <v>91</v>
      </c>
      <c r="CY1" t="s">
        <v>92</v>
      </c>
      <c r="CZ1" t="s">
        <v>93</v>
      </c>
      <c r="DA1" t="s">
        <v>94</v>
      </c>
      <c r="DB1" t="s">
        <v>95</v>
      </c>
      <c r="DC1" t="s">
        <v>96</v>
      </c>
      <c r="DD1" t="s">
        <v>97</v>
      </c>
      <c r="DE1" t="s">
        <v>98</v>
      </c>
      <c r="DF1" t="s">
        <v>99</v>
      </c>
      <c r="DG1" t="s">
        <v>100</v>
      </c>
      <c r="DH1" t="s">
        <v>101</v>
      </c>
    </row>
    <row r="2" spans="1:112" x14ac:dyDescent="0.25">
      <c r="A2" s="8">
        <f>EXP(B2)</f>
        <v>100.00000000000004</v>
      </c>
      <c r="B2" s="9">
        <f>AVERAGE($C$2:C2)</f>
        <v>4.6051701859880918</v>
      </c>
      <c r="C2" s="9">
        <f>LN(M2)</f>
        <v>4.6051701859880918</v>
      </c>
      <c r="D2" s="6">
        <f>AVERAGE($G$2:G2)</f>
        <v>100</v>
      </c>
      <c r="E2" s="6">
        <f>AVERAGE($H$2:H2)</f>
        <v>100</v>
      </c>
      <c r="F2" s="6">
        <f>AVERAGE($M$2:M2)</f>
        <v>100</v>
      </c>
      <c r="G2" s="6">
        <f>IF(MOD(K2,10), FALSE, M2)</f>
        <v>100</v>
      </c>
      <c r="H2">
        <f>IF(MOD(K2,4), FALSE, M2)</f>
        <v>100</v>
      </c>
      <c r="I2" s="6">
        <f>F2-E2</f>
        <v>0</v>
      </c>
      <c r="J2" s="6">
        <f>F2-D2</f>
        <v>0</v>
      </c>
      <c r="K2">
        <v>0</v>
      </c>
      <c r="L2">
        <v>0</v>
      </c>
      <c r="M2">
        <v>100</v>
      </c>
      <c r="N2">
        <v>100</v>
      </c>
      <c r="O2">
        <v>100</v>
      </c>
      <c r="P2">
        <v>100</v>
      </c>
      <c r="Q2">
        <v>100</v>
      </c>
      <c r="R2">
        <v>100</v>
      </c>
      <c r="S2">
        <v>100</v>
      </c>
      <c r="T2">
        <v>100</v>
      </c>
      <c r="U2">
        <v>100</v>
      </c>
      <c r="V2">
        <v>100</v>
      </c>
      <c r="W2">
        <v>100</v>
      </c>
      <c r="X2">
        <v>100</v>
      </c>
      <c r="Y2">
        <v>100</v>
      </c>
      <c r="Z2">
        <v>100</v>
      </c>
      <c r="AA2">
        <v>100</v>
      </c>
      <c r="AB2">
        <v>100</v>
      </c>
      <c r="AC2">
        <v>100</v>
      </c>
      <c r="AD2">
        <v>100</v>
      </c>
      <c r="AE2">
        <v>100</v>
      </c>
      <c r="AF2">
        <v>100</v>
      </c>
      <c r="AG2">
        <v>100</v>
      </c>
      <c r="AH2">
        <v>100</v>
      </c>
      <c r="AI2">
        <v>100</v>
      </c>
      <c r="AJ2">
        <v>100</v>
      </c>
      <c r="AK2">
        <v>100</v>
      </c>
      <c r="AL2">
        <v>100</v>
      </c>
      <c r="AM2">
        <v>100</v>
      </c>
      <c r="AN2">
        <v>100</v>
      </c>
      <c r="AO2">
        <v>100</v>
      </c>
      <c r="AP2">
        <v>100</v>
      </c>
      <c r="AQ2">
        <v>100</v>
      </c>
      <c r="AR2">
        <v>100</v>
      </c>
      <c r="AS2">
        <v>100</v>
      </c>
      <c r="AT2">
        <v>100</v>
      </c>
      <c r="AU2">
        <v>100</v>
      </c>
      <c r="AV2">
        <v>100</v>
      </c>
      <c r="AW2">
        <v>100</v>
      </c>
      <c r="AX2">
        <v>100</v>
      </c>
      <c r="AY2">
        <v>100</v>
      </c>
      <c r="AZ2">
        <v>100</v>
      </c>
      <c r="BA2">
        <v>100</v>
      </c>
      <c r="BB2">
        <v>100</v>
      </c>
      <c r="BC2">
        <v>100</v>
      </c>
      <c r="BD2">
        <v>100</v>
      </c>
      <c r="BE2">
        <v>100</v>
      </c>
      <c r="BF2">
        <v>100</v>
      </c>
      <c r="BG2">
        <v>100</v>
      </c>
      <c r="BH2">
        <v>100</v>
      </c>
      <c r="BI2">
        <v>100</v>
      </c>
      <c r="BJ2">
        <v>100</v>
      </c>
      <c r="BK2">
        <v>100</v>
      </c>
      <c r="BL2">
        <v>100</v>
      </c>
      <c r="BM2">
        <v>100</v>
      </c>
      <c r="BN2">
        <v>100</v>
      </c>
      <c r="BO2">
        <v>100</v>
      </c>
      <c r="BP2">
        <v>100</v>
      </c>
      <c r="BQ2">
        <v>100</v>
      </c>
      <c r="BR2">
        <v>100</v>
      </c>
      <c r="BS2">
        <v>100</v>
      </c>
      <c r="BT2">
        <v>100</v>
      </c>
      <c r="BU2">
        <v>100</v>
      </c>
      <c r="BV2">
        <v>100</v>
      </c>
      <c r="BW2">
        <v>100</v>
      </c>
      <c r="BX2">
        <v>100</v>
      </c>
      <c r="BY2">
        <v>100</v>
      </c>
      <c r="BZ2">
        <v>100</v>
      </c>
      <c r="CA2">
        <v>100</v>
      </c>
      <c r="CB2">
        <v>100</v>
      </c>
      <c r="CC2">
        <v>100</v>
      </c>
      <c r="CD2">
        <v>100</v>
      </c>
      <c r="CE2">
        <v>100</v>
      </c>
      <c r="CF2">
        <v>100</v>
      </c>
      <c r="CG2">
        <v>100</v>
      </c>
      <c r="CH2">
        <v>100</v>
      </c>
      <c r="CI2">
        <v>100</v>
      </c>
      <c r="CJ2">
        <v>100</v>
      </c>
      <c r="CK2">
        <v>100</v>
      </c>
      <c r="CL2">
        <v>100</v>
      </c>
      <c r="CM2">
        <v>100</v>
      </c>
      <c r="CN2">
        <v>100</v>
      </c>
      <c r="CO2">
        <v>100</v>
      </c>
      <c r="CP2">
        <v>100</v>
      </c>
      <c r="CQ2">
        <v>100</v>
      </c>
      <c r="CR2">
        <v>100</v>
      </c>
      <c r="CS2">
        <v>100</v>
      </c>
      <c r="CT2">
        <v>100</v>
      </c>
      <c r="CU2">
        <v>100</v>
      </c>
      <c r="CV2">
        <v>100</v>
      </c>
      <c r="CW2">
        <v>100</v>
      </c>
      <c r="CX2">
        <v>100</v>
      </c>
      <c r="CY2">
        <v>100</v>
      </c>
      <c r="CZ2">
        <v>100</v>
      </c>
      <c r="DA2">
        <v>100</v>
      </c>
      <c r="DB2">
        <v>100</v>
      </c>
      <c r="DC2">
        <v>100</v>
      </c>
      <c r="DD2">
        <v>100</v>
      </c>
      <c r="DE2">
        <v>100</v>
      </c>
      <c r="DF2">
        <v>100</v>
      </c>
      <c r="DG2">
        <v>100</v>
      </c>
      <c r="DH2">
        <v>100</v>
      </c>
    </row>
    <row r="3" spans="1:112" x14ac:dyDescent="0.25">
      <c r="A3" s="8">
        <f t="shared" ref="A3:A66" si="0">EXP(B3)</f>
        <v>99.6255029016165</v>
      </c>
      <c r="B3" s="9">
        <f>AVERAGE($C$2:C3)</f>
        <v>4.6014181850436007</v>
      </c>
      <c r="C3" s="9">
        <f t="shared" ref="C3:C66" si="1">LN(M3)</f>
        <v>4.5976661840991104</v>
      </c>
      <c r="D3" s="6">
        <f>AVERAGE($G$2:G3)</f>
        <v>100</v>
      </c>
      <c r="E3" s="6">
        <f>AVERAGE($H$2:H3)</f>
        <v>100</v>
      </c>
      <c r="F3" s="6">
        <f>AVERAGE($M$2:M3)</f>
        <v>99.626204142000006</v>
      </c>
      <c r="G3" s="6" t="b">
        <f t="shared" ref="G3:G66" si="2">IF(MOD(K3,10), FALSE, M3)</f>
        <v>0</v>
      </c>
      <c r="H3" t="b">
        <f t="shared" ref="H3:H66" si="3">IF(MOD(K3,4), FALSE, M3)</f>
        <v>0</v>
      </c>
      <c r="I3" s="6">
        <f t="shared" ref="I3:I66" si="4">F3-E3</f>
        <v>-0.37379585799999404</v>
      </c>
      <c r="J3" s="6">
        <f t="shared" ref="J3:J66" si="5">F3-D3</f>
        <v>-0.37379585799999404</v>
      </c>
      <c r="K3">
        <v>1</v>
      </c>
      <c r="L3">
        <f>L2+Asian!dt</f>
        <v>0.01</v>
      </c>
      <c r="M3">
        <v>99.252408283999998</v>
      </c>
      <c r="N3">
        <v>98.875351489600007</v>
      </c>
      <c r="O3">
        <v>104.003944946</v>
      </c>
      <c r="P3">
        <v>96.374279263399998</v>
      </c>
      <c r="Q3">
        <v>98.899747432300003</v>
      </c>
      <c r="R3">
        <v>102.007625645</v>
      </c>
      <c r="S3">
        <v>101.83676130800001</v>
      </c>
      <c r="T3">
        <v>99.5585915013</v>
      </c>
      <c r="U3">
        <v>100.91608721199999</v>
      </c>
      <c r="V3">
        <v>98.064869725700007</v>
      </c>
      <c r="W3">
        <v>100.622756436</v>
      </c>
      <c r="X3">
        <v>100.114354936</v>
      </c>
      <c r="Y3">
        <v>101.56589516</v>
      </c>
      <c r="Z3">
        <v>101.29379953500001</v>
      </c>
      <c r="AA3">
        <v>100.24447599600001</v>
      </c>
      <c r="AB3">
        <v>96.967851170499998</v>
      </c>
      <c r="AC3">
        <v>94.387171419699996</v>
      </c>
      <c r="AD3">
        <v>101.55294921700001</v>
      </c>
      <c r="AE3">
        <v>97.464652743200006</v>
      </c>
      <c r="AF3">
        <v>98.314920302499999</v>
      </c>
      <c r="AG3">
        <v>97.682238057800006</v>
      </c>
      <c r="AH3">
        <v>98.091532541199996</v>
      </c>
      <c r="AI3">
        <v>96.181064981800006</v>
      </c>
      <c r="AJ3">
        <v>99.077517452500004</v>
      </c>
      <c r="AK3">
        <v>102.217896849</v>
      </c>
      <c r="AL3">
        <v>102.260510204</v>
      </c>
      <c r="AM3">
        <v>101.41948439799999</v>
      </c>
      <c r="AN3">
        <v>100.674823207</v>
      </c>
      <c r="AO3">
        <v>98.836280721799994</v>
      </c>
      <c r="AP3">
        <v>99.691157134299999</v>
      </c>
      <c r="AQ3">
        <v>97.279759718899996</v>
      </c>
      <c r="AR3">
        <v>99.6044129191</v>
      </c>
      <c r="AS3">
        <v>102.63198522499999</v>
      </c>
      <c r="AT3">
        <v>101.208132076</v>
      </c>
      <c r="AU3">
        <v>98.899914371600005</v>
      </c>
      <c r="AV3">
        <v>99.942376023700007</v>
      </c>
      <c r="AW3">
        <v>101.95332191999999</v>
      </c>
      <c r="AX3">
        <v>99.377392637300005</v>
      </c>
      <c r="AY3">
        <v>99.118793248200006</v>
      </c>
      <c r="AZ3">
        <v>100.735120635</v>
      </c>
      <c r="BA3">
        <v>99.313705465400005</v>
      </c>
      <c r="BB3">
        <v>99.006297703599998</v>
      </c>
      <c r="BC3">
        <v>98.067416831499997</v>
      </c>
      <c r="BD3">
        <v>97.585984768200007</v>
      </c>
      <c r="BE3">
        <v>98.713798789999998</v>
      </c>
      <c r="BF3">
        <v>101.555669252</v>
      </c>
      <c r="BG3">
        <v>97.542106588899998</v>
      </c>
      <c r="BH3">
        <v>98.706898860600006</v>
      </c>
      <c r="BI3">
        <v>100.808408071</v>
      </c>
      <c r="BJ3">
        <v>102.352952149</v>
      </c>
      <c r="BK3">
        <v>101.867551347</v>
      </c>
      <c r="BL3">
        <v>99.658132273999996</v>
      </c>
      <c r="BM3">
        <v>98.050242701800002</v>
      </c>
      <c r="BN3">
        <v>97.785894404199993</v>
      </c>
      <c r="BO3">
        <v>101.313476342</v>
      </c>
      <c r="BP3">
        <v>99.542636217099997</v>
      </c>
      <c r="BQ3">
        <v>100.50254466600001</v>
      </c>
      <c r="BR3">
        <v>98.152910380199998</v>
      </c>
      <c r="BS3">
        <v>101.43446480599999</v>
      </c>
      <c r="BT3">
        <v>101.81223898099999</v>
      </c>
      <c r="BU3">
        <v>100.879343031</v>
      </c>
      <c r="BV3">
        <v>99.236271821200006</v>
      </c>
      <c r="BW3">
        <v>100.429280085</v>
      </c>
      <c r="BX3">
        <v>98.792483361799995</v>
      </c>
      <c r="BY3">
        <v>99.143854208299999</v>
      </c>
      <c r="BZ3">
        <v>97.014138443099995</v>
      </c>
      <c r="CA3">
        <v>99.870638935900004</v>
      </c>
      <c r="CB3">
        <v>96.896435501200003</v>
      </c>
      <c r="CC3">
        <v>100.380917173</v>
      </c>
      <c r="CD3">
        <v>96.510045841199997</v>
      </c>
      <c r="CE3">
        <v>96.142921129300007</v>
      </c>
      <c r="CF3">
        <v>98.856149849700003</v>
      </c>
      <c r="CG3">
        <v>99.450651718200007</v>
      </c>
      <c r="CH3">
        <v>101.685514109</v>
      </c>
      <c r="CI3">
        <v>98.621511383500007</v>
      </c>
      <c r="CJ3">
        <v>99.922921112599994</v>
      </c>
      <c r="CK3">
        <v>98.320788793700004</v>
      </c>
      <c r="CL3">
        <v>101.59001845</v>
      </c>
      <c r="CM3">
        <v>101.329672964</v>
      </c>
      <c r="CN3">
        <v>98.361740603800001</v>
      </c>
      <c r="CO3">
        <v>103.617771229</v>
      </c>
      <c r="CP3">
        <v>98.829003885000006</v>
      </c>
      <c r="CQ3">
        <v>99.261262503400005</v>
      </c>
      <c r="CR3">
        <v>99.033008787699998</v>
      </c>
      <c r="CS3">
        <v>101.201249656</v>
      </c>
      <c r="CT3">
        <v>99.090717843700006</v>
      </c>
      <c r="CU3">
        <v>97.737090221700001</v>
      </c>
      <c r="CV3">
        <v>101.891222118</v>
      </c>
      <c r="CW3">
        <v>99.209627272299997</v>
      </c>
      <c r="CX3">
        <v>100.83687302</v>
      </c>
      <c r="CY3">
        <v>104.69196050399999</v>
      </c>
      <c r="CZ3">
        <v>101.99320369</v>
      </c>
      <c r="DA3">
        <v>100.270231776</v>
      </c>
      <c r="DB3">
        <v>95.799304029799998</v>
      </c>
      <c r="DC3">
        <v>98.453915108199993</v>
      </c>
      <c r="DD3">
        <v>99.681054789599997</v>
      </c>
      <c r="DE3">
        <v>98.977472693099998</v>
      </c>
      <c r="DF3">
        <v>100.105590064</v>
      </c>
      <c r="DG3">
        <v>97.248044520400001</v>
      </c>
      <c r="DH3">
        <v>101.72352167299999</v>
      </c>
    </row>
    <row r="4" spans="1:112" x14ac:dyDescent="0.25">
      <c r="A4" s="8">
        <f t="shared" si="0"/>
        <v>98.773778033172405</v>
      </c>
      <c r="B4" s="9">
        <f>AVERAGE($C$2:C4)</f>
        <v>4.5928321650052624</v>
      </c>
      <c r="C4" s="9">
        <f t="shared" si="1"/>
        <v>4.5756601249285866</v>
      </c>
      <c r="D4" s="6">
        <f>AVERAGE($G$2:G4)</f>
        <v>100</v>
      </c>
      <c r="E4" s="6">
        <f>AVERAGE($H$2:H4)</f>
        <v>100</v>
      </c>
      <c r="F4" s="6">
        <f>AVERAGE($M$2:M4)</f>
        <v>98.781506397900003</v>
      </c>
      <c r="G4" s="6" t="b">
        <f t="shared" si="2"/>
        <v>0</v>
      </c>
      <c r="H4" t="b">
        <f t="shared" si="3"/>
        <v>0</v>
      </c>
      <c r="I4" s="6">
        <f t="shared" si="4"/>
        <v>-1.218493602099997</v>
      </c>
      <c r="J4" s="6">
        <f t="shared" si="5"/>
        <v>-1.218493602099997</v>
      </c>
      <c r="K4">
        <v>2</v>
      </c>
      <c r="L4">
        <f>L3+Asian!dt</f>
        <v>0.02</v>
      </c>
      <c r="M4">
        <v>97.092110909699997</v>
      </c>
      <c r="N4">
        <v>96.281481001399996</v>
      </c>
      <c r="O4">
        <v>105.613965552</v>
      </c>
      <c r="P4">
        <v>100.353847075</v>
      </c>
      <c r="Q4">
        <v>97.686113451200001</v>
      </c>
      <c r="R4">
        <v>101.5335595</v>
      </c>
      <c r="S4">
        <v>102.711675329</v>
      </c>
      <c r="T4">
        <v>97.765162008700003</v>
      </c>
      <c r="U4">
        <v>103.756453169</v>
      </c>
      <c r="V4">
        <v>92.849641875100005</v>
      </c>
      <c r="W4">
        <v>100.699499195</v>
      </c>
      <c r="X4">
        <v>99.462606894299995</v>
      </c>
      <c r="Y4">
        <v>99.312509858300004</v>
      </c>
      <c r="Z4">
        <v>103.64836371200001</v>
      </c>
      <c r="AA4">
        <v>97.784053280500004</v>
      </c>
      <c r="AB4">
        <v>93.6357718103</v>
      </c>
      <c r="AC4">
        <v>94.784913566699998</v>
      </c>
      <c r="AD4">
        <v>96.012101924999996</v>
      </c>
      <c r="AE4">
        <v>95.889308963399998</v>
      </c>
      <c r="AF4">
        <v>100.077865368</v>
      </c>
      <c r="AG4">
        <v>100.540138977</v>
      </c>
      <c r="AH4">
        <v>96.794318681799993</v>
      </c>
      <c r="AI4">
        <v>100.065903396</v>
      </c>
      <c r="AJ4">
        <v>100.419159107</v>
      </c>
      <c r="AK4">
        <v>105.644900303</v>
      </c>
      <c r="AL4">
        <v>101.555198488</v>
      </c>
      <c r="AM4">
        <v>100.98044355</v>
      </c>
      <c r="AN4">
        <v>103.74848224</v>
      </c>
      <c r="AO4">
        <v>98.224966757299995</v>
      </c>
      <c r="AP4">
        <v>97.678598376500005</v>
      </c>
      <c r="AQ4">
        <v>95.181798400100007</v>
      </c>
      <c r="AR4">
        <v>100.960099289</v>
      </c>
      <c r="AS4">
        <v>101.55949440000001</v>
      </c>
      <c r="AT4">
        <v>97.820595918600006</v>
      </c>
      <c r="AU4">
        <v>98.266365692600004</v>
      </c>
      <c r="AV4">
        <v>101.471998992</v>
      </c>
      <c r="AW4">
        <v>101.128183845</v>
      </c>
      <c r="AX4">
        <v>100.469411721</v>
      </c>
      <c r="AY4">
        <v>100.61984121099999</v>
      </c>
      <c r="AZ4">
        <v>101.47167621</v>
      </c>
      <c r="BA4">
        <v>99.899546685600001</v>
      </c>
      <c r="BB4">
        <v>97.963641441700005</v>
      </c>
      <c r="BC4">
        <v>100.171162073</v>
      </c>
      <c r="BD4">
        <v>93.906880821900003</v>
      </c>
      <c r="BE4">
        <v>96.971159351599994</v>
      </c>
      <c r="BF4">
        <v>104.700494705</v>
      </c>
      <c r="BG4">
        <v>94.978381210600006</v>
      </c>
      <c r="BH4">
        <v>98.137926715500001</v>
      </c>
      <c r="BI4">
        <v>100.828636864</v>
      </c>
      <c r="BJ4">
        <v>100.85139504</v>
      </c>
      <c r="BK4">
        <v>100.32531523</v>
      </c>
      <c r="BL4">
        <v>99.716704175800004</v>
      </c>
      <c r="BM4">
        <v>95.529772517500007</v>
      </c>
      <c r="BN4">
        <v>99.145709474499995</v>
      </c>
      <c r="BO4">
        <v>100.546247197</v>
      </c>
      <c r="BP4">
        <v>98.481125835</v>
      </c>
      <c r="BQ4">
        <v>103.08621233</v>
      </c>
      <c r="BR4">
        <v>97.047937709099998</v>
      </c>
      <c r="BS4">
        <v>101.947075768</v>
      </c>
      <c r="BT4">
        <v>105.302906214</v>
      </c>
      <c r="BU4">
        <v>101.325200821</v>
      </c>
      <c r="BV4">
        <v>99.133975338200003</v>
      </c>
      <c r="BW4">
        <v>96.231493198799996</v>
      </c>
      <c r="BX4">
        <v>97.267288739099996</v>
      </c>
      <c r="BY4">
        <v>100.41183408800001</v>
      </c>
      <c r="BZ4">
        <v>96.501556381300006</v>
      </c>
      <c r="CA4">
        <v>100.83760476099999</v>
      </c>
      <c r="CB4">
        <v>97.752239388800007</v>
      </c>
      <c r="CC4">
        <v>97.946631261199997</v>
      </c>
      <c r="CD4">
        <v>97.909673604299996</v>
      </c>
      <c r="CE4">
        <v>95.920209140799997</v>
      </c>
      <c r="CF4">
        <v>95.883321657600007</v>
      </c>
      <c r="CG4">
        <v>97.172076045899999</v>
      </c>
      <c r="CH4">
        <v>101.224159347</v>
      </c>
      <c r="CI4">
        <v>95.741499088500007</v>
      </c>
      <c r="CJ4">
        <v>103.525661234</v>
      </c>
      <c r="CK4">
        <v>96.207984713200005</v>
      </c>
      <c r="CL4">
        <v>97.056031376099995</v>
      </c>
      <c r="CM4">
        <v>103.41888227299999</v>
      </c>
      <c r="CN4">
        <v>94.336438411700001</v>
      </c>
      <c r="CO4">
        <v>106.46856244200001</v>
      </c>
      <c r="CP4">
        <v>99.900735048300007</v>
      </c>
      <c r="CQ4">
        <v>99.0569444594</v>
      </c>
      <c r="CR4">
        <v>97.8924017561</v>
      </c>
      <c r="CS4">
        <v>101.30567973799999</v>
      </c>
      <c r="CT4">
        <v>100.93639906</v>
      </c>
      <c r="CU4">
        <v>99.734138364900005</v>
      </c>
      <c r="CV4">
        <v>102.306162904</v>
      </c>
      <c r="CW4">
        <v>98.423099355100007</v>
      </c>
      <c r="CX4">
        <v>98.996416503700004</v>
      </c>
      <c r="CY4">
        <v>104.155787043</v>
      </c>
      <c r="CZ4">
        <v>99.8082095587</v>
      </c>
      <c r="DA4">
        <v>97.904361231400003</v>
      </c>
      <c r="DB4">
        <v>96.2859162803</v>
      </c>
      <c r="DC4">
        <v>96.348602932099993</v>
      </c>
      <c r="DD4">
        <v>99.831590668499999</v>
      </c>
      <c r="DE4">
        <v>99.975008927800005</v>
      </c>
      <c r="DF4">
        <v>102.136113603</v>
      </c>
      <c r="DG4">
        <v>101.061829299</v>
      </c>
      <c r="DH4">
        <v>100.080206981</v>
      </c>
    </row>
    <row r="5" spans="1:112" x14ac:dyDescent="0.25">
      <c r="A5" s="8">
        <f t="shared" si="0"/>
        <v>98.566704331203169</v>
      </c>
      <c r="B5" s="9">
        <f>AVERAGE($C$2:C5)</f>
        <v>4.5907335203127024</v>
      </c>
      <c r="C5" s="9">
        <f t="shared" si="1"/>
        <v>4.5844375862350226</v>
      </c>
      <c r="D5" s="6">
        <f>AVERAGE($G$2:G5)</f>
        <v>100</v>
      </c>
      <c r="E5" s="6">
        <f>AVERAGE($H$2:H5)</f>
        <v>100</v>
      </c>
      <c r="F5" s="6">
        <f>AVERAGE($M$2:M5)</f>
        <v>98.573150872775003</v>
      </c>
      <c r="G5" s="6" t="b">
        <f t="shared" si="2"/>
        <v>0</v>
      </c>
      <c r="H5" t="b">
        <f t="shared" si="3"/>
        <v>0</v>
      </c>
      <c r="I5" s="6">
        <f t="shared" si="4"/>
        <v>-1.4268491272249975</v>
      </c>
      <c r="J5" s="6">
        <f t="shared" si="5"/>
        <v>-1.4268491272249975</v>
      </c>
      <c r="K5">
        <v>3</v>
      </c>
      <c r="L5">
        <f>L4+Asian!dt</f>
        <v>0.03</v>
      </c>
      <c r="M5">
        <v>97.948084297400001</v>
      </c>
      <c r="N5">
        <v>93.340555362499998</v>
      </c>
      <c r="O5">
        <v>107.273902741</v>
      </c>
      <c r="P5">
        <v>101.16496309599999</v>
      </c>
      <c r="Q5">
        <v>99.963802054400006</v>
      </c>
      <c r="R5">
        <v>100.938261191</v>
      </c>
      <c r="S5">
        <v>103.939518961</v>
      </c>
      <c r="T5">
        <v>95.798855118399999</v>
      </c>
      <c r="U5">
        <v>103.84566909</v>
      </c>
      <c r="V5">
        <v>95.284492116099997</v>
      </c>
      <c r="W5">
        <v>101.66570235899999</v>
      </c>
      <c r="X5">
        <v>99.961966499400006</v>
      </c>
      <c r="Y5">
        <v>98.047851162300006</v>
      </c>
      <c r="Z5">
        <v>99.250650875399998</v>
      </c>
      <c r="AA5">
        <v>97.812421402599995</v>
      </c>
      <c r="AB5">
        <v>92.683804626599994</v>
      </c>
      <c r="AC5">
        <v>96.512681320599995</v>
      </c>
      <c r="AD5">
        <v>94.162963793700001</v>
      </c>
      <c r="AE5">
        <v>96.339274578200005</v>
      </c>
      <c r="AF5">
        <v>99.250310633799998</v>
      </c>
      <c r="AG5">
        <v>100.135306542</v>
      </c>
      <c r="AH5">
        <v>97.695281339700003</v>
      </c>
      <c r="AI5">
        <v>101.429059145</v>
      </c>
      <c r="AJ5">
        <v>101.46556008899999</v>
      </c>
      <c r="AK5">
        <v>104.906370685</v>
      </c>
      <c r="AL5">
        <v>103.09309106400001</v>
      </c>
      <c r="AM5">
        <v>99.709424863899997</v>
      </c>
      <c r="AN5">
        <v>104.56321995899999</v>
      </c>
      <c r="AO5">
        <v>98.280253931999994</v>
      </c>
      <c r="AP5">
        <v>94.793110575200004</v>
      </c>
      <c r="AQ5">
        <v>99.015120187400001</v>
      </c>
      <c r="AR5">
        <v>103.79855164200001</v>
      </c>
      <c r="AS5">
        <v>98.442837191300001</v>
      </c>
      <c r="AT5">
        <v>95.043339833000005</v>
      </c>
      <c r="AU5">
        <v>98.489279363700007</v>
      </c>
      <c r="AV5">
        <v>96.891662474499995</v>
      </c>
      <c r="AW5">
        <v>103.87333129300001</v>
      </c>
      <c r="AX5">
        <v>101.330575446</v>
      </c>
      <c r="AY5">
        <v>101.84795776599999</v>
      </c>
      <c r="AZ5">
        <v>100.91776524799999</v>
      </c>
      <c r="BA5">
        <v>100.652465463</v>
      </c>
      <c r="BB5">
        <v>99.232782483999998</v>
      </c>
      <c r="BC5">
        <v>98.751523599999999</v>
      </c>
      <c r="BD5">
        <v>92.642535653500005</v>
      </c>
      <c r="BE5">
        <v>95.696089913899996</v>
      </c>
      <c r="BF5">
        <v>104.73880305900001</v>
      </c>
      <c r="BG5">
        <v>95.259665951100004</v>
      </c>
      <c r="BH5">
        <v>100.076489999</v>
      </c>
      <c r="BI5">
        <v>101.637124634</v>
      </c>
      <c r="BJ5">
        <v>103.600804364</v>
      </c>
      <c r="BK5">
        <v>98.520246631999996</v>
      </c>
      <c r="BL5">
        <v>97.517014086700001</v>
      </c>
      <c r="BM5">
        <v>92.796288010699996</v>
      </c>
      <c r="BN5">
        <v>99.623965581099995</v>
      </c>
      <c r="BO5">
        <v>100.90708343999999</v>
      </c>
      <c r="BP5">
        <v>97.223212810099994</v>
      </c>
      <c r="BQ5">
        <v>100.544858304</v>
      </c>
      <c r="BR5">
        <v>98.671343785900007</v>
      </c>
      <c r="BS5">
        <v>100.646459867</v>
      </c>
      <c r="BT5">
        <v>108.014158378</v>
      </c>
      <c r="BU5">
        <v>101.166050355</v>
      </c>
      <c r="BV5">
        <v>96.848310780399999</v>
      </c>
      <c r="BW5">
        <v>97.021740432200005</v>
      </c>
      <c r="BX5">
        <v>99.187785818199998</v>
      </c>
      <c r="BY5">
        <v>99.290924517700006</v>
      </c>
      <c r="BZ5">
        <v>94.904164699000006</v>
      </c>
      <c r="CA5">
        <v>101.31823244500001</v>
      </c>
      <c r="CB5">
        <v>98.581895309000004</v>
      </c>
      <c r="CC5">
        <v>99.510766803300001</v>
      </c>
      <c r="CD5">
        <v>98.050174397299998</v>
      </c>
      <c r="CE5">
        <v>95.973181120099994</v>
      </c>
      <c r="CF5">
        <v>97.585472658300006</v>
      </c>
      <c r="CG5">
        <v>95.972845734499998</v>
      </c>
      <c r="CH5">
        <v>105.512684767</v>
      </c>
      <c r="CI5">
        <v>99.640113436799993</v>
      </c>
      <c r="CJ5">
        <v>104.883004619</v>
      </c>
      <c r="CK5">
        <v>98.497031326499993</v>
      </c>
      <c r="CL5">
        <v>95.900719619499995</v>
      </c>
      <c r="CM5">
        <v>103.422359638</v>
      </c>
      <c r="CN5">
        <v>93.814388467499995</v>
      </c>
      <c r="CO5">
        <v>104.34016769</v>
      </c>
      <c r="CP5">
        <v>103.209847701</v>
      </c>
      <c r="CQ5">
        <v>100.42675846500001</v>
      </c>
      <c r="CR5">
        <v>95.652837659900001</v>
      </c>
      <c r="CS5">
        <v>100.849849275</v>
      </c>
      <c r="CT5">
        <v>98.497769716899995</v>
      </c>
      <c r="CU5">
        <v>100.263967314</v>
      </c>
      <c r="CV5">
        <v>102.91019197599999</v>
      </c>
      <c r="CW5">
        <v>100.501216255</v>
      </c>
      <c r="CX5">
        <v>100.694315711</v>
      </c>
      <c r="CY5">
        <v>104.11511475899999</v>
      </c>
      <c r="CZ5">
        <v>99.196154354399994</v>
      </c>
      <c r="DA5">
        <v>97.908888131599994</v>
      </c>
      <c r="DB5">
        <v>100.167720973</v>
      </c>
      <c r="DC5">
        <v>98.1531625545</v>
      </c>
      <c r="DD5">
        <v>99.685075807600001</v>
      </c>
      <c r="DE5">
        <v>99.689883362299994</v>
      </c>
      <c r="DF5">
        <v>101.480028194</v>
      </c>
      <c r="DG5">
        <v>100.44826032</v>
      </c>
      <c r="DH5">
        <v>102.682293876</v>
      </c>
    </row>
    <row r="6" spans="1:112" x14ac:dyDescent="0.25">
      <c r="A6" s="8">
        <f t="shared" si="0"/>
        <v>97.762713641085057</v>
      </c>
      <c r="B6" s="9">
        <f>AVERAGE($C$2:C6)</f>
        <v>4.5825432532324388</v>
      </c>
      <c r="C6" s="9">
        <f t="shared" si="1"/>
        <v>4.5497821849113818</v>
      </c>
      <c r="D6" s="6">
        <f>AVERAGE($G$2:G6)</f>
        <v>100</v>
      </c>
      <c r="E6" s="6">
        <f>AVERAGE($H$2:H6)</f>
        <v>97.305899096600001</v>
      </c>
      <c r="F6" s="6">
        <f>AVERAGE($M$2:M6)</f>
        <v>97.780880336860008</v>
      </c>
      <c r="G6" s="6" t="b">
        <f t="shared" si="2"/>
        <v>0</v>
      </c>
      <c r="H6">
        <f t="shared" si="3"/>
        <v>94.611798193200002</v>
      </c>
      <c r="I6" s="6">
        <f t="shared" si="4"/>
        <v>0.4749812402600071</v>
      </c>
      <c r="J6" s="6">
        <f t="shared" si="5"/>
        <v>-2.2191196631399919</v>
      </c>
      <c r="K6">
        <v>4</v>
      </c>
      <c r="L6">
        <f>L5+Asian!dt</f>
        <v>0.04</v>
      </c>
      <c r="M6">
        <v>94.611798193200002</v>
      </c>
      <c r="N6">
        <v>93.239593706600004</v>
      </c>
      <c r="O6">
        <v>110.630524405</v>
      </c>
      <c r="P6">
        <v>102.275780668</v>
      </c>
      <c r="Q6">
        <v>98.854880836500001</v>
      </c>
      <c r="R6">
        <v>100.348857377</v>
      </c>
      <c r="S6">
        <v>104.079810322</v>
      </c>
      <c r="T6">
        <v>99.174502757400006</v>
      </c>
      <c r="U6">
        <v>107.401832404</v>
      </c>
      <c r="V6">
        <v>95.907033655299998</v>
      </c>
      <c r="W6">
        <v>102.15800766700001</v>
      </c>
      <c r="X6">
        <v>97.762352807400006</v>
      </c>
      <c r="Y6">
        <v>100.760539724</v>
      </c>
      <c r="Z6">
        <v>96.659378439299999</v>
      </c>
      <c r="AA6">
        <v>101.285380418</v>
      </c>
      <c r="AB6">
        <v>96.392382939699999</v>
      </c>
      <c r="AC6">
        <v>97.195083258599993</v>
      </c>
      <c r="AD6">
        <v>97.353077761500003</v>
      </c>
      <c r="AE6">
        <v>96.952503367800006</v>
      </c>
      <c r="AF6">
        <v>97.532999036299998</v>
      </c>
      <c r="AG6">
        <v>101.215945632</v>
      </c>
      <c r="AH6">
        <v>97.729924321499993</v>
      </c>
      <c r="AI6">
        <v>103.507271297</v>
      </c>
      <c r="AJ6">
        <v>102.843919117</v>
      </c>
      <c r="AK6">
        <v>105.86995814399999</v>
      </c>
      <c r="AL6">
        <v>101.098445713</v>
      </c>
      <c r="AM6">
        <v>100.170035368</v>
      </c>
      <c r="AN6">
        <v>106.50198404699999</v>
      </c>
      <c r="AO6">
        <v>102.180604289</v>
      </c>
      <c r="AP6">
        <v>95.878878091800004</v>
      </c>
      <c r="AQ6">
        <v>97.326193513199996</v>
      </c>
      <c r="AR6">
        <v>102.028996703</v>
      </c>
      <c r="AS6">
        <v>95.987245830700004</v>
      </c>
      <c r="AT6">
        <v>96.538615086500002</v>
      </c>
      <c r="AU6">
        <v>99.389494310200007</v>
      </c>
      <c r="AV6">
        <v>95.837280921300007</v>
      </c>
      <c r="AW6">
        <v>107.210173326</v>
      </c>
      <c r="AX6">
        <v>100.32167880900001</v>
      </c>
      <c r="AY6">
        <v>105.963558128</v>
      </c>
      <c r="AZ6">
        <v>103.282290699</v>
      </c>
      <c r="BA6">
        <v>102.130055966</v>
      </c>
      <c r="BB6">
        <v>98.833808220899996</v>
      </c>
      <c r="BC6">
        <v>96.735242456400002</v>
      </c>
      <c r="BD6">
        <v>94.304771481100005</v>
      </c>
      <c r="BE6">
        <v>95.291376078900001</v>
      </c>
      <c r="BF6">
        <v>103.5573953</v>
      </c>
      <c r="BG6">
        <v>93.728742241700004</v>
      </c>
      <c r="BH6">
        <v>99.888406627899997</v>
      </c>
      <c r="BI6">
        <v>101.134206021</v>
      </c>
      <c r="BJ6">
        <v>106.450775964</v>
      </c>
      <c r="BK6">
        <v>98.616891369200005</v>
      </c>
      <c r="BL6">
        <v>99.199920386100004</v>
      </c>
      <c r="BM6">
        <v>93.237533780899994</v>
      </c>
      <c r="BN6">
        <v>102.04311390700001</v>
      </c>
      <c r="BO6">
        <v>98.385521226600005</v>
      </c>
      <c r="BP6">
        <v>97.461618990299996</v>
      </c>
      <c r="BQ6">
        <v>99.731420722300001</v>
      </c>
      <c r="BR6">
        <v>96.568376528300007</v>
      </c>
      <c r="BS6">
        <v>102.67980900000001</v>
      </c>
      <c r="BT6">
        <v>107.43800108400001</v>
      </c>
      <c r="BU6">
        <v>100.22384730100001</v>
      </c>
      <c r="BV6">
        <v>98.425598470799997</v>
      </c>
      <c r="BW6">
        <v>94.058451956300004</v>
      </c>
      <c r="BX6">
        <v>100.60299867000001</v>
      </c>
      <c r="BY6">
        <v>101.45332681399999</v>
      </c>
      <c r="BZ6">
        <v>94.456395267399998</v>
      </c>
      <c r="CA6">
        <v>103.548679468</v>
      </c>
      <c r="CB6">
        <v>101.588031646</v>
      </c>
      <c r="CC6">
        <v>98.6136719167</v>
      </c>
      <c r="CD6">
        <v>94.713962016099998</v>
      </c>
      <c r="CE6">
        <v>95.484013069100001</v>
      </c>
      <c r="CF6">
        <v>96.164029777099998</v>
      </c>
      <c r="CG6">
        <v>94.511161911900004</v>
      </c>
      <c r="CH6">
        <v>105.06706870399999</v>
      </c>
      <c r="CI6">
        <v>95.008526851200003</v>
      </c>
      <c r="CJ6">
        <v>104.106458199</v>
      </c>
      <c r="CK6">
        <v>97.643254544000001</v>
      </c>
      <c r="CL6">
        <v>94.306593035199995</v>
      </c>
      <c r="CM6">
        <v>105.14423988599999</v>
      </c>
      <c r="CN6">
        <v>95.817459689700001</v>
      </c>
      <c r="CO6">
        <v>102.65559971099999</v>
      </c>
      <c r="CP6">
        <v>103.82974050999999</v>
      </c>
      <c r="CQ6">
        <v>99.869232856699995</v>
      </c>
      <c r="CR6">
        <v>98.087025113199999</v>
      </c>
      <c r="CS6">
        <v>101.575252667</v>
      </c>
      <c r="CT6">
        <v>100.51882423399999</v>
      </c>
      <c r="CU6">
        <v>99.385984875899993</v>
      </c>
      <c r="CV6">
        <v>100.38410079800001</v>
      </c>
      <c r="CW6">
        <v>99.198626153800006</v>
      </c>
      <c r="CX6">
        <v>99.951403599399995</v>
      </c>
      <c r="CY6">
        <v>99.105172940200006</v>
      </c>
      <c r="CZ6">
        <v>99.799493839799993</v>
      </c>
      <c r="DA6">
        <v>97.712084075999996</v>
      </c>
      <c r="DB6">
        <v>101.586168028</v>
      </c>
      <c r="DC6">
        <v>97.893871553899999</v>
      </c>
      <c r="DD6">
        <v>102.134687336</v>
      </c>
      <c r="DE6">
        <v>101.82986015900001</v>
      </c>
      <c r="DF6">
        <v>102.31707454399999</v>
      </c>
      <c r="DG6">
        <v>99.754465461899997</v>
      </c>
      <c r="DH6">
        <v>102.704577833</v>
      </c>
    </row>
    <row r="7" spans="1:112" x14ac:dyDescent="0.25">
      <c r="A7" s="8">
        <f t="shared" si="0"/>
        <v>97.187474275346304</v>
      </c>
      <c r="B7" s="9">
        <f>AVERAGE($C$2:C7)</f>
        <v>4.5766418376825477</v>
      </c>
      <c r="C7" s="9">
        <f t="shared" si="1"/>
        <v>4.5471347599330958</v>
      </c>
      <c r="D7" s="6">
        <f>AVERAGE($G$2:G7)</f>
        <v>100</v>
      </c>
      <c r="E7" s="6">
        <f>AVERAGE($H$2:H7)</f>
        <v>97.305899096600001</v>
      </c>
      <c r="F7" s="6">
        <f>AVERAGE($M$2:M7)</f>
        <v>97.211008917949997</v>
      </c>
      <c r="G7" s="6" t="b">
        <f t="shared" si="2"/>
        <v>0</v>
      </c>
      <c r="H7" t="b">
        <f t="shared" si="3"/>
        <v>0</v>
      </c>
      <c r="I7" s="6">
        <f t="shared" si="4"/>
        <v>-9.4890178650004486E-2</v>
      </c>
      <c r="J7" s="6">
        <f t="shared" si="5"/>
        <v>-2.7889910820500035</v>
      </c>
      <c r="K7">
        <v>5</v>
      </c>
      <c r="L7">
        <f>L6+Asian!dt</f>
        <v>0.05</v>
      </c>
      <c r="M7">
        <v>94.361651823399995</v>
      </c>
      <c r="N7">
        <v>95.907135858399997</v>
      </c>
      <c r="O7">
        <v>111.636187986</v>
      </c>
      <c r="P7">
        <v>98.541586852699993</v>
      </c>
      <c r="Q7">
        <v>102.41895148099999</v>
      </c>
      <c r="R7">
        <v>101.69417720200001</v>
      </c>
      <c r="S7">
        <v>108.58424350999999</v>
      </c>
      <c r="T7">
        <v>101.18445079</v>
      </c>
      <c r="U7">
        <v>110.92087042999999</v>
      </c>
      <c r="V7">
        <v>95.055831682299996</v>
      </c>
      <c r="W7">
        <v>101.34469056</v>
      </c>
      <c r="X7">
        <v>100.358532692</v>
      </c>
      <c r="Y7">
        <v>99.921579132000005</v>
      </c>
      <c r="Z7">
        <v>97.552008571800002</v>
      </c>
      <c r="AA7">
        <v>104.271264323</v>
      </c>
      <c r="AB7">
        <v>94.279553577800002</v>
      </c>
      <c r="AC7">
        <v>95.414718656800005</v>
      </c>
      <c r="AD7">
        <v>94.406508852800002</v>
      </c>
      <c r="AE7">
        <v>97.802009089099997</v>
      </c>
      <c r="AF7">
        <v>94.646397255599993</v>
      </c>
      <c r="AG7">
        <v>104.69562579399999</v>
      </c>
      <c r="AH7">
        <v>96.001304800499994</v>
      </c>
      <c r="AI7">
        <v>101.923115552</v>
      </c>
      <c r="AJ7">
        <v>100.119826081</v>
      </c>
      <c r="AK7">
        <v>104.140077148</v>
      </c>
      <c r="AL7">
        <v>98.697609199799999</v>
      </c>
      <c r="AM7">
        <v>99.844751237500006</v>
      </c>
      <c r="AN7">
        <v>108.00797018900001</v>
      </c>
      <c r="AO7">
        <v>104.471321499</v>
      </c>
      <c r="AP7">
        <v>98.605597108300003</v>
      </c>
      <c r="AQ7">
        <v>99.8642624023</v>
      </c>
      <c r="AR7">
        <v>102.758590095</v>
      </c>
      <c r="AS7">
        <v>99.325385627299994</v>
      </c>
      <c r="AT7">
        <v>96.548320757300004</v>
      </c>
      <c r="AU7">
        <v>100.464273867</v>
      </c>
      <c r="AV7">
        <v>93.190419252200002</v>
      </c>
      <c r="AW7">
        <v>108.337381675</v>
      </c>
      <c r="AX7">
        <v>101.039205399</v>
      </c>
      <c r="AY7">
        <v>107.139365681</v>
      </c>
      <c r="AZ7">
        <v>103.717802694</v>
      </c>
      <c r="BA7">
        <v>104.755699741</v>
      </c>
      <c r="BB7">
        <v>103.682809601</v>
      </c>
      <c r="BC7">
        <v>98.726821661700001</v>
      </c>
      <c r="BD7">
        <v>93.805189372499996</v>
      </c>
      <c r="BE7">
        <v>92.848784740699998</v>
      </c>
      <c r="BF7">
        <v>102.896728399</v>
      </c>
      <c r="BG7">
        <v>89.1310575328</v>
      </c>
      <c r="BH7">
        <v>99.532419343399994</v>
      </c>
      <c r="BI7">
        <v>103.237622362</v>
      </c>
      <c r="BJ7">
        <v>109.08887391899999</v>
      </c>
      <c r="BK7">
        <v>103.860234112</v>
      </c>
      <c r="BL7">
        <v>98.869291905300003</v>
      </c>
      <c r="BM7">
        <v>93.6224037705</v>
      </c>
      <c r="BN7">
        <v>101.42280348200001</v>
      </c>
      <c r="BO7">
        <v>96.4660883974</v>
      </c>
      <c r="BP7">
        <v>98.955565199000006</v>
      </c>
      <c r="BQ7">
        <v>95.003995760600006</v>
      </c>
      <c r="BR7">
        <v>95.913038538899997</v>
      </c>
      <c r="BS7">
        <v>101.82491438</v>
      </c>
      <c r="BT7">
        <v>110.864122213</v>
      </c>
      <c r="BU7">
        <v>99.675310879500003</v>
      </c>
      <c r="BV7">
        <v>96.159625499800001</v>
      </c>
      <c r="BW7">
        <v>95.6145164112</v>
      </c>
      <c r="BX7">
        <v>99.298361875099999</v>
      </c>
      <c r="BY7">
        <v>100.889950322</v>
      </c>
      <c r="BZ7">
        <v>93.949003873799995</v>
      </c>
      <c r="CA7">
        <v>104.43490552999999</v>
      </c>
      <c r="CB7">
        <v>101.342478148</v>
      </c>
      <c r="CC7">
        <v>97.602759659499995</v>
      </c>
      <c r="CD7">
        <v>95.595493732700007</v>
      </c>
      <c r="CE7">
        <v>97.465536956899996</v>
      </c>
      <c r="CF7">
        <v>95.843155219400003</v>
      </c>
      <c r="CG7">
        <v>91.683721507100003</v>
      </c>
      <c r="CH7">
        <v>106.323283823</v>
      </c>
      <c r="CI7">
        <v>94.827209911699995</v>
      </c>
      <c r="CJ7">
        <v>103.44842478</v>
      </c>
      <c r="CK7">
        <v>95.061204367900004</v>
      </c>
      <c r="CL7">
        <v>92.831407377700003</v>
      </c>
      <c r="CM7">
        <v>104.07256924799999</v>
      </c>
      <c r="CN7">
        <v>95.779085840400001</v>
      </c>
      <c r="CO7">
        <v>104.66987592</v>
      </c>
      <c r="CP7">
        <v>107.050312608</v>
      </c>
      <c r="CQ7">
        <v>99.078675386100002</v>
      </c>
      <c r="CR7">
        <v>98.308301532200005</v>
      </c>
      <c r="CS7">
        <v>102.53140374900001</v>
      </c>
      <c r="CT7">
        <v>100.73138955899999</v>
      </c>
      <c r="CU7">
        <v>98.362225828199996</v>
      </c>
      <c r="CV7">
        <v>100.52759994</v>
      </c>
      <c r="CW7">
        <v>100.045778615</v>
      </c>
      <c r="CX7">
        <v>100.535280731</v>
      </c>
      <c r="CY7">
        <v>101.252029765</v>
      </c>
      <c r="CZ7">
        <v>103.227171016</v>
      </c>
      <c r="DA7">
        <v>96.728455525499996</v>
      </c>
      <c r="DB7">
        <v>100.67704210300001</v>
      </c>
      <c r="DC7">
        <v>98.329765269399999</v>
      </c>
      <c r="DD7">
        <v>103.558727072</v>
      </c>
      <c r="DE7">
        <v>103.273641375</v>
      </c>
      <c r="DF7">
        <v>103.081057683</v>
      </c>
      <c r="DG7">
        <v>101.00873242500001</v>
      </c>
      <c r="DH7">
        <v>102.421134245</v>
      </c>
    </row>
    <row r="8" spans="1:112" x14ac:dyDescent="0.25">
      <c r="A8" s="8">
        <f t="shared" si="0"/>
        <v>97.109407454273637</v>
      </c>
      <c r="B8" s="9">
        <f>AVERAGE($C$2:C8)</f>
        <v>4.5758382547883842</v>
      </c>
      <c r="C8" s="9">
        <f t="shared" si="1"/>
        <v>4.5710167574233997</v>
      </c>
      <c r="D8" s="6">
        <f>AVERAGE($G$2:G8)</f>
        <v>100</v>
      </c>
      <c r="E8" s="6">
        <f>AVERAGE($H$2:H8)</f>
        <v>97.305899096600001</v>
      </c>
      <c r="F8" s="6">
        <f>AVERAGE($M$2:M8)</f>
        <v>97.129767877314293</v>
      </c>
      <c r="G8" s="6" t="b">
        <f t="shared" si="2"/>
        <v>0</v>
      </c>
      <c r="H8" t="b">
        <f t="shared" si="3"/>
        <v>0</v>
      </c>
      <c r="I8" s="6">
        <f t="shared" si="4"/>
        <v>-0.17613121928570763</v>
      </c>
      <c r="J8" s="6">
        <f t="shared" si="5"/>
        <v>-2.8702321226857066</v>
      </c>
      <c r="K8">
        <v>6</v>
      </c>
      <c r="L8">
        <f>L7+Asian!dt</f>
        <v>6.0000000000000005E-2</v>
      </c>
      <c r="M8">
        <v>96.642321633500003</v>
      </c>
      <c r="N8">
        <v>95.352252464299994</v>
      </c>
      <c r="O8">
        <v>109.51283137999999</v>
      </c>
      <c r="P8">
        <v>97.683482170100007</v>
      </c>
      <c r="Q8">
        <v>104.67655611799999</v>
      </c>
      <c r="R8">
        <v>102.308368907</v>
      </c>
      <c r="S8">
        <v>109.350091748</v>
      </c>
      <c r="T8">
        <v>101.58549997599999</v>
      </c>
      <c r="U8">
        <v>113.629930223</v>
      </c>
      <c r="V8">
        <v>94.780235453499998</v>
      </c>
      <c r="W8">
        <v>100.555092149</v>
      </c>
      <c r="X8">
        <v>104.90428955599999</v>
      </c>
      <c r="Y8">
        <v>97.707729981900002</v>
      </c>
      <c r="Z8">
        <v>99.204817694900001</v>
      </c>
      <c r="AA8">
        <v>105.378134922</v>
      </c>
      <c r="AB8">
        <v>93.932964763499996</v>
      </c>
      <c r="AC8">
        <v>91.245919258499995</v>
      </c>
      <c r="AD8">
        <v>96.5653563977</v>
      </c>
      <c r="AE8">
        <v>97.4839351631</v>
      </c>
      <c r="AF8">
        <v>95.993524581299994</v>
      </c>
      <c r="AG8">
        <v>106.161881548</v>
      </c>
      <c r="AH8">
        <v>95.515705765500002</v>
      </c>
      <c r="AI8">
        <v>99.987152466300003</v>
      </c>
      <c r="AJ8">
        <v>101.039913408</v>
      </c>
      <c r="AK8">
        <v>105.56052500200001</v>
      </c>
      <c r="AL8">
        <v>100.006491368</v>
      </c>
      <c r="AM8">
        <v>100.203813517</v>
      </c>
      <c r="AN8">
        <v>105.46287039800001</v>
      </c>
      <c r="AO8">
        <v>109.143189431</v>
      </c>
      <c r="AP8">
        <v>93.457517495800005</v>
      </c>
      <c r="AQ8">
        <v>102.958749707</v>
      </c>
      <c r="AR8">
        <v>103.154123704</v>
      </c>
      <c r="AS8">
        <v>103.194715312</v>
      </c>
      <c r="AT8">
        <v>94.076098265100001</v>
      </c>
      <c r="AU8">
        <v>99.870589507800005</v>
      </c>
      <c r="AV8">
        <v>94.648758829599998</v>
      </c>
      <c r="AW8">
        <v>104.14043395</v>
      </c>
      <c r="AX8">
        <v>99.348758962600002</v>
      </c>
      <c r="AY8">
        <v>109.705847283</v>
      </c>
      <c r="AZ8">
        <v>104.850636737</v>
      </c>
      <c r="BA8">
        <v>106.09793068099999</v>
      </c>
      <c r="BB8">
        <v>103.86074857200001</v>
      </c>
      <c r="BC8">
        <v>99.454896505600004</v>
      </c>
      <c r="BD8">
        <v>95.7943843706</v>
      </c>
      <c r="BE8">
        <v>91.819940650000007</v>
      </c>
      <c r="BF8">
        <v>100.121195888</v>
      </c>
      <c r="BG8">
        <v>89.849724352799996</v>
      </c>
      <c r="BH8">
        <v>103.57183358</v>
      </c>
      <c r="BI8">
        <v>102.822405203</v>
      </c>
      <c r="BJ8">
        <v>107.104750499</v>
      </c>
      <c r="BK8">
        <v>103.34715342699999</v>
      </c>
      <c r="BL8">
        <v>100.916403472</v>
      </c>
      <c r="BM8">
        <v>91.318824005699994</v>
      </c>
      <c r="BN8">
        <v>105.97058252799999</v>
      </c>
      <c r="BO8">
        <v>91.362349583599993</v>
      </c>
      <c r="BP8">
        <v>97.556515321500001</v>
      </c>
      <c r="BQ8">
        <v>95.315370543399993</v>
      </c>
      <c r="BR8">
        <v>97.436367498099997</v>
      </c>
      <c r="BS8">
        <v>101.411926036</v>
      </c>
      <c r="BT8">
        <v>110.51715103799999</v>
      </c>
      <c r="BU8">
        <v>101.986629655</v>
      </c>
      <c r="BV8">
        <v>96.603489481300002</v>
      </c>
      <c r="BW8">
        <v>92.0048284314</v>
      </c>
      <c r="BX8">
        <v>99.459861098000005</v>
      </c>
      <c r="BY8">
        <v>100.758273757</v>
      </c>
      <c r="BZ8">
        <v>91.655599466499993</v>
      </c>
      <c r="CA8">
        <v>103.132212868</v>
      </c>
      <c r="CB8">
        <v>98.523876344399994</v>
      </c>
      <c r="CC8">
        <v>98.291923816799994</v>
      </c>
      <c r="CD8">
        <v>94.539367976999998</v>
      </c>
      <c r="CE8">
        <v>95.942039826200002</v>
      </c>
      <c r="CF8">
        <v>95.148837217899995</v>
      </c>
      <c r="CG8">
        <v>91.553653434799998</v>
      </c>
      <c r="CH8">
        <v>107.115145106</v>
      </c>
      <c r="CI8">
        <v>92.669956487500002</v>
      </c>
      <c r="CJ8">
        <v>102.850689049</v>
      </c>
      <c r="CK8">
        <v>95.643441696899998</v>
      </c>
      <c r="CL8">
        <v>93.490427719300001</v>
      </c>
      <c r="CM8">
        <v>102.367282378</v>
      </c>
      <c r="CN8">
        <v>93.568291797599997</v>
      </c>
      <c r="CO8">
        <v>103.608376987</v>
      </c>
      <c r="CP8">
        <v>107.62567534999999</v>
      </c>
      <c r="CQ8">
        <v>102.60788812200001</v>
      </c>
      <c r="CR8">
        <v>102.134019061</v>
      </c>
      <c r="CS8">
        <v>104.072375221</v>
      </c>
      <c r="CT8">
        <v>100.334787995</v>
      </c>
      <c r="CU8">
        <v>102.34579300999999</v>
      </c>
      <c r="CV8">
        <v>101.373781944</v>
      </c>
      <c r="CW8">
        <v>99.769944820899994</v>
      </c>
      <c r="CX8">
        <v>98.971807443499998</v>
      </c>
      <c r="CY8">
        <v>101.232179418</v>
      </c>
      <c r="CZ8">
        <v>103.65211062100001</v>
      </c>
      <c r="DA8">
        <v>93.545948437000007</v>
      </c>
      <c r="DB8">
        <v>100.75509393900001</v>
      </c>
      <c r="DC8">
        <v>98.518934344000002</v>
      </c>
      <c r="DD8">
        <v>104.836809129</v>
      </c>
      <c r="DE8">
        <v>102.90264631399999</v>
      </c>
      <c r="DF8">
        <v>103.451791179</v>
      </c>
      <c r="DG8">
        <v>99.355862089799999</v>
      </c>
      <c r="DH8">
        <v>100.636549344</v>
      </c>
    </row>
    <row r="9" spans="1:112" x14ac:dyDescent="0.25">
      <c r="A9" s="8">
        <f t="shared" si="0"/>
        <v>96.71294193519816</v>
      </c>
      <c r="B9" s="9">
        <f>AVERAGE($C$2:C9)</f>
        <v>4.5717472294419519</v>
      </c>
      <c r="C9" s="9">
        <f t="shared" si="1"/>
        <v>4.5431100520169316</v>
      </c>
      <c r="D9" s="6">
        <f>AVERAGE($G$2:G9)</f>
        <v>100</v>
      </c>
      <c r="E9" s="6">
        <f>AVERAGE($H$2:H9)</f>
        <v>97.305899096600001</v>
      </c>
      <c r="F9" s="6">
        <f>AVERAGE($M$2:M9)</f>
        <v>96.736376512650011</v>
      </c>
      <c r="G9" s="6" t="b">
        <f t="shared" si="2"/>
        <v>0</v>
      </c>
      <c r="H9" t="b">
        <f t="shared" si="3"/>
        <v>0</v>
      </c>
      <c r="I9" s="6">
        <f t="shared" si="4"/>
        <v>-0.56952258394998978</v>
      </c>
      <c r="J9" s="6">
        <f t="shared" si="5"/>
        <v>-3.2636234873499887</v>
      </c>
      <c r="K9">
        <v>7</v>
      </c>
      <c r="L9">
        <f>L8+Asian!dt</f>
        <v>7.0000000000000007E-2</v>
      </c>
      <c r="M9">
        <v>93.982636959999994</v>
      </c>
      <c r="N9">
        <v>96.3141342264</v>
      </c>
      <c r="O9">
        <v>109.76975740899999</v>
      </c>
      <c r="P9">
        <v>100.475037202</v>
      </c>
      <c r="Q9">
        <v>103.982585461</v>
      </c>
      <c r="R9">
        <v>98.747710769099996</v>
      </c>
      <c r="S9">
        <v>107.75350796399999</v>
      </c>
      <c r="T9">
        <v>100.03163111800001</v>
      </c>
      <c r="U9">
        <v>108.50230934699999</v>
      </c>
      <c r="V9">
        <v>97.323790193600004</v>
      </c>
      <c r="W9">
        <v>99.526296383900004</v>
      </c>
      <c r="X9">
        <v>105.467928783</v>
      </c>
      <c r="Y9">
        <v>103.508921152</v>
      </c>
      <c r="Z9">
        <v>97.189957780599997</v>
      </c>
      <c r="AA9">
        <v>105.066288296</v>
      </c>
      <c r="AB9">
        <v>93.861403209800002</v>
      </c>
      <c r="AC9">
        <v>90.133310488899994</v>
      </c>
      <c r="AD9">
        <v>95.740029452800002</v>
      </c>
      <c r="AE9">
        <v>99.607500548700003</v>
      </c>
      <c r="AF9">
        <v>92.700516971400006</v>
      </c>
      <c r="AG9">
        <v>106.553286736</v>
      </c>
      <c r="AH9">
        <v>94.438534241100001</v>
      </c>
      <c r="AI9">
        <v>103.319298672</v>
      </c>
      <c r="AJ9">
        <v>99.760403280600002</v>
      </c>
      <c r="AK9">
        <v>104.054329337</v>
      </c>
      <c r="AL9">
        <v>98.195870223599997</v>
      </c>
      <c r="AM9">
        <v>100.566654464</v>
      </c>
      <c r="AN9">
        <v>107.25073575</v>
      </c>
      <c r="AO9">
        <v>109.32281586000001</v>
      </c>
      <c r="AP9">
        <v>95.572505779899998</v>
      </c>
      <c r="AQ9">
        <v>103.02412898199999</v>
      </c>
      <c r="AR9">
        <v>100.99542264999999</v>
      </c>
      <c r="AS9">
        <v>103.73039418099999</v>
      </c>
      <c r="AT9">
        <v>91.938341526499997</v>
      </c>
      <c r="AU9">
        <v>97.390784624999995</v>
      </c>
      <c r="AV9">
        <v>95.860626308500002</v>
      </c>
      <c r="AW9">
        <v>103.99355183999999</v>
      </c>
      <c r="AX9">
        <v>97.129500864999997</v>
      </c>
      <c r="AY9">
        <v>108.995354271</v>
      </c>
      <c r="AZ9">
        <v>104.517721177</v>
      </c>
      <c r="BA9">
        <v>105.00225760799999</v>
      </c>
      <c r="BB9">
        <v>102.823837365</v>
      </c>
      <c r="BC9">
        <v>101.67859459100001</v>
      </c>
      <c r="BD9">
        <v>94.8541903757</v>
      </c>
      <c r="BE9">
        <v>88.468602425399993</v>
      </c>
      <c r="BF9">
        <v>96.766271759000006</v>
      </c>
      <c r="BG9">
        <v>86.649601808599996</v>
      </c>
      <c r="BH9">
        <v>102.438178163</v>
      </c>
      <c r="BI9">
        <v>106.204069901</v>
      </c>
      <c r="BJ9">
        <v>103.92619053999999</v>
      </c>
      <c r="BK9">
        <v>100.518524699</v>
      </c>
      <c r="BL9">
        <v>101.946427484</v>
      </c>
      <c r="BM9">
        <v>91.412205362400002</v>
      </c>
      <c r="BN9">
        <v>105.46531463700001</v>
      </c>
      <c r="BO9">
        <v>91.275111978599995</v>
      </c>
      <c r="BP9">
        <v>97.657439644299998</v>
      </c>
      <c r="BQ9">
        <v>97.7294273057</v>
      </c>
      <c r="BR9">
        <v>96.723626183299999</v>
      </c>
      <c r="BS9">
        <v>99.313265821900004</v>
      </c>
      <c r="BT9">
        <v>107.805585443</v>
      </c>
      <c r="BU9">
        <v>101.749777483</v>
      </c>
      <c r="BV9">
        <v>95.5983116787</v>
      </c>
      <c r="BW9">
        <v>93.622949772699997</v>
      </c>
      <c r="BX9">
        <v>101.824900117</v>
      </c>
      <c r="BY9">
        <v>100.855205725</v>
      </c>
      <c r="BZ9">
        <v>91.169182433800003</v>
      </c>
      <c r="CA9">
        <v>100.00208257200001</v>
      </c>
      <c r="CB9">
        <v>96.246618392200006</v>
      </c>
      <c r="CC9">
        <v>97.267565171100003</v>
      </c>
      <c r="CD9">
        <v>96.152457637500007</v>
      </c>
      <c r="CE9">
        <v>98.856205297200006</v>
      </c>
      <c r="CF9">
        <v>96.475594397699993</v>
      </c>
      <c r="CG9">
        <v>91.003303779199996</v>
      </c>
      <c r="CH9">
        <v>104.75793973</v>
      </c>
      <c r="CI9">
        <v>91.126600492199998</v>
      </c>
      <c r="CJ9">
        <v>102.505367901</v>
      </c>
      <c r="CK9">
        <v>97.3714987579</v>
      </c>
      <c r="CL9">
        <v>94.096169596699994</v>
      </c>
      <c r="CM9">
        <v>97.972601022099994</v>
      </c>
      <c r="CN9">
        <v>96.260750244500002</v>
      </c>
      <c r="CO9">
        <v>105.053894391</v>
      </c>
      <c r="CP9">
        <v>105.601082439</v>
      </c>
      <c r="CQ9">
        <v>97.9397103007</v>
      </c>
      <c r="CR9">
        <v>101.327580274</v>
      </c>
      <c r="CS9">
        <v>103.02293808899999</v>
      </c>
      <c r="CT9">
        <v>101.889962008</v>
      </c>
      <c r="CU9">
        <v>103.53579702499999</v>
      </c>
      <c r="CV9">
        <v>104.38848177</v>
      </c>
      <c r="CW9">
        <v>98.547504504000003</v>
      </c>
      <c r="CX9">
        <v>103.005738104</v>
      </c>
      <c r="CY9">
        <v>98.698683754200005</v>
      </c>
      <c r="CZ9">
        <v>104.989614188</v>
      </c>
      <c r="DA9">
        <v>93.278416914100006</v>
      </c>
      <c r="DB9">
        <v>103.313898765</v>
      </c>
      <c r="DC9">
        <v>99.125992163099994</v>
      </c>
      <c r="DD9">
        <v>103.95806660700001</v>
      </c>
      <c r="DE9">
        <v>104.97466497000001</v>
      </c>
      <c r="DF9">
        <v>105.180707748</v>
      </c>
      <c r="DG9">
        <v>96.354961266900006</v>
      </c>
      <c r="DH9">
        <v>102.501776425</v>
      </c>
    </row>
    <row r="10" spans="1:112" x14ac:dyDescent="0.25">
      <c r="A10" s="8">
        <f t="shared" si="0"/>
        <v>96.436530318580594</v>
      </c>
      <c r="B10" s="9">
        <f>AVERAGE($C$2:C10)</f>
        <v>4.5688850750483878</v>
      </c>
      <c r="C10" s="9">
        <f t="shared" si="1"/>
        <v>4.5459878398998734</v>
      </c>
      <c r="D10" s="6">
        <f>AVERAGE($G$2:G10)</f>
        <v>100</v>
      </c>
      <c r="E10" s="6">
        <f>AVERAGE($H$2:H10)</f>
        <v>96.288428928966667</v>
      </c>
      <c r="F10" s="6">
        <f>AVERAGE($M$2:M10)</f>
        <v>96.460500077211123</v>
      </c>
      <c r="G10" s="6" t="b">
        <f t="shared" si="2"/>
        <v>0</v>
      </c>
      <c r="H10">
        <f t="shared" si="3"/>
        <v>94.253488593699998</v>
      </c>
      <c r="I10" s="6">
        <f t="shared" si="4"/>
        <v>0.17207114824445569</v>
      </c>
      <c r="J10" s="6">
        <f t="shared" si="5"/>
        <v>-3.5394999227888775</v>
      </c>
      <c r="K10">
        <v>8</v>
      </c>
      <c r="L10">
        <f>L9+Asian!dt</f>
        <v>0.08</v>
      </c>
      <c r="M10">
        <v>94.253488593699998</v>
      </c>
      <c r="N10">
        <v>96.314212858199994</v>
      </c>
      <c r="O10">
        <v>108.33064629</v>
      </c>
      <c r="P10">
        <v>98.109019580199998</v>
      </c>
      <c r="Q10">
        <v>104.92956736399999</v>
      </c>
      <c r="R10">
        <v>98.926960951500007</v>
      </c>
      <c r="S10">
        <v>108.963285898</v>
      </c>
      <c r="T10">
        <v>102.06828950400001</v>
      </c>
      <c r="U10">
        <v>108.590904291</v>
      </c>
      <c r="V10">
        <v>100.349359408</v>
      </c>
      <c r="W10">
        <v>99.178444933600005</v>
      </c>
      <c r="X10">
        <v>105.567393192</v>
      </c>
      <c r="Y10">
        <v>99.997910155599996</v>
      </c>
      <c r="Z10">
        <v>98.634204188300004</v>
      </c>
      <c r="AA10">
        <v>101.84832006000001</v>
      </c>
      <c r="AB10">
        <v>94.824240639500005</v>
      </c>
      <c r="AC10">
        <v>88.756304752000005</v>
      </c>
      <c r="AD10">
        <v>97.141858387900001</v>
      </c>
      <c r="AE10">
        <v>102.049670947</v>
      </c>
      <c r="AF10">
        <v>92.044369942299994</v>
      </c>
      <c r="AG10">
        <v>106.60771594800001</v>
      </c>
      <c r="AH10">
        <v>96.859429831900002</v>
      </c>
      <c r="AI10">
        <v>103.491195159</v>
      </c>
      <c r="AJ10">
        <v>98.379685965899995</v>
      </c>
      <c r="AK10">
        <v>105.63244835899999</v>
      </c>
      <c r="AL10">
        <v>97.540778675599995</v>
      </c>
      <c r="AM10">
        <v>101.282763499</v>
      </c>
      <c r="AN10">
        <v>109.88160634</v>
      </c>
      <c r="AO10">
        <v>109.69252930099999</v>
      </c>
      <c r="AP10">
        <v>95.646976829600007</v>
      </c>
      <c r="AQ10">
        <v>100.080325577</v>
      </c>
      <c r="AR10">
        <v>102.989144289</v>
      </c>
      <c r="AS10">
        <v>104.456145565</v>
      </c>
      <c r="AT10">
        <v>89.583299976700005</v>
      </c>
      <c r="AU10">
        <v>96.314327719700003</v>
      </c>
      <c r="AV10">
        <v>96.603415600100007</v>
      </c>
      <c r="AW10">
        <v>103.310545534</v>
      </c>
      <c r="AX10">
        <v>96.779610120399994</v>
      </c>
      <c r="AY10">
        <v>112.272312816</v>
      </c>
      <c r="AZ10">
        <v>104.48273817800001</v>
      </c>
      <c r="BA10">
        <v>104.763390786</v>
      </c>
      <c r="BB10">
        <v>103.323635967</v>
      </c>
      <c r="BC10">
        <v>102.847198049</v>
      </c>
      <c r="BD10">
        <v>95.255236900300005</v>
      </c>
      <c r="BE10">
        <v>88.501530930499996</v>
      </c>
      <c r="BF10">
        <v>94.775116633899998</v>
      </c>
      <c r="BG10">
        <v>88.015625544000002</v>
      </c>
      <c r="BH10">
        <v>101.643629878</v>
      </c>
      <c r="BI10">
        <v>105.47141857</v>
      </c>
      <c r="BJ10">
        <v>103.75893209</v>
      </c>
      <c r="BK10">
        <v>98.585461355700005</v>
      </c>
      <c r="BL10">
        <v>95.711279512000004</v>
      </c>
      <c r="BM10">
        <v>94.706083335399995</v>
      </c>
      <c r="BN10">
        <v>102.707233563</v>
      </c>
      <c r="BO10">
        <v>90.896018114</v>
      </c>
      <c r="BP10">
        <v>100.098645494</v>
      </c>
      <c r="BQ10">
        <v>95.979354629499994</v>
      </c>
      <c r="BR10">
        <v>99.093110897000003</v>
      </c>
      <c r="BS10">
        <v>101.106887163</v>
      </c>
      <c r="BT10">
        <v>104.00665108</v>
      </c>
      <c r="BU10">
        <v>101.458975123</v>
      </c>
      <c r="BV10">
        <v>95.233409500400001</v>
      </c>
      <c r="BW10">
        <v>95.373732738800001</v>
      </c>
      <c r="BX10">
        <v>98.885712629099999</v>
      </c>
      <c r="BY10">
        <v>99.225308187400003</v>
      </c>
      <c r="BZ10">
        <v>91.810090989200006</v>
      </c>
      <c r="CA10">
        <v>100.73816484699999</v>
      </c>
      <c r="CB10">
        <v>96.754447259800003</v>
      </c>
      <c r="CC10">
        <v>98.909682949599997</v>
      </c>
      <c r="CD10">
        <v>95.122846998499995</v>
      </c>
      <c r="CE10">
        <v>99.719434661700006</v>
      </c>
      <c r="CF10">
        <v>97.2284104923</v>
      </c>
      <c r="CG10">
        <v>92.047971457599999</v>
      </c>
      <c r="CH10">
        <v>106.10123773700001</v>
      </c>
      <c r="CI10">
        <v>89.604993329400003</v>
      </c>
      <c r="CJ10">
        <v>101.828480501</v>
      </c>
      <c r="CK10">
        <v>99.162564093900002</v>
      </c>
      <c r="CL10">
        <v>92.962144144500002</v>
      </c>
      <c r="CM10">
        <v>97.926618547700002</v>
      </c>
      <c r="CN10">
        <v>92.974070031099998</v>
      </c>
      <c r="CO10">
        <v>105.32557455200001</v>
      </c>
      <c r="CP10">
        <v>99.1683949146</v>
      </c>
      <c r="CQ10">
        <v>100.744076458</v>
      </c>
      <c r="CR10">
        <v>99.208332394799996</v>
      </c>
      <c r="CS10">
        <v>103.668583673</v>
      </c>
      <c r="CT10">
        <v>103.255682945</v>
      </c>
      <c r="CU10">
        <v>104.618147482</v>
      </c>
      <c r="CV10">
        <v>108.43423522099999</v>
      </c>
      <c r="CW10">
        <v>98.270393979000005</v>
      </c>
      <c r="CX10">
        <v>103.42354378500001</v>
      </c>
      <c r="CY10">
        <v>96.664199270400005</v>
      </c>
      <c r="CZ10">
        <v>104.065033978</v>
      </c>
      <c r="DA10">
        <v>95.895226384200001</v>
      </c>
      <c r="DB10">
        <v>108.612394905</v>
      </c>
      <c r="DC10">
        <v>95.283070341599995</v>
      </c>
      <c r="DD10">
        <v>102.59444842000001</v>
      </c>
      <c r="DE10">
        <v>102.54227717400001</v>
      </c>
      <c r="DF10">
        <v>104.37824199799999</v>
      </c>
      <c r="DG10">
        <v>96.784325167199995</v>
      </c>
      <c r="DH10">
        <v>100.84350269399999</v>
      </c>
    </row>
    <row r="11" spans="1:112" x14ac:dyDescent="0.25">
      <c r="A11" s="8">
        <f t="shared" si="0"/>
        <v>96.037607489259358</v>
      </c>
      <c r="B11" s="9">
        <f>AVERAGE($C$2:C11)</f>
        <v>4.5647398594357078</v>
      </c>
      <c r="C11" s="9">
        <f t="shared" si="1"/>
        <v>4.5274329189215896</v>
      </c>
      <c r="D11" s="6">
        <f>AVERAGE($G$2:G11)</f>
        <v>100</v>
      </c>
      <c r="E11" s="6">
        <f>AVERAGE($H$2:H11)</f>
        <v>96.288428928966667</v>
      </c>
      <c r="F11" s="6">
        <f>AVERAGE($M$2:M11)</f>
        <v>96.066524840370022</v>
      </c>
      <c r="G11" s="6" t="b">
        <f t="shared" si="2"/>
        <v>0</v>
      </c>
      <c r="H11" t="b">
        <f t="shared" si="3"/>
        <v>0</v>
      </c>
      <c r="I11" s="6">
        <f t="shared" si="4"/>
        <v>-0.22190408859664501</v>
      </c>
      <c r="J11" s="6">
        <f t="shared" si="5"/>
        <v>-3.9334751596299782</v>
      </c>
      <c r="K11">
        <v>9</v>
      </c>
      <c r="L11">
        <f>L10+Asian!dt</f>
        <v>0.09</v>
      </c>
      <c r="M11">
        <v>92.520747708800002</v>
      </c>
      <c r="N11">
        <v>95.194122630400003</v>
      </c>
      <c r="O11">
        <v>110.153203977</v>
      </c>
      <c r="P11">
        <v>99.126404535999995</v>
      </c>
      <c r="Q11">
        <v>103.651498696</v>
      </c>
      <c r="R11">
        <v>100.088549262</v>
      </c>
      <c r="S11">
        <v>110.71443836</v>
      </c>
      <c r="T11">
        <v>102.974123869</v>
      </c>
      <c r="U11">
        <v>110.4050438</v>
      </c>
      <c r="V11">
        <v>100.97651076</v>
      </c>
      <c r="W11">
        <v>100.449969465</v>
      </c>
      <c r="X11">
        <v>105.90465104099999</v>
      </c>
      <c r="Y11">
        <v>99.703486707099998</v>
      </c>
      <c r="Z11">
        <v>101.969157399</v>
      </c>
      <c r="AA11">
        <v>104.266789637</v>
      </c>
      <c r="AB11">
        <v>95.926410369699994</v>
      </c>
      <c r="AC11">
        <v>90.275696047500006</v>
      </c>
      <c r="AD11">
        <v>96.922337754599994</v>
      </c>
      <c r="AE11">
        <v>105.65183965999999</v>
      </c>
      <c r="AF11">
        <v>89.805604975600005</v>
      </c>
      <c r="AG11">
        <v>103.81517175099999</v>
      </c>
      <c r="AH11">
        <v>98.803203918199998</v>
      </c>
      <c r="AI11">
        <v>101.122348442</v>
      </c>
      <c r="AJ11">
        <v>98.7363949808</v>
      </c>
      <c r="AK11">
        <v>106.907259737</v>
      </c>
      <c r="AL11">
        <v>97.659760623799997</v>
      </c>
      <c r="AM11">
        <v>99.610882864199993</v>
      </c>
      <c r="AN11">
        <v>106.715028135</v>
      </c>
      <c r="AO11">
        <v>105.70168590500001</v>
      </c>
      <c r="AP11">
        <v>95.190185432199996</v>
      </c>
      <c r="AQ11">
        <v>96.876389610299995</v>
      </c>
      <c r="AR11">
        <v>101.994401844</v>
      </c>
      <c r="AS11">
        <v>105.599038112</v>
      </c>
      <c r="AT11">
        <v>93.299027902800006</v>
      </c>
      <c r="AU11">
        <v>98.228855924300007</v>
      </c>
      <c r="AV11">
        <v>101.20811351899999</v>
      </c>
      <c r="AW11">
        <v>102.480421702</v>
      </c>
      <c r="AX11">
        <v>98.891455225000001</v>
      </c>
      <c r="AY11">
        <v>112.595986688</v>
      </c>
      <c r="AZ11">
        <v>104.297767327</v>
      </c>
      <c r="BA11">
        <v>104.88858118900001</v>
      </c>
      <c r="BB11">
        <v>105.081346573</v>
      </c>
      <c r="BC11">
        <v>104.7315976</v>
      </c>
      <c r="BD11">
        <v>96.600689730900001</v>
      </c>
      <c r="BE11">
        <v>88.043437898400001</v>
      </c>
      <c r="BF11">
        <v>95.454025923299994</v>
      </c>
      <c r="BG11">
        <v>91.491906022500004</v>
      </c>
      <c r="BH11">
        <v>100.790819709</v>
      </c>
      <c r="BI11">
        <v>106.746139537</v>
      </c>
      <c r="BJ11">
        <v>103.631389865</v>
      </c>
      <c r="BK11">
        <v>98.642139378899998</v>
      </c>
      <c r="BL11">
        <v>93.784609836399994</v>
      </c>
      <c r="BM11">
        <v>95.382989831200007</v>
      </c>
      <c r="BN11">
        <v>99.314631281000004</v>
      </c>
      <c r="BO11">
        <v>90.399123912899995</v>
      </c>
      <c r="BP11">
        <v>99.904682473099996</v>
      </c>
      <c r="BQ11">
        <v>95.362336908399996</v>
      </c>
      <c r="BR11">
        <v>96.976204494100003</v>
      </c>
      <c r="BS11">
        <v>102.429297488</v>
      </c>
      <c r="BT11">
        <v>104.389724938</v>
      </c>
      <c r="BU11">
        <v>101.125950315</v>
      </c>
      <c r="BV11">
        <v>93.030030791599998</v>
      </c>
      <c r="BW11">
        <v>95.345589847400007</v>
      </c>
      <c r="BX11">
        <v>98.767741022899997</v>
      </c>
      <c r="BY11">
        <v>101.29405531899999</v>
      </c>
      <c r="BZ11">
        <v>91.520447012600002</v>
      </c>
      <c r="CA11">
        <v>101.121756291</v>
      </c>
      <c r="CB11">
        <v>97.695073080900002</v>
      </c>
      <c r="CC11">
        <v>98.168417307400006</v>
      </c>
      <c r="CD11">
        <v>98.546927353599997</v>
      </c>
      <c r="CE11">
        <v>98.022396864699999</v>
      </c>
      <c r="CF11">
        <v>96.686531227499998</v>
      </c>
      <c r="CG11">
        <v>89.829774149800002</v>
      </c>
      <c r="CH11">
        <v>106.42688959199999</v>
      </c>
      <c r="CI11">
        <v>89.555753079900001</v>
      </c>
      <c r="CJ11">
        <v>104.53218559</v>
      </c>
      <c r="CK11">
        <v>100.14037059100001</v>
      </c>
      <c r="CL11">
        <v>92.870890220999996</v>
      </c>
      <c r="CM11">
        <v>95.975250766800002</v>
      </c>
      <c r="CN11">
        <v>94.432198921299999</v>
      </c>
      <c r="CO11">
        <v>105.836920358</v>
      </c>
      <c r="CP11">
        <v>97.907067206999997</v>
      </c>
      <c r="CQ11">
        <v>101.987520162</v>
      </c>
      <c r="CR11">
        <v>101.74524809499999</v>
      </c>
      <c r="CS11">
        <v>104.466799275</v>
      </c>
      <c r="CT11">
        <v>105.42832469</v>
      </c>
      <c r="CU11">
        <v>104.430325344</v>
      </c>
      <c r="CV11">
        <v>106.856897996</v>
      </c>
      <c r="CW11">
        <v>100.928727424</v>
      </c>
      <c r="CX11">
        <v>105.084737463</v>
      </c>
      <c r="CY11">
        <v>95.800011108299998</v>
      </c>
      <c r="CZ11">
        <v>102.504253472</v>
      </c>
      <c r="DA11">
        <v>94.197436945899994</v>
      </c>
      <c r="DB11">
        <v>107.37883237200001</v>
      </c>
      <c r="DC11">
        <v>99.757983425000006</v>
      </c>
      <c r="DD11">
        <v>102.745900198</v>
      </c>
      <c r="DE11">
        <v>102.528691721</v>
      </c>
      <c r="DF11">
        <v>104.802952545</v>
      </c>
      <c r="DG11">
        <v>97.461452270400002</v>
      </c>
      <c r="DH11">
        <v>100.80378438300001</v>
      </c>
    </row>
    <row r="12" spans="1:112" x14ac:dyDescent="0.25">
      <c r="A12" s="8">
        <f t="shared" si="0"/>
        <v>95.708658199205971</v>
      </c>
      <c r="B12" s="9">
        <f>AVERAGE($C$2:C12)</f>
        <v>4.5613087666675396</v>
      </c>
      <c r="C12" s="9">
        <f t="shared" si="1"/>
        <v>4.5269978389858601</v>
      </c>
      <c r="D12" s="6">
        <f>AVERAGE($G$2:G12)</f>
        <v>96.240251271700004</v>
      </c>
      <c r="E12" s="6">
        <f>AVERAGE($H$2:H12)</f>
        <v>96.288428928966667</v>
      </c>
      <c r="F12" s="6">
        <f>AVERAGE($M$2:M12)</f>
        <v>95.740522813372749</v>
      </c>
      <c r="G12" s="6">
        <f t="shared" si="2"/>
        <v>92.480502543399993</v>
      </c>
      <c r="H12" t="b">
        <f t="shared" si="3"/>
        <v>0</v>
      </c>
      <c r="I12" s="6">
        <f t="shared" si="4"/>
        <v>-0.54790611559391778</v>
      </c>
      <c r="J12" s="6">
        <f t="shared" si="5"/>
        <v>-0.49972845832725454</v>
      </c>
      <c r="K12">
        <v>10</v>
      </c>
      <c r="L12">
        <f>L11+Asian!dt</f>
        <v>9.9999999999999992E-2</v>
      </c>
      <c r="M12">
        <v>92.480502543399993</v>
      </c>
      <c r="N12">
        <v>93.151415910300003</v>
      </c>
      <c r="O12">
        <v>113.024400671</v>
      </c>
      <c r="P12">
        <v>98.434768839599997</v>
      </c>
      <c r="Q12">
        <v>106.705444536</v>
      </c>
      <c r="R12">
        <v>100.84890780400001</v>
      </c>
      <c r="S12">
        <v>111.00256170199999</v>
      </c>
      <c r="T12">
        <v>99.260552889400003</v>
      </c>
      <c r="U12">
        <v>113.050352031</v>
      </c>
      <c r="V12">
        <v>102.268166255</v>
      </c>
      <c r="W12">
        <v>99.365468657099996</v>
      </c>
      <c r="X12">
        <v>101.84165080299999</v>
      </c>
      <c r="Y12">
        <v>101.11987724700001</v>
      </c>
      <c r="Z12">
        <v>98.044904969000001</v>
      </c>
      <c r="AA12">
        <v>107.078857394</v>
      </c>
      <c r="AB12">
        <v>95.969587911999994</v>
      </c>
      <c r="AC12">
        <v>91.581671161700001</v>
      </c>
      <c r="AD12">
        <v>94.694318804999995</v>
      </c>
      <c r="AE12">
        <v>105.394806184</v>
      </c>
      <c r="AF12">
        <v>89.7995436283</v>
      </c>
      <c r="AG12">
        <v>100.913499801</v>
      </c>
      <c r="AH12">
        <v>98.195933359799994</v>
      </c>
      <c r="AI12">
        <v>100.457827927</v>
      </c>
      <c r="AJ12">
        <v>97.040814738799995</v>
      </c>
      <c r="AK12">
        <v>108.316987604</v>
      </c>
      <c r="AL12">
        <v>95.665594123399998</v>
      </c>
      <c r="AM12">
        <v>98.183803147999996</v>
      </c>
      <c r="AN12">
        <v>106.707768749</v>
      </c>
      <c r="AO12">
        <v>108.058886044</v>
      </c>
      <c r="AP12">
        <v>96.982680802100006</v>
      </c>
      <c r="AQ12">
        <v>95.735384357300006</v>
      </c>
      <c r="AR12">
        <v>100.916914679</v>
      </c>
      <c r="AS12">
        <v>104.270752316</v>
      </c>
      <c r="AT12">
        <v>93.371093302800006</v>
      </c>
      <c r="AU12">
        <v>96.409439665400001</v>
      </c>
      <c r="AV12">
        <v>99.924897418599997</v>
      </c>
      <c r="AW12">
        <v>105.316247491</v>
      </c>
      <c r="AX12">
        <v>98.092919508700007</v>
      </c>
      <c r="AY12">
        <v>111.07401242500001</v>
      </c>
      <c r="AZ12">
        <v>105.960502095</v>
      </c>
      <c r="BA12">
        <v>107.46262285</v>
      </c>
      <c r="BB12">
        <v>105.341190876</v>
      </c>
      <c r="BC12">
        <v>108.73473973999999</v>
      </c>
      <c r="BD12">
        <v>98.844887513900005</v>
      </c>
      <c r="BE12">
        <v>88.324591983100007</v>
      </c>
      <c r="BF12">
        <v>91.886511138000003</v>
      </c>
      <c r="BG12">
        <v>93.652872849199994</v>
      </c>
      <c r="BH12">
        <v>100.342023133</v>
      </c>
      <c r="BI12">
        <v>106.670968884</v>
      </c>
      <c r="BJ12">
        <v>106.285583844</v>
      </c>
      <c r="BK12">
        <v>100.18128292999999</v>
      </c>
      <c r="BL12">
        <v>94.598681527300002</v>
      </c>
      <c r="BM12">
        <v>98.732211158400006</v>
      </c>
      <c r="BN12">
        <v>101.20774921100001</v>
      </c>
      <c r="BO12">
        <v>89.508955720399996</v>
      </c>
      <c r="BP12">
        <v>102.11609324200001</v>
      </c>
      <c r="BQ12">
        <v>93.240461303000004</v>
      </c>
      <c r="BR12">
        <v>96.948925410200005</v>
      </c>
      <c r="BS12">
        <v>104.529185168</v>
      </c>
      <c r="BT12">
        <v>103.316765831</v>
      </c>
      <c r="BU12">
        <v>99.290718765099996</v>
      </c>
      <c r="BV12">
        <v>95.110849131799995</v>
      </c>
      <c r="BW12">
        <v>93.854651398800002</v>
      </c>
      <c r="BX12">
        <v>102.190189606</v>
      </c>
      <c r="BY12">
        <v>103.11007789999999</v>
      </c>
      <c r="BZ12">
        <v>93.243682256900001</v>
      </c>
      <c r="CA12">
        <v>99.398654909800001</v>
      </c>
      <c r="CB12">
        <v>100.33901753400001</v>
      </c>
      <c r="CC12">
        <v>99.769678739300005</v>
      </c>
      <c r="CD12">
        <v>99.892608622899999</v>
      </c>
      <c r="CE12">
        <v>100.8466799</v>
      </c>
      <c r="CF12">
        <v>97.694610214899996</v>
      </c>
      <c r="CG12">
        <v>91.566904527099993</v>
      </c>
      <c r="CH12">
        <v>107.158644267</v>
      </c>
      <c r="CI12">
        <v>91.927557609299996</v>
      </c>
      <c r="CJ12">
        <v>104.52122854</v>
      </c>
      <c r="CK12">
        <v>101.802507977</v>
      </c>
      <c r="CL12">
        <v>93.510544294100001</v>
      </c>
      <c r="CM12">
        <v>95.622587261700005</v>
      </c>
      <c r="CN12">
        <v>92.617750040399997</v>
      </c>
      <c r="CO12">
        <v>108.663420968</v>
      </c>
      <c r="CP12">
        <v>100.905865373</v>
      </c>
      <c r="CQ12">
        <v>105.884300788</v>
      </c>
      <c r="CR12">
        <v>104.203021304</v>
      </c>
      <c r="CS12">
        <v>106.16499858</v>
      </c>
      <c r="CT12">
        <v>102.401433422</v>
      </c>
      <c r="CU12">
        <v>101.476023004</v>
      </c>
      <c r="CV12">
        <v>107.004213847</v>
      </c>
      <c r="CW12">
        <v>102.746313406</v>
      </c>
      <c r="CX12">
        <v>106.51897372099999</v>
      </c>
      <c r="CY12">
        <v>96.613079034799995</v>
      </c>
      <c r="CZ12">
        <v>101.12911206299999</v>
      </c>
      <c r="DA12">
        <v>95.473515572400004</v>
      </c>
      <c r="DB12">
        <v>106.134728514</v>
      </c>
      <c r="DC12">
        <v>102.228344241</v>
      </c>
      <c r="DD12">
        <v>100.43940174700001</v>
      </c>
      <c r="DE12">
        <v>102.226135762</v>
      </c>
      <c r="DF12">
        <v>101.394387838</v>
      </c>
      <c r="DG12">
        <v>94.922906837499994</v>
      </c>
      <c r="DH12">
        <v>100.31413177500001</v>
      </c>
    </row>
    <row r="13" spans="1:112" x14ac:dyDescent="0.25">
      <c r="A13" s="8">
        <f t="shared" si="0"/>
        <v>95.180891071097179</v>
      </c>
      <c r="B13" s="9">
        <f>AVERAGE($C$2:C13)</f>
        <v>4.5557791976064559</v>
      </c>
      <c r="C13" s="9">
        <f t="shared" si="1"/>
        <v>4.4949539379345396</v>
      </c>
      <c r="D13" s="6">
        <f>AVERAGE($G$2:G13)</f>
        <v>96.240251271700004</v>
      </c>
      <c r="E13" s="6">
        <f>AVERAGE($H$2:H13)</f>
        <v>96.288428928966667</v>
      </c>
      <c r="F13" s="6">
        <f>AVERAGE($M$2:M13)</f>
        <v>95.225816194366686</v>
      </c>
      <c r="G13" s="6" t="b">
        <f t="shared" si="2"/>
        <v>0</v>
      </c>
      <c r="H13" t="b">
        <f t="shared" si="3"/>
        <v>0</v>
      </c>
      <c r="I13" s="6">
        <f t="shared" si="4"/>
        <v>-1.0626127345999805</v>
      </c>
      <c r="J13" s="6">
        <f t="shared" si="5"/>
        <v>-1.0144350773333173</v>
      </c>
      <c r="K13">
        <v>11</v>
      </c>
      <c r="L13">
        <f>L12+Asian!dt</f>
        <v>0.10999999999999999</v>
      </c>
      <c r="M13">
        <v>89.564043385299996</v>
      </c>
      <c r="N13">
        <v>90.906778322099996</v>
      </c>
      <c r="O13">
        <v>114.39417325399999</v>
      </c>
      <c r="P13">
        <v>100.20454067999999</v>
      </c>
      <c r="Q13">
        <v>103.770506801</v>
      </c>
      <c r="R13">
        <v>97.842660698900005</v>
      </c>
      <c r="S13">
        <v>111.704490429</v>
      </c>
      <c r="T13">
        <v>96.238366172799999</v>
      </c>
      <c r="U13">
        <v>115.58919907799999</v>
      </c>
      <c r="V13">
        <v>98.244372339400002</v>
      </c>
      <c r="W13">
        <v>97.729241700700001</v>
      </c>
      <c r="X13">
        <v>99.901127281000001</v>
      </c>
      <c r="Y13">
        <v>102.15665393899999</v>
      </c>
      <c r="Z13">
        <v>96.718675426100006</v>
      </c>
      <c r="AA13">
        <v>109.755276174</v>
      </c>
      <c r="AB13">
        <v>96.106260324800004</v>
      </c>
      <c r="AC13">
        <v>90.830544985499998</v>
      </c>
      <c r="AD13">
        <v>93.761544717999996</v>
      </c>
      <c r="AE13">
        <v>105.968652728</v>
      </c>
      <c r="AF13">
        <v>89.143387081699998</v>
      </c>
      <c r="AG13">
        <v>101.218854122</v>
      </c>
      <c r="AH13">
        <v>96.865250901600007</v>
      </c>
      <c r="AI13">
        <v>100.279117805</v>
      </c>
      <c r="AJ13">
        <v>99.748183278100001</v>
      </c>
      <c r="AK13">
        <v>107.36956942</v>
      </c>
      <c r="AL13">
        <v>99.588770983100005</v>
      </c>
      <c r="AM13">
        <v>97.402788349000005</v>
      </c>
      <c r="AN13">
        <v>108.453930504</v>
      </c>
      <c r="AO13">
        <v>112.591243921</v>
      </c>
      <c r="AP13">
        <v>102.584970508</v>
      </c>
      <c r="AQ13">
        <v>95.800892073399993</v>
      </c>
      <c r="AR13">
        <v>100.12756971899999</v>
      </c>
      <c r="AS13">
        <v>108.947097232</v>
      </c>
      <c r="AT13">
        <v>93.856613291800002</v>
      </c>
      <c r="AU13">
        <v>94.500189608200003</v>
      </c>
      <c r="AV13">
        <v>99.992767504699998</v>
      </c>
      <c r="AW13">
        <v>106.234984576</v>
      </c>
      <c r="AX13">
        <v>96.953017970000005</v>
      </c>
      <c r="AY13">
        <v>112.405442163</v>
      </c>
      <c r="AZ13">
        <v>109.541155442</v>
      </c>
      <c r="BA13">
        <v>108.988230845</v>
      </c>
      <c r="BB13">
        <v>106.14408374600001</v>
      </c>
      <c r="BC13">
        <v>105.84054622799999</v>
      </c>
      <c r="BD13">
        <v>97.190604044699995</v>
      </c>
      <c r="BE13">
        <v>85.409395238599998</v>
      </c>
      <c r="BF13">
        <v>92.375021590200006</v>
      </c>
      <c r="BG13">
        <v>94.917085152400006</v>
      </c>
      <c r="BH13">
        <v>97.482109183399999</v>
      </c>
      <c r="BI13">
        <v>106.176606052</v>
      </c>
      <c r="BJ13">
        <v>107.17249015900001</v>
      </c>
      <c r="BK13">
        <v>98.053747116599993</v>
      </c>
      <c r="BL13">
        <v>95.455461620400001</v>
      </c>
      <c r="BM13">
        <v>97.451332777999994</v>
      </c>
      <c r="BN13">
        <v>102.48885421</v>
      </c>
      <c r="BO13">
        <v>89.149799888199993</v>
      </c>
      <c r="BP13">
        <v>103.15517378</v>
      </c>
      <c r="BQ13">
        <v>94.917650352500004</v>
      </c>
      <c r="BR13">
        <v>97.429268681600007</v>
      </c>
      <c r="BS13">
        <v>105.149625284</v>
      </c>
      <c r="BT13">
        <v>100.966924804</v>
      </c>
      <c r="BU13">
        <v>102.565859991</v>
      </c>
      <c r="BV13">
        <v>94.669271955499994</v>
      </c>
      <c r="BW13">
        <v>92.237257401199997</v>
      </c>
      <c r="BX13">
        <v>101.67327603699999</v>
      </c>
      <c r="BY13">
        <v>100.901082041</v>
      </c>
      <c r="BZ13">
        <v>94.331239624000006</v>
      </c>
      <c r="CA13">
        <v>101.77820368</v>
      </c>
      <c r="CB13">
        <v>102.036140575</v>
      </c>
      <c r="CC13">
        <v>103.576782397</v>
      </c>
      <c r="CD13">
        <v>100.050295061</v>
      </c>
      <c r="CE13">
        <v>101.216567449</v>
      </c>
      <c r="CF13">
        <v>98.612563274999999</v>
      </c>
      <c r="CG13">
        <v>90.375021823400004</v>
      </c>
      <c r="CH13">
        <v>108.492848868</v>
      </c>
      <c r="CI13">
        <v>90.813483831499994</v>
      </c>
      <c r="CJ13">
        <v>106.995375979</v>
      </c>
      <c r="CK13">
        <v>98.076855103100002</v>
      </c>
      <c r="CL13">
        <v>93.309298774200002</v>
      </c>
      <c r="CM13">
        <v>96.700916867199993</v>
      </c>
      <c r="CN13">
        <v>92.3095051488</v>
      </c>
      <c r="CO13">
        <v>105.752880996</v>
      </c>
      <c r="CP13">
        <v>105.25988087499999</v>
      </c>
      <c r="CQ13">
        <v>104.881673732</v>
      </c>
      <c r="CR13">
        <v>104.499545314</v>
      </c>
      <c r="CS13">
        <v>106.926755288</v>
      </c>
      <c r="CT13">
        <v>105.957232217</v>
      </c>
      <c r="CU13">
        <v>103.461629698</v>
      </c>
      <c r="CV13">
        <v>106.845664822</v>
      </c>
      <c r="CW13">
        <v>105.237595852</v>
      </c>
      <c r="CX13">
        <v>106.046319522</v>
      </c>
      <c r="CY13">
        <v>97.547254677599994</v>
      </c>
      <c r="CZ13">
        <v>101.41529081199999</v>
      </c>
      <c r="DA13">
        <v>94.775969481499999</v>
      </c>
      <c r="DB13">
        <v>107.78902948699999</v>
      </c>
      <c r="DC13">
        <v>100.569129983</v>
      </c>
      <c r="DD13">
        <v>100.15065396999999</v>
      </c>
      <c r="DE13">
        <v>101.823408122</v>
      </c>
      <c r="DF13">
        <v>98.354357839499997</v>
      </c>
      <c r="DG13">
        <v>96.474099191999997</v>
      </c>
      <c r="DH13">
        <v>99.908453149500005</v>
      </c>
    </row>
    <row r="14" spans="1:112" x14ac:dyDescent="0.25">
      <c r="A14" s="8">
        <f t="shared" si="0"/>
        <v>94.562039628783069</v>
      </c>
      <c r="B14" s="9">
        <f>AVERAGE($C$2:C14)</f>
        <v>4.5492561231034978</v>
      </c>
      <c r="C14" s="9">
        <f t="shared" si="1"/>
        <v>4.4709792290679946</v>
      </c>
      <c r="D14" s="6">
        <f>AVERAGE($G$2:G14)</f>
        <v>96.240251271700004</v>
      </c>
      <c r="E14" s="6">
        <f>AVERAGE($H$2:H14)</f>
        <v>94.076898484800012</v>
      </c>
      <c r="F14" s="6">
        <f>AVERAGE($M$2:M14)</f>
        <v>94.627084729592312</v>
      </c>
      <c r="G14" s="6" t="b">
        <f t="shared" si="2"/>
        <v>0</v>
      </c>
      <c r="H14">
        <f t="shared" si="3"/>
        <v>87.442307152300003</v>
      </c>
      <c r="I14" s="6">
        <f t="shared" si="4"/>
        <v>0.55018624479230027</v>
      </c>
      <c r="J14" s="6">
        <f t="shared" si="5"/>
        <v>-1.6131665421076917</v>
      </c>
      <c r="K14">
        <v>12</v>
      </c>
      <c r="L14">
        <f>L13+Asian!dt</f>
        <v>0.11999999999999998</v>
      </c>
      <c r="M14">
        <v>87.442307152300003</v>
      </c>
      <c r="N14">
        <v>90.231186126899999</v>
      </c>
      <c r="O14">
        <v>115.488616103</v>
      </c>
      <c r="P14">
        <v>100.995912625</v>
      </c>
      <c r="Q14">
        <v>106.896608626</v>
      </c>
      <c r="R14">
        <v>96.576356293100005</v>
      </c>
      <c r="S14">
        <v>110.33975109399999</v>
      </c>
      <c r="T14">
        <v>95.193395458500007</v>
      </c>
      <c r="U14">
        <v>112.773752406</v>
      </c>
      <c r="V14">
        <v>95.432588917800004</v>
      </c>
      <c r="W14">
        <v>102.264584434</v>
      </c>
      <c r="X14">
        <v>98.416030871499999</v>
      </c>
      <c r="Y14">
        <v>100.41095951</v>
      </c>
      <c r="Z14">
        <v>96.725171580400001</v>
      </c>
      <c r="AA14">
        <v>106.514886479</v>
      </c>
      <c r="AB14">
        <v>95.421820960800005</v>
      </c>
      <c r="AC14">
        <v>90.151833886299997</v>
      </c>
      <c r="AD14">
        <v>95.654379500900006</v>
      </c>
      <c r="AE14">
        <v>107.451204084</v>
      </c>
      <c r="AF14">
        <v>92.198860547199999</v>
      </c>
      <c r="AG14">
        <v>102.091812398</v>
      </c>
      <c r="AH14">
        <v>95.872813991699999</v>
      </c>
      <c r="AI14">
        <v>99.695921300099997</v>
      </c>
      <c r="AJ14">
        <v>100.76054325299999</v>
      </c>
      <c r="AK14">
        <v>110.019173352</v>
      </c>
      <c r="AL14">
        <v>103.788577295</v>
      </c>
      <c r="AM14">
        <v>96.776273827500006</v>
      </c>
      <c r="AN14">
        <v>105.93696132399999</v>
      </c>
      <c r="AO14">
        <v>115.78169401</v>
      </c>
      <c r="AP14">
        <v>103.21571215900001</v>
      </c>
      <c r="AQ14">
        <v>93.297262002799997</v>
      </c>
      <c r="AR14">
        <v>100.291570323</v>
      </c>
      <c r="AS14">
        <v>107.264080392</v>
      </c>
      <c r="AT14">
        <v>91.222953685500002</v>
      </c>
      <c r="AU14">
        <v>97.036899448</v>
      </c>
      <c r="AV14">
        <v>98.9794641063</v>
      </c>
      <c r="AW14">
        <v>108.275867284</v>
      </c>
      <c r="AX14">
        <v>97.635902568800006</v>
      </c>
      <c r="AY14">
        <v>110.54989990599999</v>
      </c>
      <c r="AZ14">
        <v>109.40064366999999</v>
      </c>
      <c r="BA14">
        <v>109.294593924</v>
      </c>
      <c r="BB14">
        <v>108.817908398</v>
      </c>
      <c r="BC14">
        <v>107.583465508</v>
      </c>
      <c r="BD14">
        <v>100.814908518</v>
      </c>
      <c r="BE14">
        <v>84.861676269599997</v>
      </c>
      <c r="BF14">
        <v>91.765186147600005</v>
      </c>
      <c r="BG14">
        <v>96.103428590799993</v>
      </c>
      <c r="BH14">
        <v>98.6476648549</v>
      </c>
      <c r="BI14">
        <v>101.919859351</v>
      </c>
      <c r="BJ14">
        <v>109.778632667</v>
      </c>
      <c r="BK14">
        <v>96.871585275800001</v>
      </c>
      <c r="BL14">
        <v>94.947757623000001</v>
      </c>
      <c r="BM14">
        <v>97.238695632900004</v>
      </c>
      <c r="BN14">
        <v>100.081667389</v>
      </c>
      <c r="BO14">
        <v>87.634417701900006</v>
      </c>
      <c r="BP14">
        <v>98.230604386600007</v>
      </c>
      <c r="BQ14">
        <v>97.406270330500007</v>
      </c>
      <c r="BR14">
        <v>99.422921055800003</v>
      </c>
      <c r="BS14">
        <v>104.14173719599999</v>
      </c>
      <c r="BT14">
        <v>104.469923069</v>
      </c>
      <c r="BU14">
        <v>103.40169788199999</v>
      </c>
      <c r="BV14">
        <v>95.358410985099994</v>
      </c>
      <c r="BW14">
        <v>94.412844849899997</v>
      </c>
      <c r="BX14">
        <v>99.241928191</v>
      </c>
      <c r="BY14">
        <v>101.78616871200001</v>
      </c>
      <c r="BZ14">
        <v>93.115403389400001</v>
      </c>
      <c r="CA14">
        <v>100.654939583</v>
      </c>
      <c r="CB14">
        <v>102.099858789</v>
      </c>
      <c r="CC14">
        <v>102.484809809</v>
      </c>
      <c r="CD14">
        <v>97.484907102700006</v>
      </c>
      <c r="CE14">
        <v>101.638381886</v>
      </c>
      <c r="CF14">
        <v>100.629013112</v>
      </c>
      <c r="CG14">
        <v>90.296685638100001</v>
      </c>
      <c r="CH14">
        <v>110.26222948</v>
      </c>
      <c r="CI14">
        <v>91.366875182399994</v>
      </c>
      <c r="CJ14">
        <v>107.986171708</v>
      </c>
      <c r="CK14">
        <v>94.175050943900004</v>
      </c>
      <c r="CL14">
        <v>91.991238351700005</v>
      </c>
      <c r="CM14">
        <v>95.659801071299995</v>
      </c>
      <c r="CN14">
        <v>91.477711828699995</v>
      </c>
      <c r="CO14">
        <v>104.065206217</v>
      </c>
      <c r="CP14">
        <v>108.347581549</v>
      </c>
      <c r="CQ14">
        <v>105.118116129</v>
      </c>
      <c r="CR14">
        <v>99.9746119136</v>
      </c>
      <c r="CS14">
        <v>106.43644844799999</v>
      </c>
      <c r="CT14">
        <v>105.519869844</v>
      </c>
      <c r="CU14">
        <v>103.249943558</v>
      </c>
      <c r="CV14">
        <v>105.97657418199999</v>
      </c>
      <c r="CW14">
        <v>103.96225943499999</v>
      </c>
      <c r="CX14">
        <v>106.11088310700001</v>
      </c>
      <c r="CY14">
        <v>97.355794655300002</v>
      </c>
      <c r="CZ14">
        <v>103.158845906</v>
      </c>
      <c r="DA14">
        <v>96.309392842500003</v>
      </c>
      <c r="DB14">
        <v>108.089445681</v>
      </c>
      <c r="DC14">
        <v>101.095830623</v>
      </c>
      <c r="DD14">
        <v>101.155761236</v>
      </c>
      <c r="DE14">
        <v>101.61572091399999</v>
      </c>
      <c r="DF14">
        <v>99.4558066397</v>
      </c>
      <c r="DG14">
        <v>95.618568962500007</v>
      </c>
      <c r="DH14">
        <v>101.630993158</v>
      </c>
    </row>
    <row r="15" spans="1:112" x14ac:dyDescent="0.25">
      <c r="A15" s="8">
        <f t="shared" si="0"/>
        <v>93.773268795464091</v>
      </c>
      <c r="B15" s="9">
        <f>AVERAGE($C$2:C15)</f>
        <v>4.5408798345388259</v>
      </c>
      <c r="C15" s="9">
        <f t="shared" si="1"/>
        <v>4.4319880831980907</v>
      </c>
      <c r="D15" s="6">
        <f>AVERAGE($G$2:G15)</f>
        <v>96.240251271700004</v>
      </c>
      <c r="E15" s="6">
        <f>AVERAGE($H$2:H15)</f>
        <v>94.076898484800012</v>
      </c>
      <c r="F15" s="6">
        <f>AVERAGE($M$2:M15)</f>
        <v>93.875039072364288</v>
      </c>
      <c r="G15" s="6" t="b">
        <f t="shared" si="2"/>
        <v>0</v>
      </c>
      <c r="H15" t="b">
        <f t="shared" si="3"/>
        <v>0</v>
      </c>
      <c r="I15" s="6">
        <f t="shared" si="4"/>
        <v>-0.20185941243572358</v>
      </c>
      <c r="J15" s="6">
        <f t="shared" si="5"/>
        <v>-2.3652121993357156</v>
      </c>
      <c r="K15">
        <v>13</v>
      </c>
      <c r="L15">
        <f>L14+Asian!dt</f>
        <v>0.12999999999999998</v>
      </c>
      <c r="M15">
        <v>84.098445528400006</v>
      </c>
      <c r="N15">
        <v>88.927206158000004</v>
      </c>
      <c r="O15">
        <v>118.377154932</v>
      </c>
      <c r="P15">
        <v>101.255117864</v>
      </c>
      <c r="Q15">
        <v>103.087157159</v>
      </c>
      <c r="R15">
        <v>99.7321846217</v>
      </c>
      <c r="S15">
        <v>107.133526792</v>
      </c>
      <c r="T15">
        <v>90.4273066513</v>
      </c>
      <c r="U15">
        <v>111.968825626</v>
      </c>
      <c r="V15">
        <v>95.561850383800007</v>
      </c>
      <c r="W15">
        <v>104.28598603099999</v>
      </c>
      <c r="X15">
        <v>96.010093633300002</v>
      </c>
      <c r="Y15">
        <v>98.309435825199998</v>
      </c>
      <c r="Z15">
        <v>96.562641126499997</v>
      </c>
      <c r="AA15">
        <v>108.109252403</v>
      </c>
      <c r="AB15">
        <v>94.834339204499997</v>
      </c>
      <c r="AC15">
        <v>90.462335817600007</v>
      </c>
      <c r="AD15">
        <v>91.220666773000005</v>
      </c>
      <c r="AE15">
        <v>108.32597939999999</v>
      </c>
      <c r="AF15">
        <v>88.072600111400007</v>
      </c>
      <c r="AG15">
        <v>101.817222329</v>
      </c>
      <c r="AH15">
        <v>96.947770660000003</v>
      </c>
      <c r="AI15">
        <v>95.5619606315</v>
      </c>
      <c r="AJ15">
        <v>102.55507872</v>
      </c>
      <c r="AK15">
        <v>111.62406534900001</v>
      </c>
      <c r="AL15">
        <v>101.422218108</v>
      </c>
      <c r="AM15">
        <v>96.010695311000006</v>
      </c>
      <c r="AN15">
        <v>109.02023742999999</v>
      </c>
      <c r="AO15">
        <v>116.209959544</v>
      </c>
      <c r="AP15">
        <v>99.629556550199993</v>
      </c>
      <c r="AQ15">
        <v>95.524058316400001</v>
      </c>
      <c r="AR15">
        <v>99.525658041200003</v>
      </c>
      <c r="AS15">
        <v>107.383508331</v>
      </c>
      <c r="AT15">
        <v>90.321121217400005</v>
      </c>
      <c r="AU15">
        <v>97.261909897500004</v>
      </c>
      <c r="AV15">
        <v>98.481874085900003</v>
      </c>
      <c r="AW15">
        <v>108.053454183</v>
      </c>
      <c r="AX15">
        <v>99.4243590918</v>
      </c>
      <c r="AY15">
        <v>110.214548104</v>
      </c>
      <c r="AZ15">
        <v>113.131976017</v>
      </c>
      <c r="BA15">
        <v>113.94966221</v>
      </c>
      <c r="BB15">
        <v>110.78717640000001</v>
      </c>
      <c r="BC15">
        <v>109.621814797</v>
      </c>
      <c r="BD15">
        <v>98.949109394399997</v>
      </c>
      <c r="BE15">
        <v>81.767309839600003</v>
      </c>
      <c r="BF15">
        <v>92.296862299099999</v>
      </c>
      <c r="BG15">
        <v>93.606463133299997</v>
      </c>
      <c r="BH15">
        <v>97.997875382999993</v>
      </c>
      <c r="BI15">
        <v>103.985208226</v>
      </c>
      <c r="BJ15">
        <v>108.499317128</v>
      </c>
      <c r="BK15">
        <v>97.114190355700003</v>
      </c>
      <c r="BL15">
        <v>94.005902824700001</v>
      </c>
      <c r="BM15">
        <v>94.044648098600007</v>
      </c>
      <c r="BN15">
        <v>100.135616625</v>
      </c>
      <c r="BO15">
        <v>85.013438298300002</v>
      </c>
      <c r="BP15">
        <v>98.670591126999994</v>
      </c>
      <c r="BQ15">
        <v>98.211211020500002</v>
      </c>
      <c r="BR15">
        <v>101.122954248</v>
      </c>
      <c r="BS15">
        <v>104.672415036</v>
      </c>
      <c r="BT15">
        <v>105.36173866599999</v>
      </c>
      <c r="BU15">
        <v>103.923676172</v>
      </c>
      <c r="BV15">
        <v>95.938815684900007</v>
      </c>
      <c r="BW15">
        <v>94.135678436899994</v>
      </c>
      <c r="BX15">
        <v>98.135348890800003</v>
      </c>
      <c r="BY15">
        <v>102.681687471</v>
      </c>
      <c r="BZ15">
        <v>92.348151720399997</v>
      </c>
      <c r="CA15">
        <v>101.720192959</v>
      </c>
      <c r="CB15">
        <v>102.504598074</v>
      </c>
      <c r="CC15">
        <v>102.189378905</v>
      </c>
      <c r="CD15">
        <v>97.847897906499995</v>
      </c>
      <c r="CE15">
        <v>102.13992212300001</v>
      </c>
      <c r="CF15">
        <v>100.73833949199999</v>
      </c>
      <c r="CG15">
        <v>89.6920626175</v>
      </c>
      <c r="CH15">
        <v>111.472004454</v>
      </c>
      <c r="CI15">
        <v>89.9161639135</v>
      </c>
      <c r="CJ15">
        <v>106.193467713</v>
      </c>
      <c r="CK15">
        <v>93.773529737800004</v>
      </c>
      <c r="CL15">
        <v>90.663478029199993</v>
      </c>
      <c r="CM15">
        <v>92.404281607000001</v>
      </c>
      <c r="CN15">
        <v>93.639666931799994</v>
      </c>
      <c r="CO15">
        <v>105.778582965</v>
      </c>
      <c r="CP15">
        <v>103.676556969</v>
      </c>
      <c r="CQ15">
        <v>105.29386644</v>
      </c>
      <c r="CR15">
        <v>99.068097573700001</v>
      </c>
      <c r="CS15">
        <v>108.805739114</v>
      </c>
      <c r="CT15">
        <v>105.32562385200001</v>
      </c>
      <c r="CU15">
        <v>100.128975083</v>
      </c>
      <c r="CV15">
        <v>107.325118816</v>
      </c>
      <c r="CW15">
        <v>104.55267333099999</v>
      </c>
      <c r="CX15">
        <v>108.55056514</v>
      </c>
      <c r="CY15">
        <v>99.449853629700002</v>
      </c>
      <c r="CZ15">
        <v>102.942848705</v>
      </c>
      <c r="DA15">
        <v>98.053626190900005</v>
      </c>
      <c r="DB15">
        <v>107.31887177999999</v>
      </c>
      <c r="DC15">
        <v>96.672296420099997</v>
      </c>
      <c r="DD15">
        <v>99.345626583699996</v>
      </c>
      <c r="DE15">
        <v>102.010359878</v>
      </c>
      <c r="DF15">
        <v>98.878061129599999</v>
      </c>
      <c r="DG15">
        <v>97.913722335100005</v>
      </c>
      <c r="DH15">
        <v>100.89772283000001</v>
      </c>
    </row>
    <row r="16" spans="1:112" x14ac:dyDescent="0.25">
      <c r="A16" s="8">
        <f t="shared" si="0"/>
        <v>93.188847902950585</v>
      </c>
      <c r="B16" s="9">
        <f>AVERAGE($C$2:C16)</f>
        <v>4.5346280568383293</v>
      </c>
      <c r="C16" s="9">
        <f t="shared" si="1"/>
        <v>4.4471031690313811</v>
      </c>
      <c r="D16" s="6">
        <f>AVERAGE($G$2:G16)</f>
        <v>96.240251271700004</v>
      </c>
      <c r="E16" s="6">
        <f>AVERAGE($H$2:H16)</f>
        <v>94.076898484800012</v>
      </c>
      <c r="F16" s="6">
        <f>AVERAGE($M$2:M16)</f>
        <v>93.308653544020004</v>
      </c>
      <c r="G16" s="6" t="b">
        <f t="shared" si="2"/>
        <v>0</v>
      </c>
      <c r="H16" t="b">
        <f t="shared" si="3"/>
        <v>0</v>
      </c>
      <c r="I16" s="6">
        <f t="shared" si="4"/>
        <v>-0.76824494078000782</v>
      </c>
      <c r="J16" s="6">
        <f t="shared" si="5"/>
        <v>-2.9315977276799998</v>
      </c>
      <c r="K16">
        <v>14</v>
      </c>
      <c r="L16">
        <f>L15+Asian!dt</f>
        <v>0.13999999999999999</v>
      </c>
      <c r="M16">
        <v>85.379256147199996</v>
      </c>
      <c r="N16">
        <v>89.1970886732</v>
      </c>
      <c r="O16">
        <v>119.242119213</v>
      </c>
      <c r="P16">
        <v>100.902627635</v>
      </c>
      <c r="Q16">
        <v>101.446089188</v>
      </c>
      <c r="R16">
        <v>102.666719935</v>
      </c>
      <c r="S16">
        <v>111.26905753600001</v>
      </c>
      <c r="T16">
        <v>89.921048759900003</v>
      </c>
      <c r="U16">
        <v>114.62669652</v>
      </c>
      <c r="V16">
        <v>94.298905783999999</v>
      </c>
      <c r="W16">
        <v>104.64120945499999</v>
      </c>
      <c r="X16">
        <v>97.346176224999994</v>
      </c>
      <c r="Y16">
        <v>96.565759163999999</v>
      </c>
      <c r="Z16">
        <v>99.025442446499994</v>
      </c>
      <c r="AA16">
        <v>109.134639611</v>
      </c>
      <c r="AB16">
        <v>89.340887234700006</v>
      </c>
      <c r="AC16">
        <v>89.186071854600002</v>
      </c>
      <c r="AD16">
        <v>90.791121102299996</v>
      </c>
      <c r="AE16">
        <v>104.842195175</v>
      </c>
      <c r="AF16">
        <v>89.334657969700004</v>
      </c>
      <c r="AG16">
        <v>104.870440378</v>
      </c>
      <c r="AH16">
        <v>100.154507654</v>
      </c>
      <c r="AI16">
        <v>93.139546344099998</v>
      </c>
      <c r="AJ16">
        <v>101.73637243899999</v>
      </c>
      <c r="AK16">
        <v>107.26605947100001</v>
      </c>
      <c r="AL16">
        <v>103.14834688099999</v>
      </c>
      <c r="AM16">
        <v>94.586543420200002</v>
      </c>
      <c r="AN16">
        <v>108.123434433</v>
      </c>
      <c r="AO16">
        <v>111.096165434</v>
      </c>
      <c r="AP16">
        <v>100.60243780899999</v>
      </c>
      <c r="AQ16">
        <v>97.415403283399996</v>
      </c>
      <c r="AR16">
        <v>96.302086169500001</v>
      </c>
      <c r="AS16">
        <v>109.19753066600001</v>
      </c>
      <c r="AT16">
        <v>92.543759816800005</v>
      </c>
      <c r="AU16">
        <v>95.457514176499998</v>
      </c>
      <c r="AV16">
        <v>98.252899658700002</v>
      </c>
      <c r="AW16">
        <v>108.096274259</v>
      </c>
      <c r="AX16">
        <v>102.790639107</v>
      </c>
      <c r="AY16">
        <v>109.505945715</v>
      </c>
      <c r="AZ16">
        <v>110.50429750000001</v>
      </c>
      <c r="BA16">
        <v>111.22193750300001</v>
      </c>
      <c r="BB16">
        <v>106.673355606</v>
      </c>
      <c r="BC16">
        <v>111.74489907100001</v>
      </c>
      <c r="BD16">
        <v>100.887130782</v>
      </c>
      <c r="BE16">
        <v>82.326609470500003</v>
      </c>
      <c r="BF16">
        <v>90.522808468799994</v>
      </c>
      <c r="BG16">
        <v>95.251541052299999</v>
      </c>
      <c r="BH16">
        <v>97.831259808200002</v>
      </c>
      <c r="BI16">
        <v>104.47253523400001</v>
      </c>
      <c r="BJ16">
        <v>108.00893359299999</v>
      </c>
      <c r="BK16">
        <v>94.010070476600006</v>
      </c>
      <c r="BL16">
        <v>95.303591314499997</v>
      </c>
      <c r="BM16">
        <v>91.584702164999996</v>
      </c>
      <c r="BN16">
        <v>100.551889264</v>
      </c>
      <c r="BO16">
        <v>86.691273346800003</v>
      </c>
      <c r="BP16">
        <v>100.24942764399999</v>
      </c>
      <c r="BQ16">
        <v>99.188063686199996</v>
      </c>
      <c r="BR16">
        <v>100.810668069</v>
      </c>
      <c r="BS16">
        <v>105.587126258</v>
      </c>
      <c r="BT16">
        <v>107.046994899</v>
      </c>
      <c r="BU16">
        <v>103.499891248</v>
      </c>
      <c r="BV16">
        <v>92.123460298599994</v>
      </c>
      <c r="BW16">
        <v>93.644980264099999</v>
      </c>
      <c r="BX16">
        <v>94.946873252299994</v>
      </c>
      <c r="BY16">
        <v>99.521562943999996</v>
      </c>
      <c r="BZ16">
        <v>93.889422561700002</v>
      </c>
      <c r="CA16">
        <v>100.368860721</v>
      </c>
      <c r="CB16">
        <v>101.653396882</v>
      </c>
      <c r="CC16">
        <v>100.19220153000001</v>
      </c>
      <c r="CD16">
        <v>98.674607150900002</v>
      </c>
      <c r="CE16">
        <v>104.48968162</v>
      </c>
      <c r="CF16">
        <v>99.205577501199997</v>
      </c>
      <c r="CG16">
        <v>87.833332663199997</v>
      </c>
      <c r="CH16">
        <v>108.433963486</v>
      </c>
      <c r="CI16">
        <v>90.038533789400006</v>
      </c>
      <c r="CJ16">
        <v>102.253518392</v>
      </c>
      <c r="CK16">
        <v>93.459572653400002</v>
      </c>
      <c r="CL16">
        <v>90.548405045699994</v>
      </c>
      <c r="CM16">
        <v>90.851913517499995</v>
      </c>
      <c r="CN16">
        <v>93.762224686600007</v>
      </c>
      <c r="CO16">
        <v>104.823631439</v>
      </c>
      <c r="CP16">
        <v>106.371484356</v>
      </c>
      <c r="CQ16">
        <v>110.927403273</v>
      </c>
      <c r="CR16">
        <v>103.931799849</v>
      </c>
      <c r="CS16">
        <v>111.055884562</v>
      </c>
      <c r="CT16">
        <v>109.361497649</v>
      </c>
      <c r="CU16">
        <v>102.185062671</v>
      </c>
      <c r="CV16">
        <v>108.78025144</v>
      </c>
      <c r="CW16">
        <v>106.762002704</v>
      </c>
      <c r="CX16">
        <v>104.605481432</v>
      </c>
      <c r="CY16">
        <v>104.150431475</v>
      </c>
      <c r="CZ16">
        <v>104.465117073</v>
      </c>
      <c r="DA16">
        <v>100.954210641</v>
      </c>
      <c r="DB16">
        <v>102.399578805</v>
      </c>
      <c r="DC16">
        <v>97.876407708900004</v>
      </c>
      <c r="DD16">
        <v>97.153556717100003</v>
      </c>
      <c r="DE16">
        <v>104.780968777</v>
      </c>
      <c r="DF16">
        <v>96.635931884300007</v>
      </c>
      <c r="DG16">
        <v>98.226212379100005</v>
      </c>
      <c r="DH16">
        <v>99.442482824899997</v>
      </c>
    </row>
    <row r="17" spans="1:112" x14ac:dyDescent="0.25">
      <c r="A17" s="8">
        <f t="shared" si="0"/>
        <v>92.672604721344584</v>
      </c>
      <c r="B17" s="9">
        <f>AVERAGE($C$2:C17)</f>
        <v>4.5290729026962495</v>
      </c>
      <c r="C17" s="9">
        <f t="shared" si="1"/>
        <v>4.4457455905650551</v>
      </c>
      <c r="D17" s="6">
        <f>AVERAGE($G$2:G17)</f>
        <v>96.240251271700004</v>
      </c>
      <c r="E17" s="6">
        <f>AVERAGE($H$2:H17)</f>
        <v>94.076898484800012</v>
      </c>
      <c r="F17" s="6">
        <f>AVERAGE($M$2:M17)</f>
        <v>92.805826806881257</v>
      </c>
      <c r="G17" s="6" t="b">
        <f t="shared" si="2"/>
        <v>0</v>
      </c>
      <c r="H17" t="b">
        <f t="shared" si="3"/>
        <v>0</v>
      </c>
      <c r="I17" s="6">
        <f t="shared" si="4"/>
        <v>-1.271071677918755</v>
      </c>
      <c r="J17" s="6">
        <f t="shared" si="5"/>
        <v>-3.434424464818747</v>
      </c>
      <c r="K17">
        <v>15</v>
      </c>
      <c r="L17">
        <f>L16+Asian!dt</f>
        <v>0.15</v>
      </c>
      <c r="M17">
        <v>85.263425749800007</v>
      </c>
      <c r="N17">
        <v>91.819146447099996</v>
      </c>
      <c r="O17">
        <v>115.75552027099999</v>
      </c>
      <c r="P17">
        <v>102.608538092</v>
      </c>
      <c r="Q17">
        <v>98.232238406099995</v>
      </c>
      <c r="R17">
        <v>102.78024138799999</v>
      </c>
      <c r="S17">
        <v>110.529319598</v>
      </c>
      <c r="T17">
        <v>88.073536749699997</v>
      </c>
      <c r="U17">
        <v>110.38376407</v>
      </c>
      <c r="V17">
        <v>95.055497630299996</v>
      </c>
      <c r="W17">
        <v>104.78555891400001</v>
      </c>
      <c r="X17">
        <v>98.2082224153</v>
      </c>
      <c r="Y17">
        <v>96.194931785899996</v>
      </c>
      <c r="Z17">
        <v>99.581283119099993</v>
      </c>
      <c r="AA17">
        <v>110.055996103</v>
      </c>
      <c r="AB17">
        <v>90.922775102299994</v>
      </c>
      <c r="AC17">
        <v>94.885754911700005</v>
      </c>
      <c r="AD17">
        <v>90.697100600699997</v>
      </c>
      <c r="AE17">
        <v>107.53456795</v>
      </c>
      <c r="AF17">
        <v>89.004574244200001</v>
      </c>
      <c r="AG17">
        <v>106.74840673</v>
      </c>
      <c r="AH17">
        <v>102.96269938099999</v>
      </c>
      <c r="AI17">
        <v>93.822748843200003</v>
      </c>
      <c r="AJ17">
        <v>105.87025991199999</v>
      </c>
      <c r="AK17">
        <v>113.107014044</v>
      </c>
      <c r="AL17">
        <v>104.8442762</v>
      </c>
      <c r="AM17">
        <v>93.8803378506</v>
      </c>
      <c r="AN17">
        <v>111.56999754100001</v>
      </c>
      <c r="AO17">
        <v>109.435436985</v>
      </c>
      <c r="AP17">
        <v>101.12735484300001</v>
      </c>
      <c r="AQ17">
        <v>98.254387415699995</v>
      </c>
      <c r="AR17">
        <v>95.677096262000006</v>
      </c>
      <c r="AS17">
        <v>110.282756601</v>
      </c>
      <c r="AT17">
        <v>92.955882195000001</v>
      </c>
      <c r="AU17">
        <v>97.215793195900005</v>
      </c>
      <c r="AV17">
        <v>99.386437558899999</v>
      </c>
      <c r="AW17">
        <v>109.829886325</v>
      </c>
      <c r="AX17">
        <v>98.632018835799997</v>
      </c>
      <c r="AY17">
        <v>108.796598456</v>
      </c>
      <c r="AZ17">
        <v>107.905635096</v>
      </c>
      <c r="BA17">
        <v>109.33352929</v>
      </c>
      <c r="BB17">
        <v>108.042850395</v>
      </c>
      <c r="BC17">
        <v>114.29118325100001</v>
      </c>
      <c r="BD17">
        <v>102.727893435</v>
      </c>
      <c r="BE17">
        <v>83.145657475799993</v>
      </c>
      <c r="BF17">
        <v>92.042625816099999</v>
      </c>
      <c r="BG17">
        <v>95.905791774700006</v>
      </c>
      <c r="BH17">
        <v>96.185910723000006</v>
      </c>
      <c r="BI17">
        <v>106.12710076499999</v>
      </c>
      <c r="BJ17">
        <v>109.369261329</v>
      </c>
      <c r="BK17">
        <v>95.381799196499998</v>
      </c>
      <c r="BL17">
        <v>94.142189422100003</v>
      </c>
      <c r="BM17">
        <v>91.949607186500003</v>
      </c>
      <c r="BN17">
        <v>101.727143664</v>
      </c>
      <c r="BO17">
        <v>86.123813783599999</v>
      </c>
      <c r="BP17">
        <v>101.62820300600001</v>
      </c>
      <c r="BQ17">
        <v>94.546283875599997</v>
      </c>
      <c r="BR17">
        <v>103.058618584</v>
      </c>
      <c r="BS17">
        <v>105.013537816</v>
      </c>
      <c r="BT17">
        <v>109.432384914</v>
      </c>
      <c r="BU17">
        <v>107.473637221</v>
      </c>
      <c r="BV17">
        <v>92.110417999299997</v>
      </c>
      <c r="BW17">
        <v>94.380293900500007</v>
      </c>
      <c r="BX17">
        <v>95.384698892599999</v>
      </c>
      <c r="BY17">
        <v>98.438602745899999</v>
      </c>
      <c r="BZ17">
        <v>93.8552118044</v>
      </c>
      <c r="CA17">
        <v>96.758028334100004</v>
      </c>
      <c r="CB17">
        <v>103.015774232</v>
      </c>
      <c r="CC17">
        <v>97.478782735400003</v>
      </c>
      <c r="CD17">
        <v>98.543721933100002</v>
      </c>
      <c r="CE17">
        <v>103.899216153</v>
      </c>
      <c r="CF17">
        <v>95.061609597699999</v>
      </c>
      <c r="CG17">
        <v>88.569431766899996</v>
      </c>
      <c r="CH17">
        <v>109.30752892700001</v>
      </c>
      <c r="CI17">
        <v>90.585509336200005</v>
      </c>
      <c r="CJ17">
        <v>105.59243845</v>
      </c>
      <c r="CK17">
        <v>93.296175844700002</v>
      </c>
      <c r="CL17">
        <v>93.046296278699998</v>
      </c>
      <c r="CM17">
        <v>92.451388685799998</v>
      </c>
      <c r="CN17">
        <v>92.405145075799993</v>
      </c>
      <c r="CO17">
        <v>103.053673019</v>
      </c>
      <c r="CP17">
        <v>107.57676410000001</v>
      </c>
      <c r="CQ17">
        <v>116.54603205799999</v>
      </c>
      <c r="CR17">
        <v>104.19126740599999</v>
      </c>
      <c r="CS17">
        <v>115.26444808799999</v>
      </c>
      <c r="CT17">
        <v>110.815407335</v>
      </c>
      <c r="CU17">
        <v>99.370696780000003</v>
      </c>
      <c r="CV17">
        <v>113.060097277</v>
      </c>
      <c r="CW17">
        <v>108.91374852200001</v>
      </c>
      <c r="CX17">
        <v>106.346385087</v>
      </c>
      <c r="CY17">
        <v>102.931747782</v>
      </c>
      <c r="CZ17">
        <v>103.81810700299999</v>
      </c>
      <c r="DA17">
        <v>103.246802883</v>
      </c>
      <c r="DB17">
        <v>103.21391561</v>
      </c>
      <c r="DC17">
        <v>99.825604194099995</v>
      </c>
      <c r="DD17">
        <v>91.457281937499999</v>
      </c>
      <c r="DE17">
        <v>107.32394675800001</v>
      </c>
      <c r="DF17">
        <v>97.798780343999994</v>
      </c>
      <c r="DG17">
        <v>97.697038693899998</v>
      </c>
      <c r="DH17">
        <v>98.386103371999994</v>
      </c>
    </row>
    <row r="18" spans="1:112" x14ac:dyDescent="0.25">
      <c r="A18" s="8">
        <f t="shared" si="0"/>
        <v>92.243735514679827</v>
      </c>
      <c r="B18" s="9">
        <f>AVERAGE($C$2:C18)</f>
        <v>4.5244343729148566</v>
      </c>
      <c r="C18" s="9">
        <f t="shared" si="1"/>
        <v>4.4502178964125712</v>
      </c>
      <c r="D18" s="6">
        <f>AVERAGE($G$2:G18)</f>
        <v>96.240251271700004</v>
      </c>
      <c r="E18" s="6">
        <f>AVERAGE($H$2:H18)</f>
        <v>92.390639555640007</v>
      </c>
      <c r="F18" s="6">
        <f>AVERAGE($M$2:M18)</f>
        <v>92.384637220535296</v>
      </c>
      <c r="G18" s="6" t="b">
        <f t="shared" si="2"/>
        <v>0</v>
      </c>
      <c r="H18">
        <f t="shared" si="3"/>
        <v>85.645603839000003</v>
      </c>
      <c r="I18" s="6">
        <f t="shared" si="4"/>
        <v>-6.0023351047107099E-3</v>
      </c>
      <c r="J18" s="6">
        <f t="shared" si="5"/>
        <v>-3.8556140511647072</v>
      </c>
      <c r="K18">
        <v>16</v>
      </c>
      <c r="L18">
        <f>L17+Asian!dt</f>
        <v>0.16</v>
      </c>
      <c r="M18">
        <v>85.645603839000003</v>
      </c>
      <c r="N18">
        <v>90.148692588499998</v>
      </c>
      <c r="O18">
        <v>113.997605964</v>
      </c>
      <c r="P18">
        <v>99.077388997400007</v>
      </c>
      <c r="Q18">
        <v>97.098541008699996</v>
      </c>
      <c r="R18">
        <v>102.64298306400001</v>
      </c>
      <c r="S18">
        <v>109.423657687</v>
      </c>
      <c r="T18">
        <v>86.967367986699998</v>
      </c>
      <c r="U18">
        <v>110.68860754400001</v>
      </c>
      <c r="V18">
        <v>94.561866506399994</v>
      </c>
      <c r="W18">
        <v>99.688320196299998</v>
      </c>
      <c r="X18">
        <v>99.299777563800006</v>
      </c>
      <c r="Y18">
        <v>95.038449233799994</v>
      </c>
      <c r="Z18">
        <v>99.1358494272</v>
      </c>
      <c r="AA18">
        <v>108.60228582400001</v>
      </c>
      <c r="AB18">
        <v>89.123406651300002</v>
      </c>
      <c r="AC18">
        <v>93.911811908399997</v>
      </c>
      <c r="AD18">
        <v>89.803472619399997</v>
      </c>
      <c r="AE18">
        <v>112.406057875</v>
      </c>
      <c r="AF18">
        <v>89.548652416099998</v>
      </c>
      <c r="AG18">
        <v>104.93996399</v>
      </c>
      <c r="AH18">
        <v>103.68960922700001</v>
      </c>
      <c r="AI18">
        <v>95.219347017199993</v>
      </c>
      <c r="AJ18">
        <v>103.129109058</v>
      </c>
      <c r="AK18">
        <v>116.641094821</v>
      </c>
      <c r="AL18">
        <v>105.174110934</v>
      </c>
      <c r="AM18">
        <v>91.723661850599996</v>
      </c>
      <c r="AN18">
        <v>116.237779628</v>
      </c>
      <c r="AO18">
        <v>107.280609148</v>
      </c>
      <c r="AP18">
        <v>97.818782671899996</v>
      </c>
      <c r="AQ18">
        <v>100.27784879399999</v>
      </c>
      <c r="AR18">
        <v>95.715192264400002</v>
      </c>
      <c r="AS18">
        <v>112.778649077</v>
      </c>
      <c r="AT18">
        <v>95.141509037099993</v>
      </c>
      <c r="AU18">
        <v>97.859270694200006</v>
      </c>
      <c r="AV18">
        <v>95.822586513199994</v>
      </c>
      <c r="AW18">
        <v>112.157413288</v>
      </c>
      <c r="AX18">
        <v>96.812310330000003</v>
      </c>
      <c r="AY18">
        <v>106.819426416</v>
      </c>
      <c r="AZ18">
        <v>108.678273432</v>
      </c>
      <c r="BA18">
        <v>109.535223641</v>
      </c>
      <c r="BB18">
        <v>109.911439512</v>
      </c>
      <c r="BC18">
        <v>116.36734823800001</v>
      </c>
      <c r="BD18">
        <v>103.966023444</v>
      </c>
      <c r="BE18">
        <v>84.555207004500005</v>
      </c>
      <c r="BF18">
        <v>94.690949459799995</v>
      </c>
      <c r="BG18">
        <v>95.441336125600003</v>
      </c>
      <c r="BH18">
        <v>96.967067300400004</v>
      </c>
      <c r="BI18">
        <v>108.00581669</v>
      </c>
      <c r="BJ18">
        <v>109.45480668499999</v>
      </c>
      <c r="BK18">
        <v>97.576036882899999</v>
      </c>
      <c r="BL18">
        <v>91.466599067700002</v>
      </c>
      <c r="BM18">
        <v>90.719952955099998</v>
      </c>
      <c r="BN18">
        <v>104.580340991</v>
      </c>
      <c r="BO18">
        <v>86.966187764599994</v>
      </c>
      <c r="BP18">
        <v>100.09392083900001</v>
      </c>
      <c r="BQ18">
        <v>94.131996891399993</v>
      </c>
      <c r="BR18">
        <v>100.58590422100001</v>
      </c>
      <c r="BS18">
        <v>106.63769222099999</v>
      </c>
      <c r="BT18">
        <v>111.884122523</v>
      </c>
      <c r="BU18">
        <v>104.987446531</v>
      </c>
      <c r="BV18">
        <v>94.374333779099999</v>
      </c>
      <c r="BW18">
        <v>92.677927852600007</v>
      </c>
      <c r="BX18">
        <v>92.239395854899996</v>
      </c>
      <c r="BY18">
        <v>101.05304348200001</v>
      </c>
      <c r="BZ18">
        <v>95.232685327799999</v>
      </c>
      <c r="CA18">
        <v>95.819820066399998</v>
      </c>
      <c r="CB18">
        <v>103.506991232</v>
      </c>
      <c r="CC18">
        <v>95.154485018599999</v>
      </c>
      <c r="CD18">
        <v>100.604146043</v>
      </c>
      <c r="CE18">
        <v>102.872494226</v>
      </c>
      <c r="CF18">
        <v>94.714059282299999</v>
      </c>
      <c r="CG18">
        <v>88.724360895700002</v>
      </c>
      <c r="CH18">
        <v>110.882459693</v>
      </c>
      <c r="CI18">
        <v>91.2059837324</v>
      </c>
      <c r="CJ18">
        <v>105.56294265</v>
      </c>
      <c r="CK18">
        <v>92.205114335999994</v>
      </c>
      <c r="CL18">
        <v>94.143243688599995</v>
      </c>
      <c r="CM18">
        <v>94.630506945400001</v>
      </c>
      <c r="CN18">
        <v>95.968832215600003</v>
      </c>
      <c r="CO18">
        <v>104.652236891</v>
      </c>
      <c r="CP18">
        <v>108.47052267799999</v>
      </c>
      <c r="CQ18">
        <v>117.80942638</v>
      </c>
      <c r="CR18">
        <v>101.99200747899999</v>
      </c>
      <c r="CS18">
        <v>114.408278305</v>
      </c>
      <c r="CT18">
        <v>110.34429933</v>
      </c>
      <c r="CU18">
        <v>101.879052667</v>
      </c>
      <c r="CV18">
        <v>110.26882221300001</v>
      </c>
      <c r="CW18">
        <v>108.88535082200001</v>
      </c>
      <c r="CX18">
        <v>108.815638987</v>
      </c>
      <c r="CY18">
        <v>105.35226328100001</v>
      </c>
      <c r="CZ18">
        <v>101.675678652</v>
      </c>
      <c r="DA18">
        <v>103.344870507</v>
      </c>
      <c r="DB18">
        <v>103.72096095800001</v>
      </c>
      <c r="DC18">
        <v>98.834236544199996</v>
      </c>
      <c r="DD18">
        <v>91.831985074599999</v>
      </c>
      <c r="DE18">
        <v>104.392632464</v>
      </c>
      <c r="DF18">
        <v>98.719833682000001</v>
      </c>
      <c r="DG18">
        <v>97.729393525000006</v>
      </c>
      <c r="DH18">
        <v>93.579961598799997</v>
      </c>
    </row>
    <row r="19" spans="1:112" x14ac:dyDescent="0.25">
      <c r="A19" s="8">
        <f t="shared" si="0"/>
        <v>91.820810899847004</v>
      </c>
      <c r="B19" s="9">
        <f>AVERAGE($C$2:C19)</f>
        <v>4.5198389701896922</v>
      </c>
      <c r="C19" s="9">
        <f t="shared" si="1"/>
        <v>4.4417171238619026</v>
      </c>
      <c r="D19" s="6">
        <f>AVERAGE($G$2:G19)</f>
        <v>96.240251271700004</v>
      </c>
      <c r="E19" s="6">
        <f>AVERAGE($H$2:H19)</f>
        <v>92.390639555640007</v>
      </c>
      <c r="F19" s="6">
        <f>AVERAGE($M$2:M19)</f>
        <v>91.969970474988884</v>
      </c>
      <c r="G19" s="6" t="b">
        <f t="shared" si="2"/>
        <v>0</v>
      </c>
      <c r="H19" t="b">
        <f t="shared" si="3"/>
        <v>0</v>
      </c>
      <c r="I19" s="6">
        <f t="shared" si="4"/>
        <v>-0.42066908065112329</v>
      </c>
      <c r="J19" s="6">
        <f t="shared" si="5"/>
        <v>-4.2702807967111198</v>
      </c>
      <c r="K19">
        <v>17</v>
      </c>
      <c r="L19">
        <f>L18+Asian!dt</f>
        <v>0.17</v>
      </c>
      <c r="M19">
        <v>84.920635800699998</v>
      </c>
      <c r="N19">
        <v>90.761723832900003</v>
      </c>
      <c r="O19">
        <v>112.11877878999999</v>
      </c>
      <c r="P19">
        <v>100.467796842</v>
      </c>
      <c r="Q19">
        <v>100.3316715</v>
      </c>
      <c r="R19">
        <v>99.660208647800005</v>
      </c>
      <c r="S19">
        <v>112.020796241</v>
      </c>
      <c r="T19">
        <v>89.460217551</v>
      </c>
      <c r="U19">
        <v>112.309933347</v>
      </c>
      <c r="V19">
        <v>94.898998565900001</v>
      </c>
      <c r="W19">
        <v>101.26477370400001</v>
      </c>
      <c r="X19">
        <v>100.284516313</v>
      </c>
      <c r="Y19">
        <v>95.305025839500004</v>
      </c>
      <c r="Z19">
        <v>98.001048782500007</v>
      </c>
      <c r="AA19">
        <v>107.48579191899999</v>
      </c>
      <c r="AB19">
        <v>91.892777940900004</v>
      </c>
      <c r="AC19">
        <v>91.193026465499997</v>
      </c>
      <c r="AD19">
        <v>91.576239721299999</v>
      </c>
      <c r="AE19">
        <v>109.91296461</v>
      </c>
      <c r="AF19">
        <v>90.274540029600004</v>
      </c>
      <c r="AG19">
        <v>108.947987154</v>
      </c>
      <c r="AH19">
        <v>96.110840268800004</v>
      </c>
      <c r="AI19">
        <v>90.469871591100002</v>
      </c>
      <c r="AJ19">
        <v>99.968567151299993</v>
      </c>
      <c r="AK19">
        <v>116.006855112</v>
      </c>
      <c r="AL19">
        <v>110.363129403</v>
      </c>
      <c r="AM19">
        <v>90.611134285099993</v>
      </c>
      <c r="AN19">
        <v>112.815703673</v>
      </c>
      <c r="AO19">
        <v>104.177759572</v>
      </c>
      <c r="AP19">
        <v>98.207899160300002</v>
      </c>
      <c r="AQ19">
        <v>101.549715269</v>
      </c>
      <c r="AR19">
        <v>99.107325311300002</v>
      </c>
      <c r="AS19">
        <v>110.90414969699999</v>
      </c>
      <c r="AT19">
        <v>93.794418193599995</v>
      </c>
      <c r="AU19">
        <v>99.370810881899999</v>
      </c>
      <c r="AV19">
        <v>97.167482553100001</v>
      </c>
      <c r="AW19">
        <v>115.356657822</v>
      </c>
      <c r="AX19">
        <v>97.136841575600002</v>
      </c>
      <c r="AY19">
        <v>103.070359067</v>
      </c>
      <c r="AZ19">
        <v>108.968275788</v>
      </c>
      <c r="BA19">
        <v>108.237104088</v>
      </c>
      <c r="BB19">
        <v>111.34032161899999</v>
      </c>
      <c r="BC19">
        <v>118.249693142</v>
      </c>
      <c r="BD19">
        <v>102.733858275</v>
      </c>
      <c r="BE19">
        <v>84.040269791399993</v>
      </c>
      <c r="BF19">
        <v>94.920480923900001</v>
      </c>
      <c r="BG19">
        <v>94.793699406800002</v>
      </c>
      <c r="BH19">
        <v>99.538302983099996</v>
      </c>
      <c r="BI19">
        <v>110.652350356</v>
      </c>
      <c r="BJ19">
        <v>107.68906395499999</v>
      </c>
      <c r="BK19">
        <v>95.191065011700005</v>
      </c>
      <c r="BL19">
        <v>90.561296017399997</v>
      </c>
      <c r="BM19">
        <v>89.280414316900007</v>
      </c>
      <c r="BN19">
        <v>102.739432619</v>
      </c>
      <c r="BO19">
        <v>84.596458023899999</v>
      </c>
      <c r="BP19">
        <v>97.468266359400005</v>
      </c>
      <c r="BQ19">
        <v>90.943015987300001</v>
      </c>
      <c r="BR19">
        <v>102.23462859200001</v>
      </c>
      <c r="BS19">
        <v>106.39323887800001</v>
      </c>
      <c r="BT19">
        <v>110.23812356099999</v>
      </c>
      <c r="BU19">
        <v>108.32006182799999</v>
      </c>
      <c r="BV19">
        <v>97.560986727599996</v>
      </c>
      <c r="BW19">
        <v>91.410331492599994</v>
      </c>
      <c r="BX19">
        <v>91.142864942200006</v>
      </c>
      <c r="BY19">
        <v>99.876558387499998</v>
      </c>
      <c r="BZ19">
        <v>93.630744127200003</v>
      </c>
      <c r="CA19">
        <v>95.279935440399996</v>
      </c>
      <c r="CB19">
        <v>106.472735911</v>
      </c>
      <c r="CC19">
        <v>95.461349387400006</v>
      </c>
      <c r="CD19">
        <v>99.254264376099997</v>
      </c>
      <c r="CE19">
        <v>99.888692856899993</v>
      </c>
      <c r="CF19">
        <v>95.3647464087</v>
      </c>
      <c r="CG19">
        <v>88.046728295799994</v>
      </c>
      <c r="CH19">
        <v>112.302523185</v>
      </c>
      <c r="CI19">
        <v>90.551548810400007</v>
      </c>
      <c r="CJ19">
        <v>101.771980607</v>
      </c>
      <c r="CK19">
        <v>91.354503386499999</v>
      </c>
      <c r="CL19">
        <v>95.222841340599999</v>
      </c>
      <c r="CM19">
        <v>97.259890976999998</v>
      </c>
      <c r="CN19">
        <v>95.812952086699994</v>
      </c>
      <c r="CO19">
        <v>101.04025023200001</v>
      </c>
      <c r="CP19">
        <v>108.08805532300001</v>
      </c>
      <c r="CQ19">
        <v>115.486843756</v>
      </c>
      <c r="CR19">
        <v>103.10619586999999</v>
      </c>
      <c r="CS19">
        <v>113.24120392</v>
      </c>
      <c r="CT19">
        <v>110.09126871799999</v>
      </c>
      <c r="CU19">
        <v>99.328608496399994</v>
      </c>
      <c r="CV19">
        <v>110.15309184100001</v>
      </c>
      <c r="CW19">
        <v>109.135925388</v>
      </c>
      <c r="CX19">
        <v>109.55253729099999</v>
      </c>
      <c r="CY19">
        <v>102.29091418199999</v>
      </c>
      <c r="CZ19">
        <v>100.46982059</v>
      </c>
      <c r="DA19">
        <v>104.356366034</v>
      </c>
      <c r="DB19">
        <v>100.548341705</v>
      </c>
      <c r="DC19">
        <v>102.50732774799999</v>
      </c>
      <c r="DD19">
        <v>93.171491677399999</v>
      </c>
      <c r="DE19">
        <v>107.34886118599999</v>
      </c>
      <c r="DF19">
        <v>97.777478350400003</v>
      </c>
      <c r="DG19">
        <v>95.036586588800006</v>
      </c>
      <c r="DH19">
        <v>92.4380225508</v>
      </c>
    </row>
    <row r="20" spans="1:112" x14ac:dyDescent="0.25">
      <c r="A20" s="8">
        <f t="shared" si="0"/>
        <v>91.588184352151927</v>
      </c>
      <c r="B20" s="9">
        <f>AVERAGE($C$2:C20)</f>
        <v>4.5173022715711939</v>
      </c>
      <c r="C20" s="9">
        <f t="shared" si="1"/>
        <v>4.471641696438212</v>
      </c>
      <c r="D20" s="6">
        <f>AVERAGE($G$2:G20)</f>
        <v>96.240251271700004</v>
      </c>
      <c r="E20" s="6">
        <f>AVERAGE($H$2:H20)</f>
        <v>92.390639555640007</v>
      </c>
      <c r="F20" s="6">
        <f>AVERAGE($M$2:M20)</f>
        <v>91.734722240484217</v>
      </c>
      <c r="G20" s="6" t="b">
        <f t="shared" si="2"/>
        <v>0</v>
      </c>
      <c r="H20" t="b">
        <f t="shared" si="3"/>
        <v>0</v>
      </c>
      <c r="I20" s="6">
        <f t="shared" si="4"/>
        <v>-0.65591731515578999</v>
      </c>
      <c r="J20" s="6">
        <f t="shared" si="5"/>
        <v>-4.5055290312157865</v>
      </c>
      <c r="K20">
        <v>18</v>
      </c>
      <c r="L20">
        <f>L19+Asian!dt</f>
        <v>0.18000000000000002</v>
      </c>
      <c r="M20">
        <v>87.500254019400003</v>
      </c>
      <c r="N20">
        <v>91.082837463100006</v>
      </c>
      <c r="O20">
        <v>116.015149392</v>
      </c>
      <c r="P20">
        <v>100.04300571</v>
      </c>
      <c r="Q20">
        <v>96.944718398199996</v>
      </c>
      <c r="R20">
        <v>101.051376624</v>
      </c>
      <c r="S20">
        <v>113.583242473</v>
      </c>
      <c r="T20">
        <v>84.678330329600001</v>
      </c>
      <c r="U20">
        <v>110.969664016</v>
      </c>
      <c r="V20">
        <v>96.667615226199999</v>
      </c>
      <c r="W20">
        <v>102.090939858</v>
      </c>
      <c r="X20">
        <v>100.495422815</v>
      </c>
      <c r="Y20">
        <v>92.824333799300007</v>
      </c>
      <c r="Z20">
        <v>99.051852415599996</v>
      </c>
      <c r="AA20">
        <v>108.266437962</v>
      </c>
      <c r="AB20">
        <v>93.462556821000007</v>
      </c>
      <c r="AC20">
        <v>91.562825529500003</v>
      </c>
      <c r="AD20">
        <v>90.876955846900003</v>
      </c>
      <c r="AE20">
        <v>109.516932651</v>
      </c>
      <c r="AF20">
        <v>91.853736451000003</v>
      </c>
      <c r="AG20">
        <v>109.426236265</v>
      </c>
      <c r="AH20">
        <v>98.4654573304</v>
      </c>
      <c r="AI20">
        <v>91.942073515499999</v>
      </c>
      <c r="AJ20">
        <v>101.323868236</v>
      </c>
      <c r="AK20">
        <v>116.96856003000001</v>
      </c>
      <c r="AL20">
        <v>113.900640967</v>
      </c>
      <c r="AM20">
        <v>89.137152639099995</v>
      </c>
      <c r="AN20">
        <v>114.487248995</v>
      </c>
      <c r="AO20">
        <v>102.93159966499999</v>
      </c>
      <c r="AP20">
        <v>95.942475550500006</v>
      </c>
      <c r="AQ20">
        <v>101.80688221299999</v>
      </c>
      <c r="AR20">
        <v>99.072801739900001</v>
      </c>
      <c r="AS20">
        <v>111.532717881</v>
      </c>
      <c r="AT20">
        <v>96.386925860100007</v>
      </c>
      <c r="AU20">
        <v>102.451764583</v>
      </c>
      <c r="AV20">
        <v>97.445050855000005</v>
      </c>
      <c r="AW20">
        <v>114.492934664</v>
      </c>
      <c r="AX20">
        <v>96.113886443799998</v>
      </c>
      <c r="AY20">
        <v>101.218836744</v>
      </c>
      <c r="AZ20">
        <v>108.08896708899999</v>
      </c>
      <c r="BA20">
        <v>107.98966279699999</v>
      </c>
      <c r="BB20">
        <v>112.64353409100001</v>
      </c>
      <c r="BC20">
        <v>117.58579097000001</v>
      </c>
      <c r="BD20">
        <v>100.45259738</v>
      </c>
      <c r="BE20">
        <v>86.451876784800007</v>
      </c>
      <c r="BF20">
        <v>97.678246562300004</v>
      </c>
      <c r="BG20">
        <v>94.0898052828</v>
      </c>
      <c r="BH20">
        <v>100.765335009</v>
      </c>
      <c r="BI20">
        <v>113.976352134</v>
      </c>
      <c r="BJ20">
        <v>109.73123125799999</v>
      </c>
      <c r="BK20">
        <v>93.589230162000007</v>
      </c>
      <c r="BL20">
        <v>88.937099149600002</v>
      </c>
      <c r="BM20">
        <v>90.9821248035</v>
      </c>
      <c r="BN20">
        <v>101.08707175000001</v>
      </c>
      <c r="BO20">
        <v>81.251056180800006</v>
      </c>
      <c r="BP20">
        <v>95.467569614799999</v>
      </c>
      <c r="BQ20">
        <v>91.683976823699993</v>
      </c>
      <c r="BR20">
        <v>100.645921859</v>
      </c>
      <c r="BS20">
        <v>108.297079185</v>
      </c>
      <c r="BT20">
        <v>110.46414334399999</v>
      </c>
      <c r="BU20">
        <v>106.824225892</v>
      </c>
      <c r="BV20">
        <v>99.729677450400004</v>
      </c>
      <c r="BW20">
        <v>93.219257541000005</v>
      </c>
      <c r="BX20">
        <v>88.105911469600002</v>
      </c>
      <c r="BY20">
        <v>100.84817915000001</v>
      </c>
      <c r="BZ20">
        <v>94.479233822200001</v>
      </c>
      <c r="CA20">
        <v>94.895601278399994</v>
      </c>
      <c r="CB20">
        <v>108.31266894700001</v>
      </c>
      <c r="CC20">
        <v>92.825360348999993</v>
      </c>
      <c r="CD20">
        <v>101.379661301</v>
      </c>
      <c r="CE20">
        <v>106.728226101</v>
      </c>
      <c r="CF20">
        <v>93.770079926199998</v>
      </c>
      <c r="CG20">
        <v>89.217670583599997</v>
      </c>
      <c r="CH20">
        <v>116.45414266</v>
      </c>
      <c r="CI20">
        <v>89.710723267500001</v>
      </c>
      <c r="CJ20">
        <v>101.240660644</v>
      </c>
      <c r="CK20">
        <v>92.150486544399996</v>
      </c>
      <c r="CL20">
        <v>93.750105023499998</v>
      </c>
      <c r="CM20">
        <v>99.446270471299997</v>
      </c>
      <c r="CN20">
        <v>96.825829583399994</v>
      </c>
      <c r="CO20">
        <v>102.079038267</v>
      </c>
      <c r="CP20">
        <v>106.276824522</v>
      </c>
      <c r="CQ20">
        <v>112.621698284</v>
      </c>
      <c r="CR20">
        <v>102.96525794599999</v>
      </c>
      <c r="CS20">
        <v>111.470597482</v>
      </c>
      <c r="CT20">
        <v>107.12734351100001</v>
      </c>
      <c r="CU20">
        <v>101.37752383599999</v>
      </c>
      <c r="CV20">
        <v>108.93119958699999</v>
      </c>
      <c r="CW20">
        <v>110.588666809</v>
      </c>
      <c r="CX20">
        <v>110.85670987899999</v>
      </c>
      <c r="CY20">
        <v>102.135844009</v>
      </c>
      <c r="CZ20">
        <v>99.931536893300006</v>
      </c>
      <c r="DA20">
        <v>108.090540801</v>
      </c>
      <c r="DB20">
        <v>99.5352312208</v>
      </c>
      <c r="DC20">
        <v>105.346019231</v>
      </c>
      <c r="DD20">
        <v>92.013979509099997</v>
      </c>
      <c r="DE20">
        <v>106.48967219399999</v>
      </c>
      <c r="DF20">
        <v>99.878711056900002</v>
      </c>
      <c r="DG20">
        <v>93.765548604900005</v>
      </c>
      <c r="DH20">
        <v>95.016418195599996</v>
      </c>
    </row>
    <row r="21" spans="1:112" x14ac:dyDescent="0.25">
      <c r="A21" s="8">
        <f t="shared" si="0"/>
        <v>91.211657924752672</v>
      </c>
      <c r="B21" s="9">
        <f>AVERAGE($C$2:C21)</f>
        <v>4.5131827170332555</v>
      </c>
      <c r="C21" s="9">
        <f t="shared" si="1"/>
        <v>4.434911180812442</v>
      </c>
      <c r="D21" s="6">
        <f>AVERAGE($G$2:G21)</f>
        <v>96.240251271700004</v>
      </c>
      <c r="E21" s="6">
        <f>AVERAGE($H$2:H21)</f>
        <v>92.390639555640007</v>
      </c>
      <c r="F21" s="6">
        <f>AVERAGE($M$2:M21)</f>
        <v>91.365217785150008</v>
      </c>
      <c r="G21" s="6" t="b">
        <f t="shared" si="2"/>
        <v>0</v>
      </c>
      <c r="H21" t="b">
        <f t="shared" si="3"/>
        <v>0</v>
      </c>
      <c r="I21" s="6">
        <f t="shared" si="4"/>
        <v>-1.0254217704899986</v>
      </c>
      <c r="J21" s="6">
        <f t="shared" si="5"/>
        <v>-4.8750334865499951</v>
      </c>
      <c r="K21">
        <v>19</v>
      </c>
      <c r="L21">
        <f>L20+Asian!dt</f>
        <v>0.19000000000000003</v>
      </c>
      <c r="M21">
        <v>84.344633133800002</v>
      </c>
      <c r="N21">
        <v>91.047382233700006</v>
      </c>
      <c r="O21">
        <v>115.787340632</v>
      </c>
      <c r="P21">
        <v>98.9279316951</v>
      </c>
      <c r="Q21">
        <v>95.519807585799995</v>
      </c>
      <c r="R21">
        <v>100.516513331</v>
      </c>
      <c r="S21">
        <v>112.651544856</v>
      </c>
      <c r="T21">
        <v>84.318823331800004</v>
      </c>
      <c r="U21">
        <v>109.375385542</v>
      </c>
      <c r="V21">
        <v>96.762854537799996</v>
      </c>
      <c r="W21">
        <v>100.041797566</v>
      </c>
      <c r="X21">
        <v>103.169581318</v>
      </c>
      <c r="Y21">
        <v>92.958171875900007</v>
      </c>
      <c r="Z21">
        <v>98.555953811099997</v>
      </c>
      <c r="AA21">
        <v>108.915312112</v>
      </c>
      <c r="AB21">
        <v>92.962163950700003</v>
      </c>
      <c r="AC21">
        <v>94.837299836699998</v>
      </c>
      <c r="AD21">
        <v>93.112296736399998</v>
      </c>
      <c r="AE21">
        <v>113.62798983899999</v>
      </c>
      <c r="AF21">
        <v>90.840647450299997</v>
      </c>
      <c r="AG21">
        <v>108.21710099000001</v>
      </c>
      <c r="AH21">
        <v>98.841311575099994</v>
      </c>
      <c r="AI21">
        <v>90.549673616099994</v>
      </c>
      <c r="AJ21">
        <v>100.51684084599999</v>
      </c>
      <c r="AK21">
        <v>116.278078557</v>
      </c>
      <c r="AL21">
        <v>113.26961319</v>
      </c>
      <c r="AM21">
        <v>86.400402538600005</v>
      </c>
      <c r="AN21">
        <v>119.203705533</v>
      </c>
      <c r="AO21">
        <v>104.166894914</v>
      </c>
      <c r="AP21">
        <v>97.531083056200004</v>
      </c>
      <c r="AQ21">
        <v>101.220370308</v>
      </c>
      <c r="AR21">
        <v>101.015331433</v>
      </c>
      <c r="AS21">
        <v>117.590643762</v>
      </c>
      <c r="AT21">
        <v>95.859756479799998</v>
      </c>
      <c r="AU21">
        <v>99.700551872099993</v>
      </c>
      <c r="AV21">
        <v>98.141427321199998</v>
      </c>
      <c r="AW21">
        <v>117.303032331</v>
      </c>
      <c r="AX21">
        <v>97.942514493199994</v>
      </c>
      <c r="AY21">
        <v>101.50733498300001</v>
      </c>
      <c r="AZ21">
        <v>113.793349683</v>
      </c>
      <c r="BA21">
        <v>107.475777411</v>
      </c>
      <c r="BB21">
        <v>113.913913546</v>
      </c>
      <c r="BC21">
        <v>116.926560415</v>
      </c>
      <c r="BD21">
        <v>99.6416576357</v>
      </c>
      <c r="BE21">
        <v>85.577661219399999</v>
      </c>
      <c r="BF21">
        <v>97.681416014199996</v>
      </c>
      <c r="BG21">
        <v>91.705466736199995</v>
      </c>
      <c r="BH21">
        <v>100.66284018</v>
      </c>
      <c r="BI21">
        <v>112.268733187</v>
      </c>
      <c r="BJ21">
        <v>108.581631731</v>
      </c>
      <c r="BK21">
        <v>93.873358736900002</v>
      </c>
      <c r="BL21">
        <v>88.901862414199996</v>
      </c>
      <c r="BM21">
        <v>91.624540650200004</v>
      </c>
      <c r="BN21">
        <v>100.000115315</v>
      </c>
      <c r="BO21">
        <v>82.490426594599995</v>
      </c>
      <c r="BP21">
        <v>94.644110405899994</v>
      </c>
      <c r="BQ21">
        <v>87.710900159800005</v>
      </c>
      <c r="BR21">
        <v>102.643283251</v>
      </c>
      <c r="BS21">
        <v>109.216078061</v>
      </c>
      <c r="BT21">
        <v>110.837105502</v>
      </c>
      <c r="BU21">
        <v>106.731885346</v>
      </c>
      <c r="BV21">
        <v>99.406512966199998</v>
      </c>
      <c r="BW21">
        <v>88.304574947199995</v>
      </c>
      <c r="BX21">
        <v>86.791477363699997</v>
      </c>
      <c r="BY21">
        <v>101.045665731</v>
      </c>
      <c r="BZ21">
        <v>92.184089286499997</v>
      </c>
      <c r="CA21">
        <v>93.143892612000002</v>
      </c>
      <c r="CB21">
        <v>109.32907240199999</v>
      </c>
      <c r="CC21">
        <v>90.310754408400001</v>
      </c>
      <c r="CD21">
        <v>98.651946294599995</v>
      </c>
      <c r="CE21">
        <v>106.877085467</v>
      </c>
      <c r="CF21">
        <v>93.977949214000006</v>
      </c>
      <c r="CG21">
        <v>92.288423563500004</v>
      </c>
      <c r="CH21">
        <v>116.89811835499999</v>
      </c>
      <c r="CI21">
        <v>90.060418360900002</v>
      </c>
      <c r="CJ21">
        <v>99.412037553100006</v>
      </c>
      <c r="CK21">
        <v>91.326187420500005</v>
      </c>
      <c r="CL21">
        <v>90.747518542500003</v>
      </c>
      <c r="CM21">
        <v>101.96678787</v>
      </c>
      <c r="CN21">
        <v>99.589596121499994</v>
      </c>
      <c r="CO21">
        <v>106.395480638</v>
      </c>
      <c r="CP21">
        <v>105.692071454</v>
      </c>
      <c r="CQ21">
        <v>114.78025171500001</v>
      </c>
      <c r="CR21">
        <v>101.642149597</v>
      </c>
      <c r="CS21">
        <v>108.11655214699999</v>
      </c>
      <c r="CT21">
        <v>106.032059766</v>
      </c>
      <c r="CU21">
        <v>99.601260954099999</v>
      </c>
      <c r="CV21">
        <v>103.88013666099999</v>
      </c>
      <c r="CW21">
        <v>109.645244342</v>
      </c>
      <c r="CX21">
        <v>109.47375495999999</v>
      </c>
      <c r="CY21">
        <v>100.94734525</v>
      </c>
      <c r="CZ21">
        <v>102.21122582300001</v>
      </c>
      <c r="DA21">
        <v>105.652393249</v>
      </c>
      <c r="DB21">
        <v>98.777039800799997</v>
      </c>
      <c r="DC21">
        <v>105.255609377</v>
      </c>
      <c r="DD21">
        <v>90.847745927000005</v>
      </c>
      <c r="DE21">
        <v>107.448162052</v>
      </c>
      <c r="DF21">
        <v>95.798875819399996</v>
      </c>
      <c r="DG21">
        <v>93.256091776999995</v>
      </c>
      <c r="DH21">
        <v>93.1119253297</v>
      </c>
    </row>
    <row r="22" spans="1:112" x14ac:dyDescent="0.25">
      <c r="A22" s="8">
        <f t="shared" si="0"/>
        <v>90.916290327940885</v>
      </c>
      <c r="B22" s="9">
        <f>AVERAGE($C$2:C22)</f>
        <v>4.5099391966554681</v>
      </c>
      <c r="C22" s="9">
        <f t="shared" si="1"/>
        <v>4.4450687890997171</v>
      </c>
      <c r="D22" s="6">
        <f>AVERAGE($G$2:G22)</f>
        <v>92.562080468399998</v>
      </c>
      <c r="E22" s="6">
        <f>AVERAGE($H$2:H22)</f>
        <v>91.193156106666677</v>
      </c>
      <c r="F22" s="6">
        <f>AVERAGE($M$2:M22)</f>
        <v>91.071909264990481</v>
      </c>
      <c r="G22" s="6">
        <f t="shared" si="2"/>
        <v>85.2057388618</v>
      </c>
      <c r="H22">
        <f t="shared" si="3"/>
        <v>85.2057388618</v>
      </c>
      <c r="I22" s="6">
        <f t="shared" si="4"/>
        <v>-0.12124684167619648</v>
      </c>
      <c r="J22" s="6">
        <f t="shared" si="5"/>
        <v>-1.4901712034095169</v>
      </c>
      <c r="K22">
        <v>20</v>
      </c>
      <c r="L22">
        <f>L21+Asian!dt</f>
        <v>0.20000000000000004</v>
      </c>
      <c r="M22">
        <v>85.2057388618</v>
      </c>
      <c r="N22">
        <v>90.694107994199996</v>
      </c>
      <c r="O22">
        <v>111.342320121</v>
      </c>
      <c r="P22">
        <v>100.95325769599999</v>
      </c>
      <c r="Q22">
        <v>91.914763146699997</v>
      </c>
      <c r="R22">
        <v>98.466427265099995</v>
      </c>
      <c r="S22">
        <v>118.319916733</v>
      </c>
      <c r="T22">
        <v>84.494359600600006</v>
      </c>
      <c r="U22">
        <v>109.91398943599999</v>
      </c>
      <c r="V22">
        <v>97.058523115400007</v>
      </c>
      <c r="W22">
        <v>101.894002762</v>
      </c>
      <c r="X22">
        <v>105.754025488</v>
      </c>
      <c r="Y22">
        <v>93.044189987500005</v>
      </c>
      <c r="Z22">
        <v>100.516732365</v>
      </c>
      <c r="AA22">
        <v>111.45536568599999</v>
      </c>
      <c r="AB22">
        <v>93.236787814699994</v>
      </c>
      <c r="AC22">
        <v>96.545443378399995</v>
      </c>
      <c r="AD22">
        <v>95.819067950800004</v>
      </c>
      <c r="AE22">
        <v>112.206496367</v>
      </c>
      <c r="AF22">
        <v>89.621537375800003</v>
      </c>
      <c r="AG22">
        <v>108.69937475</v>
      </c>
      <c r="AH22">
        <v>100.211760502</v>
      </c>
      <c r="AI22">
        <v>91.199568500200002</v>
      </c>
      <c r="AJ22">
        <v>98.550414923999995</v>
      </c>
      <c r="AK22">
        <v>117.455068805</v>
      </c>
      <c r="AL22">
        <v>110.78584550399999</v>
      </c>
      <c r="AM22">
        <v>87.151286442300005</v>
      </c>
      <c r="AN22">
        <v>122.92362101499999</v>
      </c>
      <c r="AO22">
        <v>103.700872248</v>
      </c>
      <c r="AP22">
        <v>93.3542361895</v>
      </c>
      <c r="AQ22">
        <v>101.06892048100001</v>
      </c>
      <c r="AR22">
        <v>99.903675129800007</v>
      </c>
      <c r="AS22">
        <v>118.80859810299999</v>
      </c>
      <c r="AT22">
        <v>93.215446121699998</v>
      </c>
      <c r="AU22">
        <v>101.08185489900001</v>
      </c>
      <c r="AV22">
        <v>98.919416272700005</v>
      </c>
      <c r="AW22">
        <v>114.579590772</v>
      </c>
      <c r="AX22">
        <v>96.108433311900001</v>
      </c>
      <c r="AY22">
        <v>97.653054964899994</v>
      </c>
      <c r="AZ22">
        <v>114.28050052499999</v>
      </c>
      <c r="BA22">
        <v>108.616760039</v>
      </c>
      <c r="BB22">
        <v>111.685192187</v>
      </c>
      <c r="BC22">
        <v>114.65326233</v>
      </c>
      <c r="BD22">
        <v>98.192544595399994</v>
      </c>
      <c r="BE22">
        <v>84.473313494600006</v>
      </c>
      <c r="BF22">
        <v>95.564975259700006</v>
      </c>
      <c r="BG22">
        <v>90.965038948599997</v>
      </c>
      <c r="BH22">
        <v>100.983162943</v>
      </c>
      <c r="BI22">
        <v>114.050502482</v>
      </c>
      <c r="BJ22">
        <v>107.292944081</v>
      </c>
      <c r="BK22">
        <v>93.519247448800002</v>
      </c>
      <c r="BL22">
        <v>89.654466648400003</v>
      </c>
      <c r="BM22">
        <v>94.152646303699996</v>
      </c>
      <c r="BN22">
        <v>102.275512296</v>
      </c>
      <c r="BO22">
        <v>83.332636946400001</v>
      </c>
      <c r="BP22">
        <v>94.443617802700004</v>
      </c>
      <c r="BQ22">
        <v>87.132525978700002</v>
      </c>
      <c r="BR22">
        <v>101.566537475</v>
      </c>
      <c r="BS22">
        <v>106.033911863</v>
      </c>
      <c r="BT22">
        <v>111.957531538</v>
      </c>
      <c r="BU22">
        <v>102.355555745</v>
      </c>
      <c r="BV22">
        <v>101.773955985</v>
      </c>
      <c r="BW22">
        <v>90.818279100200002</v>
      </c>
      <c r="BX22">
        <v>83.746318165900007</v>
      </c>
      <c r="BY22">
        <v>102.490006749</v>
      </c>
      <c r="BZ22">
        <v>90.899204557800005</v>
      </c>
      <c r="CA22">
        <v>96.285829873200001</v>
      </c>
      <c r="CB22">
        <v>109.235368341</v>
      </c>
      <c r="CC22">
        <v>91.294603849500007</v>
      </c>
      <c r="CD22">
        <v>98.591219130200002</v>
      </c>
      <c r="CE22">
        <v>107.929359991</v>
      </c>
      <c r="CF22">
        <v>92.233740577700004</v>
      </c>
      <c r="CG22">
        <v>93.094680546600003</v>
      </c>
      <c r="CH22">
        <v>115.397444002</v>
      </c>
      <c r="CI22">
        <v>89.105677204800003</v>
      </c>
      <c r="CJ22">
        <v>102.35178388</v>
      </c>
      <c r="CK22">
        <v>93.313732657499997</v>
      </c>
      <c r="CL22">
        <v>87.951231332899994</v>
      </c>
      <c r="CM22">
        <v>104.375370757</v>
      </c>
      <c r="CN22">
        <v>99.319038206599998</v>
      </c>
      <c r="CO22">
        <v>106.91499391799999</v>
      </c>
      <c r="CP22">
        <v>104.57378169</v>
      </c>
      <c r="CQ22">
        <v>113.900458644</v>
      </c>
      <c r="CR22">
        <v>101.094175018</v>
      </c>
      <c r="CS22">
        <v>104.044299932</v>
      </c>
      <c r="CT22">
        <v>107.45786127700001</v>
      </c>
      <c r="CU22">
        <v>99.872447230099993</v>
      </c>
      <c r="CV22">
        <v>100.295117315</v>
      </c>
      <c r="CW22">
        <v>111.499193832</v>
      </c>
      <c r="CX22">
        <v>111.449086651</v>
      </c>
      <c r="CY22">
        <v>101.39541003799999</v>
      </c>
      <c r="CZ22">
        <v>102.292646658</v>
      </c>
      <c r="DA22">
        <v>110.757667994</v>
      </c>
      <c r="DB22">
        <v>96.503816097799998</v>
      </c>
      <c r="DC22">
        <v>106.45350877200001</v>
      </c>
      <c r="DD22">
        <v>91.689869249500006</v>
      </c>
      <c r="DE22">
        <v>105.518250431</v>
      </c>
      <c r="DF22">
        <v>93.834027512500001</v>
      </c>
      <c r="DG22">
        <v>92.556766181399993</v>
      </c>
      <c r="DH22">
        <v>94.351453242000005</v>
      </c>
    </row>
    <row r="23" spans="1:112" x14ac:dyDescent="0.25">
      <c r="A23" s="8">
        <f t="shared" si="0"/>
        <v>90.615790395873958</v>
      </c>
      <c r="B23" s="9">
        <f>AVERAGE($C$2:C23)</f>
        <v>4.5066284847929072</v>
      </c>
      <c r="C23" s="9">
        <f t="shared" si="1"/>
        <v>4.4371035356791353</v>
      </c>
      <c r="D23" s="6">
        <f>AVERAGE($G$2:G23)</f>
        <v>92.562080468399998</v>
      </c>
      <c r="E23" s="6">
        <f>AVERAGE($H$2:H23)</f>
        <v>91.193156106666677</v>
      </c>
      <c r="F23" s="6">
        <f>AVERAGE($M$2:M23)</f>
        <v>90.774538359618177</v>
      </c>
      <c r="G23" s="6" t="b">
        <f t="shared" si="2"/>
        <v>0</v>
      </c>
      <c r="H23" t="b">
        <f t="shared" si="3"/>
        <v>0</v>
      </c>
      <c r="I23" s="6">
        <f t="shared" si="4"/>
        <v>-0.41861774704850063</v>
      </c>
      <c r="J23" s="6">
        <f t="shared" si="5"/>
        <v>-1.7875421087818211</v>
      </c>
      <c r="K23">
        <v>21</v>
      </c>
      <c r="L23">
        <f>L22+Asian!dt</f>
        <v>0.21000000000000005</v>
      </c>
      <c r="M23">
        <v>84.529749346800003</v>
      </c>
      <c r="N23">
        <v>94.396420829199997</v>
      </c>
      <c r="O23">
        <v>112.779073466</v>
      </c>
      <c r="P23">
        <v>100.107358766</v>
      </c>
      <c r="Q23">
        <v>91.373994209800003</v>
      </c>
      <c r="R23">
        <v>98.598995222200003</v>
      </c>
      <c r="S23">
        <v>122.06332079800001</v>
      </c>
      <c r="T23">
        <v>83.847986505700007</v>
      </c>
      <c r="U23">
        <v>111.707008487</v>
      </c>
      <c r="V23">
        <v>100.663803628</v>
      </c>
      <c r="W23">
        <v>98.964688179500001</v>
      </c>
      <c r="X23">
        <v>107.697224792</v>
      </c>
      <c r="Y23">
        <v>90.743038782499994</v>
      </c>
      <c r="Z23">
        <v>101.471541526</v>
      </c>
      <c r="AA23">
        <v>109.14729692</v>
      </c>
      <c r="AB23">
        <v>95.267623588600003</v>
      </c>
      <c r="AC23">
        <v>97.116409477399998</v>
      </c>
      <c r="AD23">
        <v>98.388189882000006</v>
      </c>
      <c r="AE23">
        <v>113.562882479</v>
      </c>
      <c r="AF23">
        <v>92.080492608900002</v>
      </c>
      <c r="AG23">
        <v>108.276549695</v>
      </c>
      <c r="AH23">
        <v>101.386338232</v>
      </c>
      <c r="AI23">
        <v>92.709474983099994</v>
      </c>
      <c r="AJ23">
        <v>100.512326406</v>
      </c>
      <c r="AK23">
        <v>118.46860594100001</v>
      </c>
      <c r="AL23">
        <v>110.344473601</v>
      </c>
      <c r="AM23">
        <v>87.102634364799997</v>
      </c>
      <c r="AN23">
        <v>121.160100781</v>
      </c>
      <c r="AO23">
        <v>100.644519714</v>
      </c>
      <c r="AP23">
        <v>93.278399891099994</v>
      </c>
      <c r="AQ23">
        <v>100.389286775</v>
      </c>
      <c r="AR23">
        <v>99.097516517100004</v>
      </c>
      <c r="AS23">
        <v>122.136549515</v>
      </c>
      <c r="AT23">
        <v>91.594432589299998</v>
      </c>
      <c r="AU23">
        <v>98.428641743599997</v>
      </c>
      <c r="AV23">
        <v>96.5468946604</v>
      </c>
      <c r="AW23">
        <v>113.906514773</v>
      </c>
      <c r="AX23">
        <v>93.050414187599998</v>
      </c>
      <c r="AY23">
        <v>92.242652364799994</v>
      </c>
      <c r="AZ23">
        <v>116.400051343</v>
      </c>
      <c r="BA23">
        <v>106.553417306</v>
      </c>
      <c r="BB23">
        <v>111.960416153</v>
      </c>
      <c r="BC23">
        <v>116.405138381</v>
      </c>
      <c r="BD23">
        <v>100.283361235</v>
      </c>
      <c r="BE23">
        <v>85.118380548800005</v>
      </c>
      <c r="BF23">
        <v>94.3078128816</v>
      </c>
      <c r="BG23">
        <v>90.864641175800003</v>
      </c>
      <c r="BH23">
        <v>103.63718593</v>
      </c>
      <c r="BI23">
        <v>111.133955544</v>
      </c>
      <c r="BJ23">
        <v>107.538323378</v>
      </c>
      <c r="BK23">
        <v>93.049264851299995</v>
      </c>
      <c r="BL23">
        <v>92.706387637000006</v>
      </c>
      <c r="BM23">
        <v>93.519614357899997</v>
      </c>
      <c r="BN23">
        <v>102.205707389</v>
      </c>
      <c r="BO23">
        <v>85.022139884599994</v>
      </c>
      <c r="BP23">
        <v>94.0551638755</v>
      </c>
      <c r="BQ23">
        <v>86.305210921300002</v>
      </c>
      <c r="BR23">
        <v>101.957337815</v>
      </c>
      <c r="BS23">
        <v>105.69747449099999</v>
      </c>
      <c r="BT23">
        <v>111.457735754</v>
      </c>
      <c r="BU23">
        <v>102.747345667</v>
      </c>
      <c r="BV23">
        <v>99.211353900000006</v>
      </c>
      <c r="BW23">
        <v>90.288179754799998</v>
      </c>
      <c r="BX23">
        <v>83.589405906300001</v>
      </c>
      <c r="BY23">
        <v>98.088007673199996</v>
      </c>
      <c r="BZ23">
        <v>87.963589026199998</v>
      </c>
      <c r="CA23">
        <v>93.138892730199998</v>
      </c>
      <c r="CB23">
        <v>112.06970074</v>
      </c>
      <c r="CC23">
        <v>94.491529878500003</v>
      </c>
      <c r="CD23">
        <v>100.22670163700001</v>
      </c>
      <c r="CE23">
        <v>109.85355496699999</v>
      </c>
      <c r="CF23">
        <v>92.643760437400005</v>
      </c>
      <c r="CG23">
        <v>90.9802092794</v>
      </c>
      <c r="CH23">
        <v>123.172968485</v>
      </c>
      <c r="CI23">
        <v>90.305149659500003</v>
      </c>
      <c r="CJ23">
        <v>102.261151746</v>
      </c>
      <c r="CK23">
        <v>94.338882169000001</v>
      </c>
      <c r="CL23">
        <v>87.107934491799995</v>
      </c>
      <c r="CM23">
        <v>108.935573663</v>
      </c>
      <c r="CN23">
        <v>98.3640698074</v>
      </c>
      <c r="CO23">
        <v>110.12407345699999</v>
      </c>
      <c r="CP23">
        <v>104.39796343</v>
      </c>
      <c r="CQ23">
        <v>112.122172647</v>
      </c>
      <c r="CR23">
        <v>103.538659376</v>
      </c>
      <c r="CS23">
        <v>106.906692964</v>
      </c>
      <c r="CT23">
        <v>110.637110771</v>
      </c>
      <c r="CU23">
        <v>99.2830294436</v>
      </c>
      <c r="CV23">
        <v>97.901876171200001</v>
      </c>
      <c r="CW23">
        <v>112.55882744199999</v>
      </c>
      <c r="CX23">
        <v>113.45844818800001</v>
      </c>
      <c r="CY23">
        <v>99.696554133399999</v>
      </c>
      <c r="CZ23">
        <v>103.398518247</v>
      </c>
      <c r="DA23">
        <v>112.116384998</v>
      </c>
      <c r="DB23">
        <v>97.496932886799996</v>
      </c>
      <c r="DC23">
        <v>107.899387949</v>
      </c>
      <c r="DD23">
        <v>91.738703569099997</v>
      </c>
      <c r="DE23">
        <v>103.75004592000001</v>
      </c>
      <c r="DF23">
        <v>91.586451826800001</v>
      </c>
      <c r="DG23">
        <v>90.523188431199998</v>
      </c>
      <c r="DH23">
        <v>96.749704328299998</v>
      </c>
    </row>
    <row r="24" spans="1:112" x14ac:dyDescent="0.25">
      <c r="A24" s="8">
        <f t="shared" si="0"/>
        <v>90.46349729947876</v>
      </c>
      <c r="B24" s="9">
        <f>AVERAGE($C$2:C24)</f>
        <v>4.5049464245833635</v>
      </c>
      <c r="C24" s="9">
        <f t="shared" si="1"/>
        <v>4.4679410999733973</v>
      </c>
      <c r="D24" s="6">
        <f>AVERAGE($G$2:G24)</f>
        <v>92.562080468399998</v>
      </c>
      <c r="E24" s="6">
        <f>AVERAGE($H$2:H24)</f>
        <v>91.193156106666677</v>
      </c>
      <c r="F24" s="6">
        <f>AVERAGE($M$2:M24)</f>
        <v>90.618125791056528</v>
      </c>
      <c r="G24" s="6" t="b">
        <f t="shared" si="2"/>
        <v>0</v>
      </c>
      <c r="H24" t="b">
        <f t="shared" si="3"/>
        <v>0</v>
      </c>
      <c r="I24" s="6">
        <f t="shared" si="4"/>
        <v>-0.5750303156101495</v>
      </c>
      <c r="J24" s="6">
        <f t="shared" si="5"/>
        <v>-1.9439546773434699</v>
      </c>
      <c r="K24">
        <v>22</v>
      </c>
      <c r="L24">
        <f>L23+Asian!dt</f>
        <v>0.22000000000000006</v>
      </c>
      <c r="M24">
        <v>87.177049282699997</v>
      </c>
      <c r="N24">
        <v>98.064603544999997</v>
      </c>
      <c r="O24">
        <v>110.44662602</v>
      </c>
      <c r="P24">
        <v>99.386863163499996</v>
      </c>
      <c r="Q24">
        <v>90.912976529600002</v>
      </c>
      <c r="R24">
        <v>96.812423452100006</v>
      </c>
      <c r="S24">
        <v>124.801202276</v>
      </c>
      <c r="T24">
        <v>85.298102963299996</v>
      </c>
      <c r="U24">
        <v>110.11308461199999</v>
      </c>
      <c r="V24">
        <v>101.213829244</v>
      </c>
      <c r="W24">
        <v>100.040855624</v>
      </c>
      <c r="X24">
        <v>110.445340565</v>
      </c>
      <c r="Y24">
        <v>89.955936991800002</v>
      </c>
      <c r="Z24">
        <v>103.617979877</v>
      </c>
      <c r="AA24">
        <v>104.810151233</v>
      </c>
      <c r="AB24">
        <v>94.787427690800001</v>
      </c>
      <c r="AC24">
        <v>94.6839362913</v>
      </c>
      <c r="AD24">
        <v>98.365307572099994</v>
      </c>
      <c r="AE24">
        <v>113.51622026</v>
      </c>
      <c r="AF24">
        <v>94.119869099400006</v>
      </c>
      <c r="AG24">
        <v>106.077234682</v>
      </c>
      <c r="AH24">
        <v>99.212789739399994</v>
      </c>
      <c r="AI24">
        <v>92.048176532499994</v>
      </c>
      <c r="AJ24">
        <v>99.676739197000003</v>
      </c>
      <c r="AK24">
        <v>118.62518433300001</v>
      </c>
      <c r="AL24">
        <v>107.77185745</v>
      </c>
      <c r="AM24">
        <v>89.763295419900004</v>
      </c>
      <c r="AN24">
        <v>124.122848033</v>
      </c>
      <c r="AO24">
        <v>99.9535491189</v>
      </c>
      <c r="AP24">
        <v>93.932512216500001</v>
      </c>
      <c r="AQ24">
        <v>100.67847498499999</v>
      </c>
      <c r="AR24">
        <v>97.519629802699995</v>
      </c>
      <c r="AS24">
        <v>125.01647204</v>
      </c>
      <c r="AT24">
        <v>89.413571658400002</v>
      </c>
      <c r="AU24">
        <v>100.26416455</v>
      </c>
      <c r="AV24">
        <v>97.473786670199999</v>
      </c>
      <c r="AW24">
        <v>113.03339323</v>
      </c>
      <c r="AX24">
        <v>94.581936771900004</v>
      </c>
      <c r="AY24">
        <v>96.0070994963</v>
      </c>
      <c r="AZ24">
        <v>113.805636452</v>
      </c>
      <c r="BA24">
        <v>106.26178382400001</v>
      </c>
      <c r="BB24">
        <v>110.14389521299999</v>
      </c>
      <c r="BC24">
        <v>112.484315151</v>
      </c>
      <c r="BD24">
        <v>103.790636595</v>
      </c>
      <c r="BE24">
        <v>85.857976530200006</v>
      </c>
      <c r="BF24">
        <v>93.449522387800002</v>
      </c>
      <c r="BG24">
        <v>91.718564379599997</v>
      </c>
      <c r="BH24">
        <v>101.56859346</v>
      </c>
      <c r="BI24">
        <v>106.090779611</v>
      </c>
      <c r="BJ24">
        <v>112.068164005</v>
      </c>
      <c r="BK24">
        <v>93.701502756099998</v>
      </c>
      <c r="BL24">
        <v>91.245455649299998</v>
      </c>
      <c r="BM24">
        <v>98.994559009200003</v>
      </c>
      <c r="BN24">
        <v>102.19765969300001</v>
      </c>
      <c r="BO24">
        <v>85.166108594999997</v>
      </c>
      <c r="BP24">
        <v>91.360705912300006</v>
      </c>
      <c r="BQ24">
        <v>83.847772267400003</v>
      </c>
      <c r="BR24">
        <v>99.8683036499</v>
      </c>
      <c r="BS24">
        <v>107.57387875800001</v>
      </c>
      <c r="BT24">
        <v>113.078653405</v>
      </c>
      <c r="BU24">
        <v>106.593374807</v>
      </c>
      <c r="BV24">
        <v>101.07777430900001</v>
      </c>
      <c r="BW24">
        <v>92.432071789199995</v>
      </c>
      <c r="BX24">
        <v>86.939995391400004</v>
      </c>
      <c r="BY24">
        <v>98.809936058600002</v>
      </c>
      <c r="BZ24">
        <v>89.261306679499995</v>
      </c>
      <c r="CA24">
        <v>92.800206316699999</v>
      </c>
      <c r="CB24">
        <v>107.145357504</v>
      </c>
      <c r="CC24">
        <v>94.123226952400003</v>
      </c>
      <c r="CD24">
        <v>99.685918894400004</v>
      </c>
      <c r="CE24">
        <v>111.179106214</v>
      </c>
      <c r="CF24">
        <v>91.065836973399996</v>
      </c>
      <c r="CG24">
        <v>92.038039625799996</v>
      </c>
      <c r="CH24">
        <v>123.22675011299999</v>
      </c>
      <c r="CI24">
        <v>92.715088976000004</v>
      </c>
      <c r="CJ24">
        <v>103.17836804300001</v>
      </c>
      <c r="CK24">
        <v>92.534021343199996</v>
      </c>
      <c r="CL24">
        <v>87.417469157400006</v>
      </c>
      <c r="CM24">
        <v>107.223280014</v>
      </c>
      <c r="CN24">
        <v>96.736333351599995</v>
      </c>
      <c r="CO24">
        <v>112.878887597</v>
      </c>
      <c r="CP24">
        <v>103.61008016700001</v>
      </c>
      <c r="CQ24">
        <v>110.869834164</v>
      </c>
      <c r="CR24">
        <v>106.013992534</v>
      </c>
      <c r="CS24">
        <v>107.086565131</v>
      </c>
      <c r="CT24">
        <v>113.132189036</v>
      </c>
      <c r="CU24">
        <v>100.372371625</v>
      </c>
      <c r="CV24">
        <v>96.380462287599997</v>
      </c>
      <c r="CW24">
        <v>111.071833309</v>
      </c>
      <c r="CX24">
        <v>113.580642232</v>
      </c>
      <c r="CY24">
        <v>101.65637686399999</v>
      </c>
      <c r="CZ24">
        <v>105.316610126</v>
      </c>
      <c r="DA24">
        <v>113.523858262</v>
      </c>
      <c r="DB24">
        <v>92.958540263299994</v>
      </c>
      <c r="DC24">
        <v>106.650149587</v>
      </c>
      <c r="DD24">
        <v>92.974473242200006</v>
      </c>
      <c r="DE24">
        <v>105.770941455</v>
      </c>
      <c r="DF24">
        <v>87.209960808000005</v>
      </c>
      <c r="DG24">
        <v>91.974752509799998</v>
      </c>
      <c r="DH24">
        <v>97.954387994499996</v>
      </c>
    </row>
    <row r="25" spans="1:112" x14ac:dyDescent="0.25">
      <c r="A25" s="8">
        <f t="shared" si="0"/>
        <v>90.394692720518321</v>
      </c>
      <c r="B25" s="9">
        <f>AVERAGE($C$2:C25)</f>
        <v>4.5041855568308753</v>
      </c>
      <c r="C25" s="9">
        <f t="shared" si="1"/>
        <v>4.4866855985236507</v>
      </c>
      <c r="D25" s="6">
        <f>AVERAGE($G$2:G25)</f>
        <v>92.562080468399998</v>
      </c>
      <c r="E25" s="6">
        <f>AVERAGE($H$2:H25)</f>
        <v>91.193156106666677</v>
      </c>
      <c r="F25" s="6">
        <f>AVERAGE($M$2:M25)</f>
        <v>90.543476824658342</v>
      </c>
      <c r="G25" s="6" t="b">
        <f t="shared" si="2"/>
        <v>0</v>
      </c>
      <c r="H25" t="b">
        <f t="shared" si="3"/>
        <v>0</v>
      </c>
      <c r="I25" s="6">
        <f t="shared" si="4"/>
        <v>-0.64967928200833569</v>
      </c>
      <c r="J25" s="6">
        <f t="shared" si="5"/>
        <v>-2.0186036437416561</v>
      </c>
      <c r="K25">
        <v>23</v>
      </c>
      <c r="L25">
        <f>L24+Asian!dt</f>
        <v>0.23000000000000007</v>
      </c>
      <c r="M25">
        <v>88.826550597500002</v>
      </c>
      <c r="N25">
        <v>99.1744648807</v>
      </c>
      <c r="O25">
        <v>110.253360266</v>
      </c>
      <c r="P25">
        <v>99.465576092899994</v>
      </c>
      <c r="Q25">
        <v>90.210833521200001</v>
      </c>
      <c r="R25">
        <v>99.787960626900002</v>
      </c>
      <c r="S25">
        <v>125.968832956</v>
      </c>
      <c r="T25">
        <v>86.166490186000004</v>
      </c>
      <c r="U25">
        <v>113.653775138</v>
      </c>
      <c r="V25">
        <v>101.029456309</v>
      </c>
      <c r="W25">
        <v>99.204142688900006</v>
      </c>
      <c r="X25">
        <v>111.642927744</v>
      </c>
      <c r="Y25">
        <v>90.660909795099997</v>
      </c>
      <c r="Z25">
        <v>108.696137772</v>
      </c>
      <c r="AA25">
        <v>102.030395545</v>
      </c>
      <c r="AB25">
        <v>94.275000878</v>
      </c>
      <c r="AC25">
        <v>94.847776967800002</v>
      </c>
      <c r="AD25">
        <v>100.71126768400001</v>
      </c>
      <c r="AE25">
        <v>115.174038283</v>
      </c>
      <c r="AF25">
        <v>93.683156314100003</v>
      </c>
      <c r="AG25">
        <v>107.06061246599999</v>
      </c>
      <c r="AH25">
        <v>99.131825675800002</v>
      </c>
      <c r="AI25">
        <v>91.572559890500003</v>
      </c>
      <c r="AJ25">
        <v>97.263198221899998</v>
      </c>
      <c r="AK25">
        <v>116.886806783</v>
      </c>
      <c r="AL25">
        <v>108.09524781099999</v>
      </c>
      <c r="AM25">
        <v>89.7338049592</v>
      </c>
      <c r="AN25">
        <v>121.55147195000001</v>
      </c>
      <c r="AO25">
        <v>101.24924296</v>
      </c>
      <c r="AP25">
        <v>94.1059575548</v>
      </c>
      <c r="AQ25">
        <v>103.059872322</v>
      </c>
      <c r="AR25">
        <v>98.385540390599999</v>
      </c>
      <c r="AS25">
        <v>122.11327322699999</v>
      </c>
      <c r="AT25">
        <v>90.890402314100001</v>
      </c>
      <c r="AU25">
        <v>96.409131201999998</v>
      </c>
      <c r="AV25">
        <v>94.114275679100004</v>
      </c>
      <c r="AW25">
        <v>112.08315088099999</v>
      </c>
      <c r="AX25">
        <v>95.4457857636</v>
      </c>
      <c r="AY25">
        <v>95.542425318799999</v>
      </c>
      <c r="AZ25">
        <v>113.270053301</v>
      </c>
      <c r="BA25">
        <v>106.92078803299999</v>
      </c>
      <c r="BB25">
        <v>108.673387299</v>
      </c>
      <c r="BC25">
        <v>112.329335456</v>
      </c>
      <c r="BD25">
        <v>105.638486188</v>
      </c>
      <c r="BE25">
        <v>85.897010184500004</v>
      </c>
      <c r="BF25">
        <v>95.7143617455</v>
      </c>
      <c r="BG25">
        <v>93.000747971300001</v>
      </c>
      <c r="BH25">
        <v>103.800361278</v>
      </c>
      <c r="BI25">
        <v>106.557351369</v>
      </c>
      <c r="BJ25">
        <v>113.29680380800001</v>
      </c>
      <c r="BK25">
        <v>90.737555977100001</v>
      </c>
      <c r="BL25">
        <v>90.929278021900004</v>
      </c>
      <c r="BM25">
        <v>97.233796735200002</v>
      </c>
      <c r="BN25">
        <v>102.31337114599999</v>
      </c>
      <c r="BO25">
        <v>84.780183302500006</v>
      </c>
      <c r="BP25">
        <v>90.864861640900003</v>
      </c>
      <c r="BQ25">
        <v>80.750094883100004</v>
      </c>
      <c r="BR25">
        <v>103.46209749499999</v>
      </c>
      <c r="BS25">
        <v>106.104343957</v>
      </c>
      <c r="BT25">
        <v>113.157893147</v>
      </c>
      <c r="BU25">
        <v>107.26790326</v>
      </c>
      <c r="BV25">
        <v>97.940654144099994</v>
      </c>
      <c r="BW25">
        <v>91.514956700300004</v>
      </c>
      <c r="BX25">
        <v>86.384300934099997</v>
      </c>
      <c r="BY25">
        <v>99.812777176400004</v>
      </c>
      <c r="BZ25">
        <v>89.106392655500002</v>
      </c>
      <c r="CA25">
        <v>95.175051557100005</v>
      </c>
      <c r="CB25">
        <v>107.355169774</v>
      </c>
      <c r="CC25">
        <v>93.981208433700004</v>
      </c>
      <c r="CD25">
        <v>100.639793283</v>
      </c>
      <c r="CE25">
        <v>112.33312657899999</v>
      </c>
      <c r="CF25">
        <v>94.202910210699997</v>
      </c>
      <c r="CG25">
        <v>92.944127817099996</v>
      </c>
      <c r="CH25">
        <v>125.61579608300001</v>
      </c>
      <c r="CI25">
        <v>94.026491885499993</v>
      </c>
      <c r="CJ25">
        <v>100.684862229</v>
      </c>
      <c r="CK25">
        <v>90.448238447500003</v>
      </c>
      <c r="CL25">
        <v>85.947311608899994</v>
      </c>
      <c r="CM25">
        <v>107.772140822</v>
      </c>
      <c r="CN25">
        <v>93.529624431100004</v>
      </c>
      <c r="CO25">
        <v>110.504696186</v>
      </c>
      <c r="CP25">
        <v>101.117239368</v>
      </c>
      <c r="CQ25">
        <v>108.721122614</v>
      </c>
      <c r="CR25">
        <v>105.400716941</v>
      </c>
      <c r="CS25">
        <v>108.976075921</v>
      </c>
      <c r="CT25">
        <v>114.154516065</v>
      </c>
      <c r="CU25">
        <v>98.659962242399999</v>
      </c>
      <c r="CV25">
        <v>94.2068551168</v>
      </c>
      <c r="CW25">
        <v>118.78683789</v>
      </c>
      <c r="CX25">
        <v>112.431661605</v>
      </c>
      <c r="CY25">
        <v>102.592110873</v>
      </c>
      <c r="CZ25">
        <v>103.99381133599999</v>
      </c>
      <c r="DA25">
        <v>114.625331617</v>
      </c>
      <c r="DB25">
        <v>91.006610675199994</v>
      </c>
      <c r="DC25">
        <v>104.333396552</v>
      </c>
      <c r="DD25">
        <v>91.156704241300005</v>
      </c>
      <c r="DE25">
        <v>103.922658184</v>
      </c>
      <c r="DF25">
        <v>87.225567503099995</v>
      </c>
      <c r="DG25">
        <v>92.233438536199998</v>
      </c>
      <c r="DH25">
        <v>96.276465203100003</v>
      </c>
    </row>
    <row r="26" spans="1:112" x14ac:dyDescent="0.25">
      <c r="A26" s="8">
        <f t="shared" si="0"/>
        <v>90.303514661138578</v>
      </c>
      <c r="B26" s="9">
        <f>AVERAGE($C$2:C26)</f>
        <v>4.5031763817157575</v>
      </c>
      <c r="C26" s="9">
        <f t="shared" si="1"/>
        <v>4.4789561789529238</v>
      </c>
      <c r="D26" s="6">
        <f>AVERAGE($G$2:G26)</f>
        <v>92.562080468399998</v>
      </c>
      <c r="E26" s="6">
        <f>AVERAGE($H$2:H26)</f>
        <v>90.757365165585725</v>
      </c>
      <c r="F26" s="6">
        <f>AVERAGE($M$2:M26)</f>
        <v>90.447442532436014</v>
      </c>
      <c r="G26" s="6" t="b">
        <f t="shared" si="2"/>
        <v>0</v>
      </c>
      <c r="H26">
        <f t="shared" si="3"/>
        <v>88.142619519099995</v>
      </c>
      <c r="I26" s="6">
        <f t="shared" si="4"/>
        <v>-0.30992263314971069</v>
      </c>
      <c r="J26" s="6">
        <f t="shared" si="5"/>
        <v>-2.1146379359639838</v>
      </c>
      <c r="K26">
        <v>24</v>
      </c>
      <c r="L26">
        <f>L25+Asian!dt</f>
        <v>0.24000000000000007</v>
      </c>
      <c r="M26">
        <v>88.142619519099995</v>
      </c>
      <c r="N26">
        <v>97.985396399099997</v>
      </c>
      <c r="O26">
        <v>105.408971327</v>
      </c>
      <c r="P26">
        <v>98.372042429399997</v>
      </c>
      <c r="Q26">
        <v>90.199468494399994</v>
      </c>
      <c r="R26">
        <v>97.545324380599993</v>
      </c>
      <c r="S26">
        <v>129.840885816</v>
      </c>
      <c r="T26">
        <v>83.198761302099996</v>
      </c>
      <c r="U26">
        <v>114.190010857</v>
      </c>
      <c r="V26">
        <v>103.541534274</v>
      </c>
      <c r="W26">
        <v>99.483500213200003</v>
      </c>
      <c r="X26">
        <v>113.549729254</v>
      </c>
      <c r="Y26">
        <v>90.593600499100006</v>
      </c>
      <c r="Z26">
        <v>111.433265437</v>
      </c>
      <c r="AA26">
        <v>99.622430027799993</v>
      </c>
      <c r="AB26">
        <v>94.832841878799996</v>
      </c>
      <c r="AC26">
        <v>94.221195887700006</v>
      </c>
      <c r="AD26">
        <v>100.550293575</v>
      </c>
      <c r="AE26">
        <v>117.054901774</v>
      </c>
      <c r="AF26">
        <v>98.509989805100005</v>
      </c>
      <c r="AG26">
        <v>107.45235037</v>
      </c>
      <c r="AH26">
        <v>96.850637486400004</v>
      </c>
      <c r="AI26">
        <v>92.615262137599998</v>
      </c>
      <c r="AJ26">
        <v>96.802754390800004</v>
      </c>
      <c r="AK26">
        <v>116.651456482</v>
      </c>
      <c r="AL26">
        <v>110.792452536</v>
      </c>
      <c r="AM26">
        <v>89.889742716499995</v>
      </c>
      <c r="AN26">
        <v>122.583581611</v>
      </c>
      <c r="AO26">
        <v>99.718045616300003</v>
      </c>
      <c r="AP26">
        <v>94.196277412300006</v>
      </c>
      <c r="AQ26">
        <v>103.82479259</v>
      </c>
      <c r="AR26">
        <v>100.553761963</v>
      </c>
      <c r="AS26">
        <v>118.360423252</v>
      </c>
      <c r="AT26">
        <v>85.390670056199994</v>
      </c>
      <c r="AU26">
        <v>96.904582193699994</v>
      </c>
      <c r="AV26">
        <v>95.223272990200002</v>
      </c>
      <c r="AW26">
        <v>114.41983900300001</v>
      </c>
      <c r="AX26">
        <v>94.105633314900004</v>
      </c>
      <c r="AY26">
        <v>90.749374275899996</v>
      </c>
      <c r="AZ26">
        <v>114.87133521600001</v>
      </c>
      <c r="BA26">
        <v>108.681628659</v>
      </c>
      <c r="BB26">
        <v>108.269536182</v>
      </c>
      <c r="BC26">
        <v>111.88554643499999</v>
      </c>
      <c r="BD26">
        <v>103.965972904</v>
      </c>
      <c r="BE26">
        <v>84.153203585200004</v>
      </c>
      <c r="BF26">
        <v>93.793215095999997</v>
      </c>
      <c r="BG26">
        <v>93.406272891200004</v>
      </c>
      <c r="BH26">
        <v>104.025622841</v>
      </c>
      <c r="BI26">
        <v>110.429650966</v>
      </c>
      <c r="BJ26">
        <v>111.549881896</v>
      </c>
      <c r="BK26">
        <v>91.764057090799994</v>
      </c>
      <c r="BL26">
        <v>90.3165529324</v>
      </c>
      <c r="BM26">
        <v>97.503185511300003</v>
      </c>
      <c r="BN26">
        <v>104.769324717</v>
      </c>
      <c r="BO26">
        <v>84.862418042100003</v>
      </c>
      <c r="BP26">
        <v>90.186465655899994</v>
      </c>
      <c r="BQ26">
        <v>81.345523587499997</v>
      </c>
      <c r="BR26">
        <v>105.866280905</v>
      </c>
      <c r="BS26">
        <v>106.905891629</v>
      </c>
      <c r="BT26">
        <v>115.073220862</v>
      </c>
      <c r="BU26">
        <v>108.473692864</v>
      </c>
      <c r="BV26">
        <v>99.543824255800004</v>
      </c>
      <c r="BW26">
        <v>89.7651134794</v>
      </c>
      <c r="BX26">
        <v>83.353184733999996</v>
      </c>
      <c r="BY26">
        <v>101.60871217</v>
      </c>
      <c r="BZ26">
        <v>90.222845159399995</v>
      </c>
      <c r="CA26">
        <v>95.637884998499999</v>
      </c>
      <c r="CB26">
        <v>107.34328834900001</v>
      </c>
      <c r="CC26">
        <v>94.842521547600001</v>
      </c>
      <c r="CD26">
        <v>101.921501964</v>
      </c>
      <c r="CE26">
        <v>109.37901304499999</v>
      </c>
      <c r="CF26">
        <v>91.655310464799996</v>
      </c>
      <c r="CG26">
        <v>89.588400730800004</v>
      </c>
      <c r="CH26">
        <v>123.999604135</v>
      </c>
      <c r="CI26">
        <v>95.738576370900006</v>
      </c>
      <c r="CJ26">
        <v>101.647473777</v>
      </c>
      <c r="CK26">
        <v>89.046982326700004</v>
      </c>
      <c r="CL26">
        <v>86.593886769899996</v>
      </c>
      <c r="CM26">
        <v>110.539153603</v>
      </c>
      <c r="CN26">
        <v>90.193481787899998</v>
      </c>
      <c r="CO26">
        <v>111.691981813</v>
      </c>
      <c r="CP26">
        <v>98.124163891600006</v>
      </c>
      <c r="CQ26">
        <v>109.611357525</v>
      </c>
      <c r="CR26">
        <v>106.48335379300001</v>
      </c>
      <c r="CS26">
        <v>110.22806919999999</v>
      </c>
      <c r="CT26">
        <v>115.27443476000001</v>
      </c>
      <c r="CU26">
        <v>97.246709260900005</v>
      </c>
      <c r="CV26">
        <v>93.059786994000007</v>
      </c>
      <c r="CW26">
        <v>120.27588653799999</v>
      </c>
      <c r="CX26">
        <v>113.703415096</v>
      </c>
      <c r="CY26">
        <v>103.168729414</v>
      </c>
      <c r="CZ26">
        <v>103.039861339</v>
      </c>
      <c r="DA26">
        <v>118.198084825</v>
      </c>
      <c r="DB26">
        <v>87.936323287500002</v>
      </c>
      <c r="DC26">
        <v>102.09021609600001</v>
      </c>
      <c r="DD26">
        <v>89.673238102900001</v>
      </c>
      <c r="DE26">
        <v>107.023442614</v>
      </c>
      <c r="DF26">
        <v>87.654451510599998</v>
      </c>
      <c r="DG26">
        <v>93.605753605000004</v>
      </c>
      <c r="DH26">
        <v>100.16097644600001</v>
      </c>
    </row>
    <row r="27" spans="1:112" x14ac:dyDescent="0.25">
      <c r="A27" s="8">
        <f t="shared" si="0"/>
        <v>90.157094802145394</v>
      </c>
      <c r="B27" s="9">
        <f>AVERAGE($C$2:C27)</f>
        <v>4.5015536465209811</v>
      </c>
      <c r="C27" s="9">
        <f t="shared" si="1"/>
        <v>4.4609852666515639</v>
      </c>
      <c r="D27" s="6">
        <f>AVERAGE($G$2:G27)</f>
        <v>92.562080468399998</v>
      </c>
      <c r="E27" s="6">
        <f>AVERAGE($H$2:H27)</f>
        <v>90.757365165585725</v>
      </c>
      <c r="F27" s="6">
        <f>AVERAGE($M$2:M27)</f>
        <v>90.298416448400019</v>
      </c>
      <c r="G27" s="6" t="b">
        <f t="shared" si="2"/>
        <v>0</v>
      </c>
      <c r="H27" t="b">
        <f t="shared" si="3"/>
        <v>0</v>
      </c>
      <c r="I27" s="6">
        <f t="shared" si="4"/>
        <v>-0.45894871718570585</v>
      </c>
      <c r="J27" s="6">
        <f t="shared" si="5"/>
        <v>-2.2636640199999789</v>
      </c>
      <c r="K27">
        <v>25</v>
      </c>
      <c r="L27">
        <f>L26+Asian!dt</f>
        <v>0.25000000000000006</v>
      </c>
      <c r="M27">
        <v>86.572764347499998</v>
      </c>
      <c r="N27">
        <v>100.81126507499999</v>
      </c>
      <c r="O27">
        <v>103.78222264599999</v>
      </c>
      <c r="P27">
        <v>99.834645389399995</v>
      </c>
      <c r="Q27">
        <v>89.122153365299994</v>
      </c>
      <c r="R27">
        <v>97.078960382700004</v>
      </c>
      <c r="S27">
        <v>127.23010482399999</v>
      </c>
      <c r="T27">
        <v>83.2725681302</v>
      </c>
      <c r="U27">
        <v>114.19448148399999</v>
      </c>
      <c r="V27">
        <v>104.81116192099999</v>
      </c>
      <c r="W27">
        <v>101.418467271</v>
      </c>
      <c r="X27">
        <v>116.255411147</v>
      </c>
      <c r="Y27">
        <v>91.478649853199997</v>
      </c>
      <c r="Z27">
        <v>110.026667198</v>
      </c>
      <c r="AA27">
        <v>99.965056989299995</v>
      </c>
      <c r="AB27">
        <v>89.101002781700004</v>
      </c>
      <c r="AC27">
        <v>93.209570393999996</v>
      </c>
      <c r="AD27">
        <v>99.235297680900004</v>
      </c>
      <c r="AE27">
        <v>117.403424898</v>
      </c>
      <c r="AF27">
        <v>96.422613157499995</v>
      </c>
      <c r="AG27">
        <v>107.21464088800001</v>
      </c>
      <c r="AH27">
        <v>96.063907115399999</v>
      </c>
      <c r="AI27">
        <v>90.291841952400006</v>
      </c>
      <c r="AJ27">
        <v>94.910813516299996</v>
      </c>
      <c r="AK27">
        <v>116.385245828</v>
      </c>
      <c r="AL27">
        <v>109.180202581</v>
      </c>
      <c r="AM27">
        <v>90.6194772634</v>
      </c>
      <c r="AN27">
        <v>120.69225261299999</v>
      </c>
      <c r="AO27">
        <v>97.214979588999995</v>
      </c>
      <c r="AP27">
        <v>94.909575253499995</v>
      </c>
      <c r="AQ27">
        <v>101.725829421</v>
      </c>
      <c r="AR27">
        <v>103.665944536</v>
      </c>
      <c r="AS27">
        <v>118.705437076</v>
      </c>
      <c r="AT27">
        <v>86.991562422399994</v>
      </c>
      <c r="AU27">
        <v>95.134454748500005</v>
      </c>
      <c r="AV27">
        <v>94.613805179799996</v>
      </c>
      <c r="AW27">
        <v>114.244865057</v>
      </c>
      <c r="AX27">
        <v>95.866365403000003</v>
      </c>
      <c r="AY27">
        <v>91.151919033400006</v>
      </c>
      <c r="AZ27">
        <v>117.523232724</v>
      </c>
      <c r="BA27">
        <v>107.28086851899999</v>
      </c>
      <c r="BB27">
        <v>104.973644841</v>
      </c>
      <c r="BC27">
        <v>108.970937827</v>
      </c>
      <c r="BD27">
        <v>102.99320842500001</v>
      </c>
      <c r="BE27">
        <v>83.186361983099999</v>
      </c>
      <c r="BF27">
        <v>92.497770690999999</v>
      </c>
      <c r="BG27">
        <v>95.542851282499996</v>
      </c>
      <c r="BH27">
        <v>102.630913058</v>
      </c>
      <c r="BI27">
        <v>111.921474831</v>
      </c>
      <c r="BJ27">
        <v>110.28544607400001</v>
      </c>
      <c r="BK27">
        <v>92.318842879000002</v>
      </c>
      <c r="BL27">
        <v>92.956995294899997</v>
      </c>
      <c r="BM27">
        <v>97.726179577099998</v>
      </c>
      <c r="BN27">
        <v>102.208333126</v>
      </c>
      <c r="BO27">
        <v>83.767363559299994</v>
      </c>
      <c r="BP27">
        <v>91.4230764056</v>
      </c>
      <c r="BQ27">
        <v>83.587537396000002</v>
      </c>
      <c r="BR27">
        <v>109.571649232</v>
      </c>
      <c r="BS27">
        <v>104.32454619799999</v>
      </c>
      <c r="BT27">
        <v>115.036935249</v>
      </c>
      <c r="BU27">
        <v>105.319871139</v>
      </c>
      <c r="BV27">
        <v>99.275002027599996</v>
      </c>
      <c r="BW27">
        <v>90.499448246499995</v>
      </c>
      <c r="BX27">
        <v>81.506463604299995</v>
      </c>
      <c r="BY27">
        <v>103.308593871</v>
      </c>
      <c r="BZ27">
        <v>91.825218331100004</v>
      </c>
      <c r="CA27">
        <v>94.073160704900005</v>
      </c>
      <c r="CB27">
        <v>105.64356378399999</v>
      </c>
      <c r="CC27">
        <v>96.622862867400002</v>
      </c>
      <c r="CD27">
        <v>100.97959042399999</v>
      </c>
      <c r="CE27">
        <v>110.60497703999999</v>
      </c>
      <c r="CF27">
        <v>91.201947904500003</v>
      </c>
      <c r="CG27">
        <v>92.022511038000005</v>
      </c>
      <c r="CH27">
        <v>119.222814082</v>
      </c>
      <c r="CI27">
        <v>97.7940480014</v>
      </c>
      <c r="CJ27">
        <v>98.736057472499994</v>
      </c>
      <c r="CK27">
        <v>89.199189983099998</v>
      </c>
      <c r="CL27">
        <v>86.543395900999997</v>
      </c>
      <c r="CM27">
        <v>108.793730682</v>
      </c>
      <c r="CN27">
        <v>90.754880464500005</v>
      </c>
      <c r="CO27">
        <v>115.64331955199999</v>
      </c>
      <c r="CP27">
        <v>97.802168117899996</v>
      </c>
      <c r="CQ27">
        <v>104.67025148099999</v>
      </c>
      <c r="CR27">
        <v>104.74496135</v>
      </c>
      <c r="CS27">
        <v>109.786820943</v>
      </c>
      <c r="CT27">
        <v>111.564384127</v>
      </c>
      <c r="CU27">
        <v>98.702320998800005</v>
      </c>
      <c r="CV27">
        <v>90.137920378999993</v>
      </c>
      <c r="CW27">
        <v>116.366897395</v>
      </c>
      <c r="CX27">
        <v>113.726393515</v>
      </c>
      <c r="CY27">
        <v>100.530595637</v>
      </c>
      <c r="CZ27">
        <v>107.114342217</v>
      </c>
      <c r="DA27">
        <v>114.80709718999999</v>
      </c>
      <c r="DB27">
        <v>83.688982274500006</v>
      </c>
      <c r="DC27">
        <v>99.289984451199999</v>
      </c>
      <c r="DD27">
        <v>89.993563371799993</v>
      </c>
      <c r="DE27">
        <v>106.396162277</v>
      </c>
      <c r="DF27">
        <v>85.263633169800002</v>
      </c>
      <c r="DG27">
        <v>91.961814008000005</v>
      </c>
      <c r="DH27">
        <v>101.173511117</v>
      </c>
    </row>
    <row r="28" spans="1:112" x14ac:dyDescent="0.25">
      <c r="A28" s="8">
        <f t="shared" si="0"/>
        <v>90.040962330021131</v>
      </c>
      <c r="B28" s="9">
        <f>AVERAGE($C$2:C28)</f>
        <v>4.5002647037870718</v>
      </c>
      <c r="C28" s="9">
        <f t="shared" si="1"/>
        <v>4.4667521927054414</v>
      </c>
      <c r="D28" s="6">
        <f>AVERAGE($G$2:G28)</f>
        <v>92.562080468399998</v>
      </c>
      <c r="E28" s="6">
        <f>AVERAGE($H$2:H28)</f>
        <v>90.757365165585725</v>
      </c>
      <c r="F28" s="6">
        <f>AVERAGE($M$2:M28)</f>
        <v>90.178973818577802</v>
      </c>
      <c r="G28" s="6" t="b">
        <f t="shared" si="2"/>
        <v>0</v>
      </c>
      <c r="H28" t="b">
        <f t="shared" si="3"/>
        <v>0</v>
      </c>
      <c r="I28" s="6">
        <f t="shared" si="4"/>
        <v>-0.57839134700792272</v>
      </c>
      <c r="J28" s="6">
        <f t="shared" si="5"/>
        <v>-2.3831066498221958</v>
      </c>
      <c r="K28">
        <v>26</v>
      </c>
      <c r="L28">
        <f>L27+Asian!dt</f>
        <v>0.26000000000000006</v>
      </c>
      <c r="M28">
        <v>87.073465443200007</v>
      </c>
      <c r="N28">
        <v>103.345548761</v>
      </c>
      <c r="O28">
        <v>103.950964126</v>
      </c>
      <c r="P28">
        <v>98.880918915500004</v>
      </c>
      <c r="Q28">
        <v>85.37201365</v>
      </c>
      <c r="R28">
        <v>97.365009017299997</v>
      </c>
      <c r="S28">
        <v>124.42094558399999</v>
      </c>
      <c r="T28">
        <v>82.099834671099998</v>
      </c>
      <c r="U28">
        <v>115.49998642600001</v>
      </c>
      <c r="V28">
        <v>104.53634075799999</v>
      </c>
      <c r="W28">
        <v>104.137099147</v>
      </c>
      <c r="X28">
        <v>116.701064899</v>
      </c>
      <c r="Y28">
        <v>90.450400535699998</v>
      </c>
      <c r="Z28">
        <v>109.608316988</v>
      </c>
      <c r="AA28">
        <v>100.059572191</v>
      </c>
      <c r="AB28">
        <v>90.740655563000004</v>
      </c>
      <c r="AC28">
        <v>91.167127446199999</v>
      </c>
      <c r="AD28">
        <v>96.4664269676</v>
      </c>
      <c r="AE28">
        <v>119.89809952100001</v>
      </c>
      <c r="AF28">
        <v>98.214237636799993</v>
      </c>
      <c r="AG28">
        <v>106.562087334</v>
      </c>
      <c r="AH28">
        <v>95.922999255799994</v>
      </c>
      <c r="AI28">
        <v>89.680080441399994</v>
      </c>
      <c r="AJ28">
        <v>94.915246335500001</v>
      </c>
      <c r="AK28">
        <v>117.919871707</v>
      </c>
      <c r="AL28">
        <v>110.239509333</v>
      </c>
      <c r="AM28">
        <v>91.914433519799999</v>
      </c>
      <c r="AN28">
        <v>123.159842446</v>
      </c>
      <c r="AO28">
        <v>95.953562073399993</v>
      </c>
      <c r="AP28">
        <v>96.626418973400007</v>
      </c>
      <c r="AQ28">
        <v>101.16280336600001</v>
      </c>
      <c r="AR28">
        <v>101.884920849</v>
      </c>
      <c r="AS28">
        <v>120.810901894</v>
      </c>
      <c r="AT28">
        <v>88.474109719300003</v>
      </c>
      <c r="AU28">
        <v>93.751228138499997</v>
      </c>
      <c r="AV28">
        <v>94.490365980000007</v>
      </c>
      <c r="AW28">
        <v>115.217167545</v>
      </c>
      <c r="AX28">
        <v>97.407612141200005</v>
      </c>
      <c r="AY28">
        <v>92.449114479100004</v>
      </c>
      <c r="AZ28">
        <v>118.67919118099999</v>
      </c>
      <c r="BA28">
        <v>107.01425513700001</v>
      </c>
      <c r="BB28">
        <v>105.985565341</v>
      </c>
      <c r="BC28">
        <v>108.270614012</v>
      </c>
      <c r="BD28">
        <v>103.267600883</v>
      </c>
      <c r="BE28">
        <v>84.270836499500007</v>
      </c>
      <c r="BF28">
        <v>88.931237656999997</v>
      </c>
      <c r="BG28">
        <v>93.591268597500004</v>
      </c>
      <c r="BH28">
        <v>104.21025589</v>
      </c>
      <c r="BI28">
        <v>112.30389885699999</v>
      </c>
      <c r="BJ28">
        <v>107.65233274000001</v>
      </c>
      <c r="BK28">
        <v>92.299829094700002</v>
      </c>
      <c r="BL28">
        <v>90.689319500899998</v>
      </c>
      <c r="BM28">
        <v>98.905624932600006</v>
      </c>
      <c r="BN28">
        <v>98.209048578700006</v>
      </c>
      <c r="BO28">
        <v>84.264806812299994</v>
      </c>
      <c r="BP28">
        <v>91.5293164996</v>
      </c>
      <c r="BQ28">
        <v>81.647196878800003</v>
      </c>
      <c r="BR28">
        <v>111.080672752</v>
      </c>
      <c r="BS28">
        <v>103.543567362</v>
      </c>
      <c r="BT28">
        <v>112.49167973599999</v>
      </c>
      <c r="BU28">
        <v>103.894233731</v>
      </c>
      <c r="BV28">
        <v>98.510119565400004</v>
      </c>
      <c r="BW28">
        <v>88.430062135100002</v>
      </c>
      <c r="BX28">
        <v>81.200344741400002</v>
      </c>
      <c r="BY28">
        <v>103.323924687</v>
      </c>
      <c r="BZ28">
        <v>90.135475159400002</v>
      </c>
      <c r="CA28">
        <v>93.6859681607</v>
      </c>
      <c r="CB28">
        <v>104.78681014</v>
      </c>
      <c r="CC28">
        <v>97.3107629135</v>
      </c>
      <c r="CD28">
        <v>100.835900537</v>
      </c>
      <c r="CE28">
        <v>104.91948484300001</v>
      </c>
      <c r="CF28">
        <v>90.892134524200003</v>
      </c>
      <c r="CG28">
        <v>90.994979081699995</v>
      </c>
      <c r="CH28">
        <v>119.61255689399999</v>
      </c>
      <c r="CI28">
        <v>98.048100869300001</v>
      </c>
      <c r="CJ28">
        <v>95.593754260599994</v>
      </c>
      <c r="CK28">
        <v>85.598389556499995</v>
      </c>
      <c r="CL28">
        <v>85.206817111500001</v>
      </c>
      <c r="CM28">
        <v>113.051084613</v>
      </c>
      <c r="CN28">
        <v>86.7649685003</v>
      </c>
      <c r="CO28">
        <v>120.772294358</v>
      </c>
      <c r="CP28">
        <v>94.334347718399997</v>
      </c>
      <c r="CQ28">
        <v>103.67718315099999</v>
      </c>
      <c r="CR28">
        <v>101.296665053</v>
      </c>
      <c r="CS28">
        <v>106.757166571</v>
      </c>
      <c r="CT28">
        <v>108.984520342</v>
      </c>
      <c r="CU28">
        <v>98.621547607599993</v>
      </c>
      <c r="CV28">
        <v>85.586554512600003</v>
      </c>
      <c r="CW28">
        <v>112.632801821</v>
      </c>
      <c r="CX28">
        <v>113.72267796600001</v>
      </c>
      <c r="CY28">
        <v>101.904717684</v>
      </c>
      <c r="CZ28">
        <v>109.320337376</v>
      </c>
      <c r="DA28">
        <v>112.86385373900001</v>
      </c>
      <c r="DB28">
        <v>85.595609380300004</v>
      </c>
      <c r="DC28">
        <v>99.638194483800007</v>
      </c>
      <c r="DD28">
        <v>87.187635866600004</v>
      </c>
      <c r="DE28">
        <v>103.850005129</v>
      </c>
      <c r="DF28">
        <v>88.473563694500001</v>
      </c>
      <c r="DG28">
        <v>91.107639707299995</v>
      </c>
      <c r="DH28">
        <v>100.915008711</v>
      </c>
    </row>
    <row r="29" spans="1:112" x14ac:dyDescent="0.25">
      <c r="A29" s="8">
        <f t="shared" si="0"/>
        <v>89.877579611882325</v>
      </c>
      <c r="B29" s="9">
        <f>AVERAGE($C$2:C29)</f>
        <v>4.4984485178477502</v>
      </c>
      <c r="C29" s="9">
        <f t="shared" si="1"/>
        <v>4.449411497486075</v>
      </c>
      <c r="D29" s="6">
        <f>AVERAGE($G$2:G29)</f>
        <v>92.562080468399998</v>
      </c>
      <c r="E29" s="6">
        <f>AVERAGE($H$2:H29)</f>
        <v>90.757365165585725</v>
      </c>
      <c r="F29" s="6">
        <f>AVERAGE($M$2:M29)</f>
        <v>90.014602152032154</v>
      </c>
      <c r="G29" s="6" t="b">
        <f t="shared" si="2"/>
        <v>0</v>
      </c>
      <c r="H29" t="b">
        <f t="shared" si="3"/>
        <v>0</v>
      </c>
      <c r="I29" s="6">
        <f t="shared" si="4"/>
        <v>-0.74276301355357077</v>
      </c>
      <c r="J29" s="6">
        <f t="shared" si="5"/>
        <v>-2.5474783163678438</v>
      </c>
      <c r="K29">
        <v>27</v>
      </c>
      <c r="L29">
        <f>L28+Asian!dt</f>
        <v>0.27000000000000007</v>
      </c>
      <c r="M29">
        <v>85.576567155299998</v>
      </c>
      <c r="N29">
        <v>102.85082638999999</v>
      </c>
      <c r="O29">
        <v>103.041511855</v>
      </c>
      <c r="P29">
        <v>100.453325875</v>
      </c>
      <c r="Q29">
        <v>86.319907830099993</v>
      </c>
      <c r="R29">
        <v>97.602656446500006</v>
      </c>
      <c r="S29">
        <v>124.479436573</v>
      </c>
      <c r="T29">
        <v>82.810295689100002</v>
      </c>
      <c r="U29">
        <v>117.863677944</v>
      </c>
      <c r="V29">
        <v>105.43071607900001</v>
      </c>
      <c r="W29">
        <v>103.096291096</v>
      </c>
      <c r="X29">
        <v>119.895049984</v>
      </c>
      <c r="Y29">
        <v>91.351164928900005</v>
      </c>
      <c r="Z29">
        <v>109.072804111</v>
      </c>
      <c r="AA29">
        <v>101.81560055600001</v>
      </c>
      <c r="AB29">
        <v>93.6566902446</v>
      </c>
      <c r="AC29">
        <v>93.031275900799997</v>
      </c>
      <c r="AD29">
        <v>94.2486740083</v>
      </c>
      <c r="AE29">
        <v>122.83021078599999</v>
      </c>
      <c r="AF29">
        <v>99.540971918799997</v>
      </c>
      <c r="AG29">
        <v>105.760163445</v>
      </c>
      <c r="AH29">
        <v>99.324515581399993</v>
      </c>
      <c r="AI29">
        <v>84.938032791799998</v>
      </c>
      <c r="AJ29">
        <v>94.302981002999999</v>
      </c>
      <c r="AK29">
        <v>119.307308201</v>
      </c>
      <c r="AL29">
        <v>106.067944758</v>
      </c>
      <c r="AM29">
        <v>94.438804440499993</v>
      </c>
      <c r="AN29">
        <v>127.407706866</v>
      </c>
      <c r="AO29">
        <v>97.923977133099996</v>
      </c>
      <c r="AP29">
        <v>96.044142495700001</v>
      </c>
      <c r="AQ29">
        <v>97.757668879199997</v>
      </c>
      <c r="AR29">
        <v>105.798664815</v>
      </c>
      <c r="AS29">
        <v>122.058647142</v>
      </c>
      <c r="AT29">
        <v>90.938892562600003</v>
      </c>
      <c r="AU29">
        <v>94.555653170699998</v>
      </c>
      <c r="AV29">
        <v>98.854277584299993</v>
      </c>
      <c r="AW29">
        <v>113.454295644</v>
      </c>
      <c r="AX29">
        <v>97.646533486300001</v>
      </c>
      <c r="AY29">
        <v>90.466190698999995</v>
      </c>
      <c r="AZ29">
        <v>119.939613353</v>
      </c>
      <c r="BA29">
        <v>109.851668566</v>
      </c>
      <c r="BB29">
        <v>104.944527182</v>
      </c>
      <c r="BC29">
        <v>108.04220753</v>
      </c>
      <c r="BD29">
        <v>104.79138325</v>
      </c>
      <c r="BE29">
        <v>86.451759856799995</v>
      </c>
      <c r="BF29">
        <v>90.987348476099996</v>
      </c>
      <c r="BG29">
        <v>93.725935482200001</v>
      </c>
      <c r="BH29">
        <v>103.443545996</v>
      </c>
      <c r="BI29">
        <v>111.46581627400001</v>
      </c>
      <c r="BJ29">
        <v>107.087776103</v>
      </c>
      <c r="BK29">
        <v>94.045971696899997</v>
      </c>
      <c r="BL29">
        <v>90.0312774856</v>
      </c>
      <c r="BM29">
        <v>98.677137209999998</v>
      </c>
      <c r="BN29">
        <v>100.935849066</v>
      </c>
      <c r="BO29">
        <v>82.393639769800004</v>
      </c>
      <c r="BP29">
        <v>92.465541161900006</v>
      </c>
      <c r="BQ29">
        <v>81.813629832499998</v>
      </c>
      <c r="BR29">
        <v>107.764903817</v>
      </c>
      <c r="BS29">
        <v>105.37602966</v>
      </c>
      <c r="BT29">
        <v>113.89515702999999</v>
      </c>
      <c r="BU29">
        <v>103.234112215</v>
      </c>
      <c r="BV29">
        <v>96.846768900800001</v>
      </c>
      <c r="BW29">
        <v>87.636427907300003</v>
      </c>
      <c r="BX29">
        <v>81.483952948199999</v>
      </c>
      <c r="BY29">
        <v>102.556564415</v>
      </c>
      <c r="BZ29">
        <v>91.605215070599996</v>
      </c>
      <c r="CA29">
        <v>96.503202233500005</v>
      </c>
      <c r="CB29">
        <v>103.113743825</v>
      </c>
      <c r="CC29">
        <v>96.080313380299998</v>
      </c>
      <c r="CD29">
        <v>101.56359944800001</v>
      </c>
      <c r="CE29">
        <v>108.122888992</v>
      </c>
      <c r="CF29">
        <v>90.019592218</v>
      </c>
      <c r="CG29">
        <v>90.913910922599996</v>
      </c>
      <c r="CH29">
        <v>118.071186723</v>
      </c>
      <c r="CI29">
        <v>96.814215404099997</v>
      </c>
      <c r="CJ29">
        <v>94.899911598399996</v>
      </c>
      <c r="CK29">
        <v>85.960721303400007</v>
      </c>
      <c r="CL29">
        <v>86.416900312699994</v>
      </c>
      <c r="CM29">
        <v>111.01509523199999</v>
      </c>
      <c r="CN29">
        <v>85.421472277700005</v>
      </c>
      <c r="CO29">
        <v>117.848357784</v>
      </c>
      <c r="CP29">
        <v>92.706491303500002</v>
      </c>
      <c r="CQ29">
        <v>103.362337672</v>
      </c>
      <c r="CR29">
        <v>100.360675861</v>
      </c>
      <c r="CS29">
        <v>105.05890872000001</v>
      </c>
      <c r="CT29">
        <v>110.14841366900001</v>
      </c>
      <c r="CU29">
        <v>99.804774088299993</v>
      </c>
      <c r="CV29">
        <v>86.216174646400006</v>
      </c>
      <c r="CW29">
        <v>112.53144308900001</v>
      </c>
      <c r="CX29">
        <v>113.545108356</v>
      </c>
      <c r="CY29">
        <v>99.150999992799996</v>
      </c>
      <c r="CZ29">
        <v>107.824741206</v>
      </c>
      <c r="DA29">
        <v>114.510887712</v>
      </c>
      <c r="DB29">
        <v>84.331443528899996</v>
      </c>
      <c r="DC29">
        <v>97.838181275799997</v>
      </c>
      <c r="DD29">
        <v>86.932076496799993</v>
      </c>
      <c r="DE29">
        <v>104.663859375</v>
      </c>
      <c r="DF29">
        <v>87.392014133900005</v>
      </c>
      <c r="DG29">
        <v>90.230715279099996</v>
      </c>
      <c r="DH29">
        <v>104.068275543</v>
      </c>
    </row>
    <row r="30" spans="1:112" x14ac:dyDescent="0.25">
      <c r="A30" s="8">
        <f t="shared" si="0"/>
        <v>89.692962387305002</v>
      </c>
      <c r="B30" s="9">
        <f>AVERAGE($C$2:C30)</f>
        <v>4.4963923087661417</v>
      </c>
      <c r="C30" s="9">
        <f t="shared" si="1"/>
        <v>4.4388184544811011</v>
      </c>
      <c r="D30" s="6">
        <f>AVERAGE($G$2:G30)</f>
        <v>92.562080468399998</v>
      </c>
      <c r="E30" s="6">
        <f>AVERAGE($H$2:H30)</f>
        <v>89.997048941525009</v>
      </c>
      <c r="F30" s="6">
        <f>AVERAGE($M$2:M30)</f>
        <v>89.830472263103459</v>
      </c>
      <c r="G30" s="6" t="b">
        <f t="shared" si="2"/>
        <v>0</v>
      </c>
      <c r="H30">
        <f t="shared" si="3"/>
        <v>84.674835373099995</v>
      </c>
      <c r="I30" s="6">
        <f t="shared" si="4"/>
        <v>-0.16657667842154922</v>
      </c>
      <c r="J30" s="6">
        <f t="shared" si="5"/>
        <v>-2.7316082052965385</v>
      </c>
      <c r="K30">
        <v>28</v>
      </c>
      <c r="L30">
        <f>L29+Asian!dt</f>
        <v>0.28000000000000008</v>
      </c>
      <c r="M30">
        <v>84.674835373099995</v>
      </c>
      <c r="N30">
        <v>100.94485554800001</v>
      </c>
      <c r="O30">
        <v>99.0107222181</v>
      </c>
      <c r="P30">
        <v>102.08515134699999</v>
      </c>
      <c r="Q30">
        <v>85.849933735400001</v>
      </c>
      <c r="R30">
        <v>101.780396321</v>
      </c>
      <c r="S30">
        <v>123.320272054</v>
      </c>
      <c r="T30">
        <v>82.041360611900004</v>
      </c>
      <c r="U30">
        <v>116.186213786</v>
      </c>
      <c r="V30">
        <v>103.737522613</v>
      </c>
      <c r="W30">
        <v>102.892199734</v>
      </c>
      <c r="X30">
        <v>114.43477236</v>
      </c>
      <c r="Y30">
        <v>91.731346484200003</v>
      </c>
      <c r="Z30">
        <v>109.48476420599999</v>
      </c>
      <c r="AA30">
        <v>105.539465748</v>
      </c>
      <c r="AB30">
        <v>94.283032964100002</v>
      </c>
      <c r="AC30">
        <v>91.325822844399994</v>
      </c>
      <c r="AD30">
        <v>95.198824408600004</v>
      </c>
      <c r="AE30">
        <v>119.76813469</v>
      </c>
      <c r="AF30">
        <v>97.657944629900001</v>
      </c>
      <c r="AG30">
        <v>108.01170528999999</v>
      </c>
      <c r="AH30">
        <v>99.654342760099993</v>
      </c>
      <c r="AI30">
        <v>82.956800037299999</v>
      </c>
      <c r="AJ30">
        <v>94.452490509399993</v>
      </c>
      <c r="AK30">
        <v>120.997963126</v>
      </c>
      <c r="AL30">
        <v>106.92102674100001</v>
      </c>
      <c r="AM30">
        <v>96.358760551700001</v>
      </c>
      <c r="AN30">
        <v>129.73499071500001</v>
      </c>
      <c r="AO30">
        <v>98.117529070700002</v>
      </c>
      <c r="AP30">
        <v>95.076568522000002</v>
      </c>
      <c r="AQ30">
        <v>98.064835243900006</v>
      </c>
      <c r="AR30">
        <v>107.40288188300001</v>
      </c>
      <c r="AS30">
        <v>120.66852453</v>
      </c>
      <c r="AT30">
        <v>92.6493066922</v>
      </c>
      <c r="AU30">
        <v>92.4503952707</v>
      </c>
      <c r="AV30">
        <v>101.691031169</v>
      </c>
      <c r="AW30">
        <v>113.13840811199999</v>
      </c>
      <c r="AX30">
        <v>98.5551451348</v>
      </c>
      <c r="AY30">
        <v>89.1886222264</v>
      </c>
      <c r="AZ30">
        <v>119.437841273</v>
      </c>
      <c r="BA30">
        <v>113.927242656</v>
      </c>
      <c r="BB30">
        <v>104.371854244</v>
      </c>
      <c r="BC30">
        <v>107.809987468</v>
      </c>
      <c r="BD30">
        <v>104.82182563000001</v>
      </c>
      <c r="BE30">
        <v>88.585827979399994</v>
      </c>
      <c r="BF30">
        <v>89.329024506699994</v>
      </c>
      <c r="BG30">
        <v>92.548608863799998</v>
      </c>
      <c r="BH30">
        <v>105.482001881</v>
      </c>
      <c r="BI30">
        <v>114.58167396100001</v>
      </c>
      <c r="BJ30">
        <v>105.596896343</v>
      </c>
      <c r="BK30">
        <v>93.018724027000005</v>
      </c>
      <c r="BL30">
        <v>88.189701556200006</v>
      </c>
      <c r="BM30">
        <v>97.079353515500003</v>
      </c>
      <c r="BN30">
        <v>101.26936414799999</v>
      </c>
      <c r="BO30">
        <v>81.979791782700005</v>
      </c>
      <c r="BP30">
        <v>91.964039455700004</v>
      </c>
      <c r="BQ30">
        <v>82.551366998000006</v>
      </c>
      <c r="BR30">
        <v>105.227527866</v>
      </c>
      <c r="BS30">
        <v>104.918753903</v>
      </c>
      <c r="BT30">
        <v>115.380895245</v>
      </c>
      <c r="BU30">
        <v>103.345885982</v>
      </c>
      <c r="BV30">
        <v>94.112929313699993</v>
      </c>
      <c r="BW30">
        <v>87.829700466600002</v>
      </c>
      <c r="BX30">
        <v>82.020636854599999</v>
      </c>
      <c r="BY30">
        <v>109.63854451900001</v>
      </c>
      <c r="BZ30">
        <v>93.706495521899996</v>
      </c>
      <c r="CA30">
        <v>94.551612868199996</v>
      </c>
      <c r="CB30">
        <v>103.608610404</v>
      </c>
      <c r="CC30">
        <v>94.160635151999998</v>
      </c>
      <c r="CD30">
        <v>102.630651704</v>
      </c>
      <c r="CE30">
        <v>107.061347879</v>
      </c>
      <c r="CF30">
        <v>88.828526394700006</v>
      </c>
      <c r="CG30">
        <v>93.137088516099993</v>
      </c>
      <c r="CH30">
        <v>121.651777043</v>
      </c>
      <c r="CI30">
        <v>98.159499373499997</v>
      </c>
      <c r="CJ30">
        <v>96.062543194599996</v>
      </c>
      <c r="CK30">
        <v>85.606456877900001</v>
      </c>
      <c r="CL30">
        <v>88.244824906399998</v>
      </c>
      <c r="CM30">
        <v>107.527190791</v>
      </c>
      <c r="CN30">
        <v>87.454414475199997</v>
      </c>
      <c r="CO30">
        <v>117.362533349</v>
      </c>
      <c r="CP30">
        <v>93.713501078500002</v>
      </c>
      <c r="CQ30">
        <v>101.88638558300001</v>
      </c>
      <c r="CR30">
        <v>102.42483267599999</v>
      </c>
      <c r="CS30">
        <v>106.917666724</v>
      </c>
      <c r="CT30">
        <v>110.901787349</v>
      </c>
      <c r="CU30">
        <v>100.929126838</v>
      </c>
      <c r="CV30">
        <v>85.000403660399996</v>
      </c>
      <c r="CW30">
        <v>110.71407878799999</v>
      </c>
      <c r="CX30">
        <v>114.90129378</v>
      </c>
      <c r="CY30">
        <v>100.697435309</v>
      </c>
      <c r="CZ30">
        <v>104.58942066199999</v>
      </c>
      <c r="DA30">
        <v>116.18544486</v>
      </c>
      <c r="DB30">
        <v>81.020892756400002</v>
      </c>
      <c r="DC30">
        <v>98.625982529400005</v>
      </c>
      <c r="DD30">
        <v>86.937077272600007</v>
      </c>
      <c r="DE30">
        <v>102.562652715</v>
      </c>
      <c r="DF30">
        <v>89.161459579300001</v>
      </c>
      <c r="DG30">
        <v>89.591646556900002</v>
      </c>
      <c r="DH30">
        <v>105.86805874300001</v>
      </c>
    </row>
    <row r="31" spans="1:112" x14ac:dyDescent="0.25">
      <c r="A31" s="8">
        <f t="shared" si="0"/>
        <v>89.580496567084907</v>
      </c>
      <c r="B31" s="9">
        <f>AVERAGE($C$2:C31)</f>
        <v>4.4951376240444878</v>
      </c>
      <c r="C31" s="9">
        <f t="shared" si="1"/>
        <v>4.4587517671165289</v>
      </c>
      <c r="D31" s="6">
        <f>AVERAGE($G$2:G31)</f>
        <v>92.562080468399998</v>
      </c>
      <c r="E31" s="6">
        <f>AVERAGE($H$2:H31)</f>
        <v>89.997048941525009</v>
      </c>
      <c r="F31" s="6">
        <f>AVERAGE($M$2:M31)</f>
        <v>89.71544385076335</v>
      </c>
      <c r="G31" s="6" t="b">
        <f t="shared" si="2"/>
        <v>0</v>
      </c>
      <c r="H31" t="b">
        <f t="shared" si="3"/>
        <v>0</v>
      </c>
      <c r="I31" s="6">
        <f t="shared" si="4"/>
        <v>-0.28160509076165852</v>
      </c>
      <c r="J31" s="6">
        <f t="shared" si="5"/>
        <v>-2.8466366176366478</v>
      </c>
      <c r="K31">
        <v>29</v>
      </c>
      <c r="L31">
        <f>L30+Asian!dt</f>
        <v>0.29000000000000009</v>
      </c>
      <c r="M31">
        <v>86.379619892899996</v>
      </c>
      <c r="N31">
        <v>100.43436796500001</v>
      </c>
      <c r="O31">
        <v>100.168391339</v>
      </c>
      <c r="P31">
        <v>102.71017737699999</v>
      </c>
      <c r="Q31">
        <v>84.446871414699999</v>
      </c>
      <c r="R31">
        <v>100.168019387</v>
      </c>
      <c r="S31">
        <v>123.252862959</v>
      </c>
      <c r="T31">
        <v>82.806334777100005</v>
      </c>
      <c r="U31">
        <v>118.738715923</v>
      </c>
      <c r="V31">
        <v>99.809722850699998</v>
      </c>
      <c r="W31">
        <v>102.05432119</v>
      </c>
      <c r="X31">
        <v>112.205029575</v>
      </c>
      <c r="Y31">
        <v>90.300875466600004</v>
      </c>
      <c r="Z31">
        <v>110.223978098</v>
      </c>
      <c r="AA31">
        <v>105.92112427399999</v>
      </c>
      <c r="AB31">
        <v>93.964408649999996</v>
      </c>
      <c r="AC31">
        <v>93.846358509300003</v>
      </c>
      <c r="AD31">
        <v>92.902971473500003</v>
      </c>
      <c r="AE31">
        <v>122.13528415</v>
      </c>
      <c r="AF31">
        <v>98.8246397387</v>
      </c>
      <c r="AG31">
        <v>107.969314129</v>
      </c>
      <c r="AH31">
        <v>101.277473523</v>
      </c>
      <c r="AI31">
        <v>81.176939683399993</v>
      </c>
      <c r="AJ31">
        <v>94.285580160199999</v>
      </c>
      <c r="AK31">
        <v>118.957955261</v>
      </c>
      <c r="AL31">
        <v>107.259776856</v>
      </c>
      <c r="AM31">
        <v>95.839688936000002</v>
      </c>
      <c r="AN31">
        <v>126.821373705</v>
      </c>
      <c r="AO31">
        <v>95.788963160199998</v>
      </c>
      <c r="AP31">
        <v>90.016072334300006</v>
      </c>
      <c r="AQ31">
        <v>98.907195182600006</v>
      </c>
      <c r="AR31">
        <v>106.678881266</v>
      </c>
      <c r="AS31">
        <v>120.226918509</v>
      </c>
      <c r="AT31">
        <v>94.127676738600002</v>
      </c>
      <c r="AU31">
        <v>90.783322841499995</v>
      </c>
      <c r="AV31">
        <v>100.456581804</v>
      </c>
      <c r="AW31">
        <v>116.82605435799999</v>
      </c>
      <c r="AX31">
        <v>98.979968318399997</v>
      </c>
      <c r="AY31">
        <v>90.5960261938</v>
      </c>
      <c r="AZ31">
        <v>120.672499612</v>
      </c>
      <c r="BA31">
        <v>108.142964209</v>
      </c>
      <c r="BB31">
        <v>105.99702578599999</v>
      </c>
      <c r="BC31">
        <v>106.07929799</v>
      </c>
      <c r="BD31">
        <v>106.842373033</v>
      </c>
      <c r="BE31">
        <v>86.747216952900004</v>
      </c>
      <c r="BF31">
        <v>86.441668482400004</v>
      </c>
      <c r="BG31">
        <v>92.278445205200001</v>
      </c>
      <c r="BH31">
        <v>101.56803546099999</v>
      </c>
      <c r="BI31">
        <v>114.334403835</v>
      </c>
      <c r="BJ31">
        <v>102.381328091</v>
      </c>
      <c r="BK31">
        <v>95.816446076199995</v>
      </c>
      <c r="BL31">
        <v>86.948844369200003</v>
      </c>
      <c r="BM31">
        <v>95.163509824299993</v>
      </c>
      <c r="BN31">
        <v>102.241323272</v>
      </c>
      <c r="BO31">
        <v>79.728511098200002</v>
      </c>
      <c r="BP31">
        <v>89.134601326799995</v>
      </c>
      <c r="BQ31">
        <v>83.750258304499994</v>
      </c>
      <c r="BR31">
        <v>104.51984514599999</v>
      </c>
      <c r="BS31">
        <v>107.17571479</v>
      </c>
      <c r="BT31">
        <v>111.83177549600001</v>
      </c>
      <c r="BU31">
        <v>102.942986249</v>
      </c>
      <c r="BV31">
        <v>89.757462996399994</v>
      </c>
      <c r="BW31">
        <v>86.797987667699999</v>
      </c>
      <c r="BX31">
        <v>79.883957317400004</v>
      </c>
      <c r="BY31">
        <v>109.635148583</v>
      </c>
      <c r="BZ31">
        <v>96.311722160599999</v>
      </c>
      <c r="CA31">
        <v>97.156786924900004</v>
      </c>
      <c r="CB31">
        <v>101.150087125</v>
      </c>
      <c r="CC31">
        <v>94.336745029499994</v>
      </c>
      <c r="CD31">
        <v>102.44524509199999</v>
      </c>
      <c r="CE31">
        <v>106.024620017</v>
      </c>
      <c r="CF31">
        <v>88.189194170299999</v>
      </c>
      <c r="CG31">
        <v>93.713792079100003</v>
      </c>
      <c r="CH31">
        <v>122.60887698099999</v>
      </c>
      <c r="CI31">
        <v>99.998342082400001</v>
      </c>
      <c r="CJ31">
        <v>93.078002908399995</v>
      </c>
      <c r="CK31">
        <v>85.147896804599995</v>
      </c>
      <c r="CL31">
        <v>90.102852636999998</v>
      </c>
      <c r="CM31">
        <v>109.431665466</v>
      </c>
      <c r="CN31">
        <v>88.857647659799994</v>
      </c>
      <c r="CO31">
        <v>117.10502105899999</v>
      </c>
      <c r="CP31">
        <v>95.847872287300007</v>
      </c>
      <c r="CQ31">
        <v>100.609684712</v>
      </c>
      <c r="CR31">
        <v>102.067139693</v>
      </c>
      <c r="CS31">
        <v>108.04472005300001</v>
      </c>
      <c r="CT31">
        <v>109.27783784499999</v>
      </c>
      <c r="CU31">
        <v>99.713103864000004</v>
      </c>
      <c r="CV31">
        <v>85.714594656299994</v>
      </c>
      <c r="CW31">
        <v>107.988748965</v>
      </c>
      <c r="CX31">
        <v>115.67971402400001</v>
      </c>
      <c r="CY31">
        <v>101.39206894100001</v>
      </c>
      <c r="CZ31">
        <v>106.185050687</v>
      </c>
      <c r="DA31">
        <v>110.578504404</v>
      </c>
      <c r="DB31">
        <v>80.822634203600003</v>
      </c>
      <c r="DC31">
        <v>97.941487033200005</v>
      </c>
      <c r="DD31">
        <v>87.232971087400003</v>
      </c>
      <c r="DE31">
        <v>104.47578033800001</v>
      </c>
      <c r="DF31">
        <v>87.296091456100001</v>
      </c>
      <c r="DG31">
        <v>87.494878999199997</v>
      </c>
      <c r="DH31">
        <v>106.37482302399999</v>
      </c>
    </row>
    <row r="32" spans="1:112" x14ac:dyDescent="0.25">
      <c r="A32" s="8">
        <f t="shared" si="0"/>
        <v>89.566860130417311</v>
      </c>
      <c r="B32" s="9">
        <f>AVERAGE($C$2:C32)</f>
        <v>4.494985386948219</v>
      </c>
      <c r="C32" s="9">
        <f t="shared" si="1"/>
        <v>4.4904182740601453</v>
      </c>
      <c r="D32" s="6">
        <f>AVERAGE($G$2:G32)</f>
        <v>91.711243067500007</v>
      </c>
      <c r="E32" s="6">
        <f>AVERAGE($H$2:H32)</f>
        <v>89.997048941525009</v>
      </c>
      <c r="F32" s="6">
        <f>AVERAGE($M$2:M32)</f>
        <v>89.697485367345166</v>
      </c>
      <c r="G32" s="6">
        <f t="shared" si="2"/>
        <v>89.158730864800006</v>
      </c>
      <c r="H32" t="b">
        <f t="shared" si="3"/>
        <v>0</v>
      </c>
      <c r="I32" s="6">
        <f t="shared" si="4"/>
        <v>-0.29956357417984236</v>
      </c>
      <c r="J32" s="6">
        <f t="shared" si="5"/>
        <v>-2.0137577001548408</v>
      </c>
      <c r="K32">
        <v>30</v>
      </c>
      <c r="L32">
        <f>L31+Asian!dt</f>
        <v>0.3000000000000001</v>
      </c>
      <c r="M32">
        <v>89.158730864800006</v>
      </c>
      <c r="N32">
        <v>101.470195847</v>
      </c>
      <c r="O32">
        <v>103.20759517499999</v>
      </c>
      <c r="P32">
        <v>103.08847891800001</v>
      </c>
      <c r="Q32">
        <v>85.823709863299996</v>
      </c>
      <c r="R32">
        <v>99.338255323200002</v>
      </c>
      <c r="S32">
        <v>119.779689215</v>
      </c>
      <c r="T32">
        <v>81.8575582677</v>
      </c>
      <c r="U32">
        <v>119.18312367199999</v>
      </c>
      <c r="V32">
        <v>102.780662724</v>
      </c>
      <c r="W32">
        <v>105.472783445</v>
      </c>
      <c r="X32">
        <v>108.04342167</v>
      </c>
      <c r="Y32">
        <v>90.847108589100003</v>
      </c>
      <c r="Z32">
        <v>106.391371333</v>
      </c>
      <c r="AA32">
        <v>106.88913884999999</v>
      </c>
      <c r="AB32">
        <v>96.973130816400001</v>
      </c>
      <c r="AC32">
        <v>92.3336844894</v>
      </c>
      <c r="AD32">
        <v>94.392336374199999</v>
      </c>
      <c r="AE32">
        <v>122.337399644</v>
      </c>
      <c r="AF32">
        <v>100.298517911</v>
      </c>
      <c r="AG32">
        <v>110.591395009</v>
      </c>
      <c r="AH32">
        <v>102.473706359</v>
      </c>
      <c r="AI32">
        <v>79.0102291603</v>
      </c>
      <c r="AJ32">
        <v>91.749112898899995</v>
      </c>
      <c r="AK32">
        <v>125.223574857</v>
      </c>
      <c r="AL32">
        <v>105.70516317800001</v>
      </c>
      <c r="AM32">
        <v>97.144435727699999</v>
      </c>
      <c r="AN32">
        <v>122.971574136</v>
      </c>
      <c r="AO32">
        <v>99.143858545699999</v>
      </c>
      <c r="AP32">
        <v>87.502134436399999</v>
      </c>
      <c r="AQ32">
        <v>99.1941476266</v>
      </c>
      <c r="AR32">
        <v>105.918238766</v>
      </c>
      <c r="AS32">
        <v>120.754214198</v>
      </c>
      <c r="AT32">
        <v>94.474262745399997</v>
      </c>
      <c r="AU32">
        <v>91.648825311600007</v>
      </c>
      <c r="AV32">
        <v>96.971876370000004</v>
      </c>
      <c r="AW32">
        <v>118.050309242</v>
      </c>
      <c r="AX32">
        <v>97.181574452700005</v>
      </c>
      <c r="AY32">
        <v>90.400468623899997</v>
      </c>
      <c r="AZ32">
        <v>118.122916359</v>
      </c>
      <c r="BA32">
        <v>108.013879523</v>
      </c>
      <c r="BB32">
        <v>108.612774634</v>
      </c>
      <c r="BC32">
        <v>105.18571095199999</v>
      </c>
      <c r="BD32">
        <v>104.97652585900001</v>
      </c>
      <c r="BE32">
        <v>88.127246769400003</v>
      </c>
      <c r="BF32">
        <v>85.680067171600001</v>
      </c>
      <c r="BG32">
        <v>92.020243259799997</v>
      </c>
      <c r="BH32">
        <v>102.330534359</v>
      </c>
      <c r="BI32">
        <v>111.16769330699999</v>
      </c>
      <c r="BJ32">
        <v>105.00863470199999</v>
      </c>
      <c r="BK32">
        <v>95.989237467300001</v>
      </c>
      <c r="BL32">
        <v>88.355540449800003</v>
      </c>
      <c r="BM32">
        <v>95.117862803799994</v>
      </c>
      <c r="BN32">
        <v>99.711059537200001</v>
      </c>
      <c r="BO32">
        <v>79.574352427199997</v>
      </c>
      <c r="BP32">
        <v>87.041855033800005</v>
      </c>
      <c r="BQ32">
        <v>82.450690778600006</v>
      </c>
      <c r="BR32">
        <v>106.06011230599999</v>
      </c>
      <c r="BS32">
        <v>106.304072343</v>
      </c>
      <c r="BT32">
        <v>111.18620857499999</v>
      </c>
      <c r="BU32">
        <v>102.683863934</v>
      </c>
      <c r="BV32">
        <v>87.852824168799998</v>
      </c>
      <c r="BW32">
        <v>85.109244827300003</v>
      </c>
      <c r="BX32">
        <v>79.209971031699993</v>
      </c>
      <c r="BY32">
        <v>111.507984631</v>
      </c>
      <c r="BZ32">
        <v>96.966941776499993</v>
      </c>
      <c r="CA32">
        <v>101.65731282500001</v>
      </c>
      <c r="CB32">
        <v>101.131221653</v>
      </c>
      <c r="CC32">
        <v>93.693193352500003</v>
      </c>
      <c r="CD32">
        <v>101.844612686</v>
      </c>
      <c r="CE32">
        <v>108.61555694099999</v>
      </c>
      <c r="CF32">
        <v>85.925744588300006</v>
      </c>
      <c r="CG32">
        <v>94.381172100399993</v>
      </c>
      <c r="CH32">
        <v>117.35362820899999</v>
      </c>
      <c r="CI32">
        <v>102.762845528</v>
      </c>
      <c r="CJ32">
        <v>92.074292619000005</v>
      </c>
      <c r="CK32">
        <v>86.060275697600005</v>
      </c>
      <c r="CL32">
        <v>91.532926850699994</v>
      </c>
      <c r="CM32">
        <v>108.99147944800001</v>
      </c>
      <c r="CN32">
        <v>90.632382779699995</v>
      </c>
      <c r="CO32">
        <v>116.784357582</v>
      </c>
      <c r="CP32">
        <v>96.076450169300003</v>
      </c>
      <c r="CQ32">
        <v>99.534107233100002</v>
      </c>
      <c r="CR32">
        <v>101.733484996</v>
      </c>
      <c r="CS32">
        <v>105.03787501399999</v>
      </c>
      <c r="CT32">
        <v>107.05159176700001</v>
      </c>
      <c r="CU32">
        <v>99.969872876500006</v>
      </c>
      <c r="CV32">
        <v>87.333505025099996</v>
      </c>
      <c r="CW32">
        <v>109.182713232</v>
      </c>
      <c r="CX32">
        <v>116.491024232</v>
      </c>
      <c r="CY32">
        <v>101.08719751300001</v>
      </c>
      <c r="CZ32">
        <v>106.940855431</v>
      </c>
      <c r="DA32">
        <v>111.650101056</v>
      </c>
      <c r="DB32">
        <v>80.776146709800003</v>
      </c>
      <c r="DC32">
        <v>99.120890427899994</v>
      </c>
      <c r="DD32">
        <v>87.319991110999993</v>
      </c>
      <c r="DE32">
        <v>107.68971028999999</v>
      </c>
      <c r="DF32">
        <v>90.4720027332</v>
      </c>
      <c r="DG32">
        <v>84.984236727099997</v>
      </c>
      <c r="DH32">
        <v>107.98435841200001</v>
      </c>
    </row>
    <row r="33" spans="1:112" x14ac:dyDescent="0.25">
      <c r="A33" s="8">
        <f t="shared" si="0"/>
        <v>89.561659542384305</v>
      </c>
      <c r="B33" s="9">
        <f>AVERAGE($C$2:C33)</f>
        <v>4.4949273215095724</v>
      </c>
      <c r="C33" s="9">
        <f t="shared" si="1"/>
        <v>4.4931272929115327</v>
      </c>
      <c r="D33" s="6">
        <f>AVERAGE($G$2:G33)</f>
        <v>91.711243067500007</v>
      </c>
      <c r="E33" s="6">
        <f>AVERAGE($H$2:H33)</f>
        <v>89.997048941525009</v>
      </c>
      <c r="F33" s="6">
        <f>AVERAGE($M$2:M33)</f>
        <v>89.688207418409377</v>
      </c>
      <c r="G33" s="6" t="b">
        <f t="shared" si="2"/>
        <v>0</v>
      </c>
      <c r="H33" t="b">
        <f t="shared" si="3"/>
        <v>0</v>
      </c>
      <c r="I33" s="6">
        <f t="shared" si="4"/>
        <v>-0.30884152311563184</v>
      </c>
      <c r="J33" s="6">
        <f t="shared" si="5"/>
        <v>-2.0230356490906303</v>
      </c>
      <c r="K33">
        <v>31</v>
      </c>
      <c r="L33">
        <f>L32+Asian!dt</f>
        <v>0.31000000000000011</v>
      </c>
      <c r="M33">
        <v>89.400591001400002</v>
      </c>
      <c r="N33">
        <v>100.230833463</v>
      </c>
      <c r="O33">
        <v>101.446863509</v>
      </c>
      <c r="P33">
        <v>101.75260314000001</v>
      </c>
      <c r="Q33">
        <v>87.816767214999999</v>
      </c>
      <c r="R33">
        <v>97.620116312899995</v>
      </c>
      <c r="S33">
        <v>118.153378465</v>
      </c>
      <c r="T33">
        <v>81.036065177200001</v>
      </c>
      <c r="U33">
        <v>117.532244357</v>
      </c>
      <c r="V33">
        <v>102.14623828000001</v>
      </c>
      <c r="W33">
        <v>103.965647236</v>
      </c>
      <c r="X33">
        <v>110.31331935999999</v>
      </c>
      <c r="Y33">
        <v>90.968900665800007</v>
      </c>
      <c r="Z33">
        <v>113.173049693</v>
      </c>
      <c r="AA33">
        <v>108.8845264</v>
      </c>
      <c r="AB33">
        <v>94.349805729600007</v>
      </c>
      <c r="AC33">
        <v>92.077776710500004</v>
      </c>
      <c r="AD33">
        <v>93.050483158000006</v>
      </c>
      <c r="AE33">
        <v>123.28431696</v>
      </c>
      <c r="AF33">
        <v>98.368325277799997</v>
      </c>
      <c r="AG33">
        <v>104.99922482300001</v>
      </c>
      <c r="AH33">
        <v>102.899468884</v>
      </c>
      <c r="AI33">
        <v>79.4302903122</v>
      </c>
      <c r="AJ33">
        <v>92.764244543700002</v>
      </c>
      <c r="AK33">
        <v>126.83812291700001</v>
      </c>
      <c r="AL33">
        <v>104.63824831300001</v>
      </c>
      <c r="AM33">
        <v>94.837237685000005</v>
      </c>
      <c r="AN33">
        <v>125.59619937799999</v>
      </c>
      <c r="AO33">
        <v>97.866485440199995</v>
      </c>
      <c r="AP33">
        <v>89.335060296099996</v>
      </c>
      <c r="AQ33">
        <v>100.54407205</v>
      </c>
      <c r="AR33">
        <v>106.53247791299999</v>
      </c>
      <c r="AS33">
        <v>117.53509027699999</v>
      </c>
      <c r="AT33">
        <v>96.220804594599997</v>
      </c>
      <c r="AU33">
        <v>91.790381212400007</v>
      </c>
      <c r="AV33">
        <v>99.834340772600001</v>
      </c>
      <c r="AW33">
        <v>123.44779991199999</v>
      </c>
      <c r="AX33">
        <v>95.457855121999998</v>
      </c>
      <c r="AY33">
        <v>87.4732954017</v>
      </c>
      <c r="AZ33">
        <v>120.05365740000001</v>
      </c>
      <c r="BA33">
        <v>109.233342127</v>
      </c>
      <c r="BB33">
        <v>105.514961718</v>
      </c>
      <c r="BC33">
        <v>109.704474338</v>
      </c>
      <c r="BD33">
        <v>105.42625173499999</v>
      </c>
      <c r="BE33">
        <v>90.7576594521</v>
      </c>
      <c r="BF33">
        <v>88.370942784700006</v>
      </c>
      <c r="BG33">
        <v>96.926650423400005</v>
      </c>
      <c r="BH33">
        <v>101.302652028</v>
      </c>
      <c r="BI33">
        <v>111.264950777</v>
      </c>
      <c r="BJ33">
        <v>101.572850989</v>
      </c>
      <c r="BK33">
        <v>95.619060737300003</v>
      </c>
      <c r="BL33">
        <v>86.651720922699994</v>
      </c>
      <c r="BM33">
        <v>94.928519129199998</v>
      </c>
      <c r="BN33">
        <v>100.216699643</v>
      </c>
      <c r="BO33">
        <v>78.857653878500003</v>
      </c>
      <c r="BP33">
        <v>85.106656960799995</v>
      </c>
      <c r="BQ33">
        <v>83.425974667600002</v>
      </c>
      <c r="BR33">
        <v>108.56743636</v>
      </c>
      <c r="BS33">
        <v>104.656137814</v>
      </c>
      <c r="BT33">
        <v>111.30308186400001</v>
      </c>
      <c r="BU33">
        <v>104.18226357899999</v>
      </c>
      <c r="BV33">
        <v>88.669025859100003</v>
      </c>
      <c r="BW33">
        <v>84.684206888000006</v>
      </c>
      <c r="BX33">
        <v>78.522803990200003</v>
      </c>
      <c r="BY33">
        <v>114.578482503</v>
      </c>
      <c r="BZ33">
        <v>94.680659803300003</v>
      </c>
      <c r="CA33">
        <v>103.18241045000001</v>
      </c>
      <c r="CB33">
        <v>100.972858496</v>
      </c>
      <c r="CC33">
        <v>93.562827621400004</v>
      </c>
      <c r="CD33">
        <v>98.735253423700001</v>
      </c>
      <c r="CE33">
        <v>107.739099634</v>
      </c>
      <c r="CF33">
        <v>87.4031077052</v>
      </c>
      <c r="CG33">
        <v>95.615306687200004</v>
      </c>
      <c r="CH33">
        <v>117.314579202</v>
      </c>
      <c r="CI33">
        <v>103.587179699</v>
      </c>
      <c r="CJ33">
        <v>92.533814508299997</v>
      </c>
      <c r="CK33">
        <v>85.801436026600001</v>
      </c>
      <c r="CL33">
        <v>92.105018361700004</v>
      </c>
      <c r="CM33">
        <v>106.24628659</v>
      </c>
      <c r="CN33">
        <v>94.986730215500003</v>
      </c>
      <c r="CO33">
        <v>113.691120575</v>
      </c>
      <c r="CP33">
        <v>98.563534011499996</v>
      </c>
      <c r="CQ33">
        <v>94.820882622699997</v>
      </c>
      <c r="CR33">
        <v>101.914462324</v>
      </c>
      <c r="CS33">
        <v>103.854050922</v>
      </c>
      <c r="CT33">
        <v>108.879295505</v>
      </c>
      <c r="CU33">
        <v>101.75949627</v>
      </c>
      <c r="CV33">
        <v>83.589808299300003</v>
      </c>
      <c r="CW33">
        <v>111.73761136500001</v>
      </c>
      <c r="CX33">
        <v>115.737100998</v>
      </c>
      <c r="CY33">
        <v>98.056349640700006</v>
      </c>
      <c r="CZ33">
        <v>109.628008419</v>
      </c>
      <c r="DA33">
        <v>113.607211815</v>
      </c>
      <c r="DB33">
        <v>80.109311200400001</v>
      </c>
      <c r="DC33">
        <v>98.122271452800007</v>
      </c>
      <c r="DD33">
        <v>89.689017012700006</v>
      </c>
      <c r="DE33">
        <v>108.785821816</v>
      </c>
      <c r="DF33">
        <v>89.745118853899996</v>
      </c>
      <c r="DG33">
        <v>84.267123558600005</v>
      </c>
      <c r="DH33">
        <v>104.58366963100001</v>
      </c>
    </row>
    <row r="34" spans="1:112" x14ac:dyDescent="0.25">
      <c r="A34" s="8">
        <f t="shared" si="0"/>
        <v>89.525189284885982</v>
      </c>
      <c r="B34" s="9">
        <f>AVERAGE($C$2:C34)</f>
        <v>4.4945200302065951</v>
      </c>
      <c r="C34" s="9">
        <f t="shared" si="1"/>
        <v>4.4814867085113246</v>
      </c>
      <c r="D34" s="6">
        <f>AVERAGE($G$2:G34)</f>
        <v>91.711243067500007</v>
      </c>
      <c r="E34" s="6">
        <f>AVERAGE($H$2:H34)</f>
        <v>89.81581566752223</v>
      </c>
      <c r="F34" s="6">
        <f>AVERAGE($M$2:M34)</f>
        <v>89.648138995896971</v>
      </c>
      <c r="G34" s="6" t="b">
        <f t="shared" si="2"/>
        <v>0</v>
      </c>
      <c r="H34">
        <f t="shared" si="3"/>
        <v>88.365949475500003</v>
      </c>
      <c r="I34" s="6">
        <f t="shared" si="4"/>
        <v>-0.16767667162525868</v>
      </c>
      <c r="J34" s="6">
        <f t="shared" si="5"/>
        <v>-2.0631040716030355</v>
      </c>
      <c r="K34">
        <v>32</v>
      </c>
      <c r="L34">
        <f>L33+Asian!dt</f>
        <v>0.32000000000000012</v>
      </c>
      <c r="M34">
        <v>88.365949475500003</v>
      </c>
      <c r="N34">
        <v>98.681906402300001</v>
      </c>
      <c r="O34">
        <v>101.03464972099999</v>
      </c>
      <c r="P34">
        <v>102.92168839</v>
      </c>
      <c r="Q34">
        <v>88.666065609100002</v>
      </c>
      <c r="R34">
        <v>94.846305447299997</v>
      </c>
      <c r="S34">
        <v>121.087978732</v>
      </c>
      <c r="T34">
        <v>81.580317881200003</v>
      </c>
      <c r="U34">
        <v>117.842127687</v>
      </c>
      <c r="V34">
        <v>99.926732672699998</v>
      </c>
      <c r="W34">
        <v>100.685425302</v>
      </c>
      <c r="X34">
        <v>111.326288491</v>
      </c>
      <c r="Y34">
        <v>91.295480430699996</v>
      </c>
      <c r="Z34">
        <v>111.43302414599999</v>
      </c>
      <c r="AA34">
        <v>103.38461371299999</v>
      </c>
      <c r="AB34">
        <v>93.181046446400003</v>
      </c>
      <c r="AC34">
        <v>89.411216937700004</v>
      </c>
      <c r="AD34">
        <v>93.065618234799999</v>
      </c>
      <c r="AE34">
        <v>122.832201443</v>
      </c>
      <c r="AF34">
        <v>102.38001305500001</v>
      </c>
      <c r="AG34">
        <v>102.566864348</v>
      </c>
      <c r="AH34">
        <v>105.352258823</v>
      </c>
      <c r="AI34">
        <v>79.066667100700002</v>
      </c>
      <c r="AJ34">
        <v>90.174400193899999</v>
      </c>
      <c r="AK34">
        <v>126.021678612</v>
      </c>
      <c r="AL34">
        <v>104.572103322</v>
      </c>
      <c r="AM34">
        <v>96.200765319200002</v>
      </c>
      <c r="AN34">
        <v>125.172737208</v>
      </c>
      <c r="AO34">
        <v>99.419427252999995</v>
      </c>
      <c r="AP34">
        <v>87.913635238599994</v>
      </c>
      <c r="AQ34">
        <v>97.372097064800002</v>
      </c>
      <c r="AR34">
        <v>108.19488415399999</v>
      </c>
      <c r="AS34">
        <v>113.573481695</v>
      </c>
      <c r="AT34">
        <v>96.829897285900003</v>
      </c>
      <c r="AU34">
        <v>90.789390754600007</v>
      </c>
      <c r="AV34">
        <v>97.498080897299999</v>
      </c>
      <c r="AW34">
        <v>122.931303427</v>
      </c>
      <c r="AX34">
        <v>94.495997490500002</v>
      </c>
      <c r="AY34">
        <v>89.990222148499996</v>
      </c>
      <c r="AZ34">
        <v>116.811780652</v>
      </c>
      <c r="BA34">
        <v>115.7380095</v>
      </c>
      <c r="BB34">
        <v>103.29517295799999</v>
      </c>
      <c r="BC34">
        <v>108.592296292</v>
      </c>
      <c r="BD34">
        <v>104.35963170799999</v>
      </c>
      <c r="BE34">
        <v>94.195972715099998</v>
      </c>
      <c r="BF34">
        <v>87.660169274099999</v>
      </c>
      <c r="BG34">
        <v>93.829460483399998</v>
      </c>
      <c r="BH34">
        <v>97.119454162699995</v>
      </c>
      <c r="BI34">
        <v>108.373194986</v>
      </c>
      <c r="BJ34">
        <v>101.205677597</v>
      </c>
      <c r="BK34">
        <v>94.396100269100003</v>
      </c>
      <c r="BL34">
        <v>86.169749361300006</v>
      </c>
      <c r="BM34">
        <v>96.553126952699998</v>
      </c>
      <c r="BN34">
        <v>101.63838522899999</v>
      </c>
      <c r="BO34">
        <v>78.823882209999994</v>
      </c>
      <c r="BP34">
        <v>86.446339743500005</v>
      </c>
      <c r="BQ34">
        <v>84.491302430800005</v>
      </c>
      <c r="BR34">
        <v>109.762838561</v>
      </c>
      <c r="BS34">
        <v>105.866644881</v>
      </c>
      <c r="BT34">
        <v>110.262296636</v>
      </c>
      <c r="BU34">
        <v>99.566556185799996</v>
      </c>
      <c r="BV34">
        <v>90.047107103000002</v>
      </c>
      <c r="BW34">
        <v>85.818065255899995</v>
      </c>
      <c r="BX34">
        <v>76.656718604100007</v>
      </c>
      <c r="BY34">
        <v>114.37529548000001</v>
      </c>
      <c r="BZ34">
        <v>96.355148892599999</v>
      </c>
      <c r="CA34">
        <v>102.77777084</v>
      </c>
      <c r="CB34">
        <v>103.18984471500001</v>
      </c>
      <c r="CC34">
        <v>96.381863904200003</v>
      </c>
      <c r="CD34">
        <v>97.356967836699994</v>
      </c>
      <c r="CE34">
        <v>109.85388619699999</v>
      </c>
      <c r="CF34">
        <v>87.3587341689</v>
      </c>
      <c r="CG34">
        <v>95.162742815499996</v>
      </c>
      <c r="CH34">
        <v>117.80016940100001</v>
      </c>
      <c r="CI34">
        <v>103.099596615</v>
      </c>
      <c r="CJ34">
        <v>94.209302680299999</v>
      </c>
      <c r="CK34">
        <v>88.046697976299996</v>
      </c>
      <c r="CL34">
        <v>91.623333725899997</v>
      </c>
      <c r="CM34">
        <v>104.345622834</v>
      </c>
      <c r="CN34">
        <v>95.539074117599995</v>
      </c>
      <c r="CO34">
        <v>116.10393856100001</v>
      </c>
      <c r="CP34">
        <v>96.936628962399993</v>
      </c>
      <c r="CQ34">
        <v>98.866875245700001</v>
      </c>
      <c r="CR34">
        <v>100.46261873100001</v>
      </c>
      <c r="CS34">
        <v>103.232842015</v>
      </c>
      <c r="CT34">
        <v>106.400453696</v>
      </c>
      <c r="CU34">
        <v>101.08090481399999</v>
      </c>
      <c r="CV34">
        <v>83.533305088700004</v>
      </c>
      <c r="CW34">
        <v>111.123246292</v>
      </c>
      <c r="CX34">
        <v>117.130050931</v>
      </c>
      <c r="CY34">
        <v>97.495844713699995</v>
      </c>
      <c r="CZ34">
        <v>108.989138591</v>
      </c>
      <c r="DA34">
        <v>118.058262591</v>
      </c>
      <c r="DB34">
        <v>82.328030625300002</v>
      </c>
      <c r="DC34">
        <v>99.206136168699999</v>
      </c>
      <c r="DD34">
        <v>88.062082184999994</v>
      </c>
      <c r="DE34">
        <v>106.87866228599999</v>
      </c>
      <c r="DF34">
        <v>88.408289906600004</v>
      </c>
      <c r="DG34">
        <v>85.212143198099994</v>
      </c>
      <c r="DH34">
        <v>103.30511590499999</v>
      </c>
    </row>
    <row r="35" spans="1:112" x14ac:dyDescent="0.25">
      <c r="A35" s="8">
        <f t="shared" si="0"/>
        <v>89.575300158130673</v>
      </c>
      <c r="B35" s="9">
        <f>AVERAGE($C$2:C35)</f>
        <v>4.4950796140995051</v>
      </c>
      <c r="C35" s="9">
        <f t="shared" si="1"/>
        <v>4.5135458825655608</v>
      </c>
      <c r="D35" s="6">
        <f>AVERAGE($G$2:G35)</f>
        <v>91.711243067500007</v>
      </c>
      <c r="E35" s="6">
        <f>AVERAGE($H$2:H35)</f>
        <v>89.81581566752223</v>
      </c>
      <c r="F35" s="6">
        <f>AVERAGE($M$2:M35)</f>
        <v>89.695099286332365</v>
      </c>
      <c r="G35" s="6" t="b">
        <f t="shared" si="2"/>
        <v>0</v>
      </c>
      <c r="H35" t="b">
        <f t="shared" si="3"/>
        <v>0</v>
      </c>
      <c r="I35" s="6">
        <f t="shared" si="4"/>
        <v>-0.12071638118986527</v>
      </c>
      <c r="J35" s="6">
        <f t="shared" si="5"/>
        <v>-2.0161437811676421</v>
      </c>
      <c r="K35">
        <v>33</v>
      </c>
      <c r="L35">
        <f>L34+Asian!dt</f>
        <v>0.33000000000000013</v>
      </c>
      <c r="M35">
        <v>91.244788870700006</v>
      </c>
      <c r="N35">
        <v>99.998381237399997</v>
      </c>
      <c r="O35">
        <v>102.327888176</v>
      </c>
      <c r="P35">
        <v>102.63873673099999</v>
      </c>
      <c r="Q35">
        <v>84.976832741999999</v>
      </c>
      <c r="R35">
        <v>93.030459538900004</v>
      </c>
      <c r="S35">
        <v>118.847407348</v>
      </c>
      <c r="T35">
        <v>82.508650129200007</v>
      </c>
      <c r="U35">
        <v>112.75985272699999</v>
      </c>
      <c r="V35">
        <v>104.824604896</v>
      </c>
      <c r="W35">
        <v>101.31693116700001</v>
      </c>
      <c r="X35">
        <v>112.390361946</v>
      </c>
      <c r="Y35">
        <v>90.667372248000007</v>
      </c>
      <c r="Z35">
        <v>113.646877971</v>
      </c>
      <c r="AA35">
        <v>103.411446685</v>
      </c>
      <c r="AB35">
        <v>93.854430478400005</v>
      </c>
      <c r="AC35">
        <v>88.872702408600006</v>
      </c>
      <c r="AD35">
        <v>92.260180504700003</v>
      </c>
      <c r="AE35">
        <v>125.023978595</v>
      </c>
      <c r="AF35">
        <v>104.51990771200001</v>
      </c>
      <c r="AG35">
        <v>104.363436343</v>
      </c>
      <c r="AH35">
        <v>103.93100699599999</v>
      </c>
      <c r="AI35">
        <v>79.181102728599996</v>
      </c>
      <c r="AJ35">
        <v>90.465572383099996</v>
      </c>
      <c r="AK35">
        <v>127.42069191</v>
      </c>
      <c r="AL35">
        <v>107.3443774</v>
      </c>
      <c r="AM35">
        <v>96.999432224200007</v>
      </c>
      <c r="AN35">
        <v>123.620340648</v>
      </c>
      <c r="AO35">
        <v>100.68530611600001</v>
      </c>
      <c r="AP35">
        <v>87.345313104699997</v>
      </c>
      <c r="AQ35">
        <v>98.202702296200002</v>
      </c>
      <c r="AR35">
        <v>104.36585767299999</v>
      </c>
      <c r="AS35">
        <v>109.481961438</v>
      </c>
      <c r="AT35">
        <v>97.098676148899997</v>
      </c>
      <c r="AU35">
        <v>91.506052729700002</v>
      </c>
      <c r="AV35">
        <v>101.07078081900001</v>
      </c>
      <c r="AW35">
        <v>122.85846869</v>
      </c>
      <c r="AX35">
        <v>91.849550337500006</v>
      </c>
      <c r="AY35">
        <v>90.064547770800004</v>
      </c>
      <c r="AZ35">
        <v>115.48224616</v>
      </c>
      <c r="BA35">
        <v>116.66849980400001</v>
      </c>
      <c r="BB35">
        <v>106.262074275</v>
      </c>
      <c r="BC35">
        <v>109.396345384</v>
      </c>
      <c r="BD35">
        <v>105.175401878</v>
      </c>
      <c r="BE35">
        <v>94.470123085599994</v>
      </c>
      <c r="BF35">
        <v>87.244218486299999</v>
      </c>
      <c r="BG35">
        <v>94.427621920899995</v>
      </c>
      <c r="BH35">
        <v>96.868424985399997</v>
      </c>
      <c r="BI35">
        <v>107.71135406000001</v>
      </c>
      <c r="BJ35">
        <v>101.05714042699999</v>
      </c>
      <c r="BK35">
        <v>94.952940570999999</v>
      </c>
      <c r="BL35">
        <v>87.633605078299993</v>
      </c>
      <c r="BM35">
        <v>97.682363802300003</v>
      </c>
      <c r="BN35">
        <v>99.822453819399996</v>
      </c>
      <c r="BO35">
        <v>79.885152065699998</v>
      </c>
      <c r="BP35">
        <v>83.8170594268</v>
      </c>
      <c r="BQ35">
        <v>87.167180128599995</v>
      </c>
      <c r="BR35">
        <v>111.57471909</v>
      </c>
      <c r="BS35">
        <v>108.29358106799999</v>
      </c>
      <c r="BT35">
        <v>111.660213415</v>
      </c>
      <c r="BU35">
        <v>104.076355904</v>
      </c>
      <c r="BV35">
        <v>92.565016624699993</v>
      </c>
      <c r="BW35">
        <v>85.457459198699993</v>
      </c>
      <c r="BX35">
        <v>77.675239162599993</v>
      </c>
      <c r="BY35">
        <v>114.87841627900001</v>
      </c>
      <c r="BZ35">
        <v>96.124336193299996</v>
      </c>
      <c r="CA35">
        <v>103.912262832</v>
      </c>
      <c r="CB35">
        <v>100.89165719</v>
      </c>
      <c r="CC35">
        <v>94.0636694138</v>
      </c>
      <c r="CD35">
        <v>99.015220553500001</v>
      </c>
      <c r="CE35">
        <v>107.993131206</v>
      </c>
      <c r="CF35">
        <v>87.751533696600006</v>
      </c>
      <c r="CG35">
        <v>93.846503440800007</v>
      </c>
      <c r="CH35">
        <v>120.85835052500001</v>
      </c>
      <c r="CI35">
        <v>104.71378717</v>
      </c>
      <c r="CJ35">
        <v>94.7265804755</v>
      </c>
      <c r="CK35">
        <v>87.616664447199994</v>
      </c>
      <c r="CL35">
        <v>90.254727045999999</v>
      </c>
      <c r="CM35">
        <v>104.073117357</v>
      </c>
      <c r="CN35">
        <v>95.519290397800006</v>
      </c>
      <c r="CO35">
        <v>116.93596343</v>
      </c>
      <c r="CP35">
        <v>95.380882756099993</v>
      </c>
      <c r="CQ35">
        <v>102.54691946200001</v>
      </c>
      <c r="CR35">
        <v>101.32312004800001</v>
      </c>
      <c r="CS35">
        <v>103.941820822</v>
      </c>
      <c r="CT35">
        <v>103.720403778</v>
      </c>
      <c r="CU35">
        <v>101.96244047099999</v>
      </c>
      <c r="CV35">
        <v>83.911562618700003</v>
      </c>
      <c r="CW35">
        <v>110.45638071499999</v>
      </c>
      <c r="CX35">
        <v>115.62042544800001</v>
      </c>
      <c r="CY35">
        <v>98.119954562999993</v>
      </c>
      <c r="CZ35">
        <v>106.72636118600001</v>
      </c>
      <c r="DA35">
        <v>118.024382583</v>
      </c>
      <c r="DB35">
        <v>82.077940802499995</v>
      </c>
      <c r="DC35">
        <v>100.24466878600001</v>
      </c>
      <c r="DD35">
        <v>88.743312934399995</v>
      </c>
      <c r="DE35">
        <v>107.93157576199999</v>
      </c>
      <c r="DF35">
        <v>87.080578792699995</v>
      </c>
      <c r="DG35">
        <v>87.539554812600002</v>
      </c>
      <c r="DH35">
        <v>101.15053045400001</v>
      </c>
    </row>
    <row r="36" spans="1:112" x14ac:dyDescent="0.25">
      <c r="A36" s="8">
        <f t="shared" si="0"/>
        <v>89.557942735504227</v>
      </c>
      <c r="B36" s="9">
        <f>AVERAGE($C$2:C36)</f>
        <v>4.4948858206706541</v>
      </c>
      <c r="C36" s="9">
        <f t="shared" si="1"/>
        <v>4.4882968440897191</v>
      </c>
      <c r="D36" s="6">
        <f>AVERAGE($G$2:G36)</f>
        <v>91.711243067500007</v>
      </c>
      <c r="E36" s="6">
        <f>AVERAGE($H$2:H36)</f>
        <v>89.81581566752223</v>
      </c>
      <c r="F36" s="6">
        <f>AVERAGE($M$2:M36)</f>
        <v>89.674376088068584</v>
      </c>
      <c r="G36" s="6" t="b">
        <f t="shared" si="2"/>
        <v>0</v>
      </c>
      <c r="H36" t="b">
        <f t="shared" si="3"/>
        <v>0</v>
      </c>
      <c r="I36" s="6">
        <f t="shared" si="4"/>
        <v>-0.14143957945364605</v>
      </c>
      <c r="J36" s="6">
        <f t="shared" si="5"/>
        <v>-2.0368669794314229</v>
      </c>
      <c r="K36">
        <v>34</v>
      </c>
      <c r="L36">
        <f>L35+Asian!dt</f>
        <v>0.34000000000000014</v>
      </c>
      <c r="M36">
        <v>88.969787347099995</v>
      </c>
      <c r="N36">
        <v>98.893926910999994</v>
      </c>
      <c r="O36">
        <v>99.680622395699999</v>
      </c>
      <c r="P36">
        <v>100.092955727</v>
      </c>
      <c r="Q36">
        <v>82.651065088500005</v>
      </c>
      <c r="R36">
        <v>96.427644177900007</v>
      </c>
      <c r="S36">
        <v>120.104738342</v>
      </c>
      <c r="T36">
        <v>79.694567665500003</v>
      </c>
      <c r="U36">
        <v>112.296255421</v>
      </c>
      <c r="V36">
        <v>101.58898089100001</v>
      </c>
      <c r="W36">
        <v>97.674462308100004</v>
      </c>
      <c r="X36">
        <v>113.67837975800001</v>
      </c>
      <c r="Y36">
        <v>90.6167694297</v>
      </c>
      <c r="Z36">
        <v>112.818110097</v>
      </c>
      <c r="AA36">
        <v>103.64535114500001</v>
      </c>
      <c r="AB36">
        <v>93.269666490000006</v>
      </c>
      <c r="AC36">
        <v>88.887005440999999</v>
      </c>
      <c r="AD36">
        <v>95.174129148999995</v>
      </c>
      <c r="AE36">
        <v>130.162311738</v>
      </c>
      <c r="AF36">
        <v>104.775171759</v>
      </c>
      <c r="AG36">
        <v>105.11907974</v>
      </c>
      <c r="AH36">
        <v>105.2232734</v>
      </c>
      <c r="AI36">
        <v>80.295076727999998</v>
      </c>
      <c r="AJ36">
        <v>90.8372492596</v>
      </c>
      <c r="AK36">
        <v>128.034504089</v>
      </c>
      <c r="AL36">
        <v>107.57835760899999</v>
      </c>
      <c r="AM36">
        <v>97.118178734500006</v>
      </c>
      <c r="AN36">
        <v>126.65118970100001</v>
      </c>
      <c r="AO36">
        <v>99.017116270700001</v>
      </c>
      <c r="AP36">
        <v>89.440680464099998</v>
      </c>
      <c r="AQ36">
        <v>98.061503086399995</v>
      </c>
      <c r="AR36">
        <v>102.969454043</v>
      </c>
      <c r="AS36">
        <v>111.10213096699999</v>
      </c>
      <c r="AT36">
        <v>98.194563120400005</v>
      </c>
      <c r="AU36">
        <v>91.837207708099996</v>
      </c>
      <c r="AV36">
        <v>102.728350784</v>
      </c>
      <c r="AW36">
        <v>121.96080242399999</v>
      </c>
      <c r="AX36">
        <v>90.773297459999995</v>
      </c>
      <c r="AY36">
        <v>92.878899905400004</v>
      </c>
      <c r="AZ36">
        <v>115.668338445</v>
      </c>
      <c r="BA36">
        <v>116.46030038799999</v>
      </c>
      <c r="BB36">
        <v>107.085725447</v>
      </c>
      <c r="BC36">
        <v>110.132452648</v>
      </c>
      <c r="BD36">
        <v>103.74754266399999</v>
      </c>
      <c r="BE36">
        <v>94.644963574399995</v>
      </c>
      <c r="BF36">
        <v>86.963536685299999</v>
      </c>
      <c r="BG36">
        <v>91.477839481499998</v>
      </c>
      <c r="BH36">
        <v>95.767921371100002</v>
      </c>
      <c r="BI36">
        <v>110.424166042</v>
      </c>
      <c r="BJ36">
        <v>100.613574599</v>
      </c>
      <c r="BK36">
        <v>93.9796032518</v>
      </c>
      <c r="BL36">
        <v>87.9558515951</v>
      </c>
      <c r="BM36">
        <v>94.409081181199994</v>
      </c>
      <c r="BN36">
        <v>99.924973366000003</v>
      </c>
      <c r="BO36">
        <v>80.083084394099998</v>
      </c>
      <c r="BP36">
        <v>87.308094234199999</v>
      </c>
      <c r="BQ36">
        <v>87.429145868199996</v>
      </c>
      <c r="BR36">
        <v>113.22227024</v>
      </c>
      <c r="BS36">
        <v>105.45724334499999</v>
      </c>
      <c r="BT36">
        <v>114.710102099</v>
      </c>
      <c r="BU36">
        <v>103.887598215</v>
      </c>
      <c r="BV36">
        <v>95.085129863700004</v>
      </c>
      <c r="BW36">
        <v>84.112534694800004</v>
      </c>
      <c r="BX36">
        <v>76.7226533085</v>
      </c>
      <c r="BY36">
        <v>115.348529333</v>
      </c>
      <c r="BZ36">
        <v>101.601012492</v>
      </c>
      <c r="CA36">
        <v>102.707573162</v>
      </c>
      <c r="CB36">
        <v>106.277889135</v>
      </c>
      <c r="CC36">
        <v>91.153452871100001</v>
      </c>
      <c r="CD36">
        <v>99.287168928</v>
      </c>
      <c r="CE36">
        <v>107.753107382</v>
      </c>
      <c r="CF36">
        <v>85.989184867500001</v>
      </c>
      <c r="CG36">
        <v>92.8292289802</v>
      </c>
      <c r="CH36">
        <v>121.693941514</v>
      </c>
      <c r="CI36">
        <v>103.66269705400001</v>
      </c>
      <c r="CJ36">
        <v>94.950195684400001</v>
      </c>
      <c r="CK36">
        <v>87.705349772000005</v>
      </c>
      <c r="CL36">
        <v>88.732805299399999</v>
      </c>
      <c r="CM36">
        <v>103.515518606</v>
      </c>
      <c r="CN36">
        <v>95.283361172100001</v>
      </c>
      <c r="CO36">
        <v>118.127993975</v>
      </c>
      <c r="CP36">
        <v>94.367515062600006</v>
      </c>
      <c r="CQ36">
        <v>101.526955058</v>
      </c>
      <c r="CR36">
        <v>103.465919841</v>
      </c>
      <c r="CS36">
        <v>105.341827278</v>
      </c>
      <c r="CT36">
        <v>103.546688785</v>
      </c>
      <c r="CU36">
        <v>102.248838148</v>
      </c>
      <c r="CV36">
        <v>82.873390716800003</v>
      </c>
      <c r="CW36">
        <v>115.325806817</v>
      </c>
      <c r="CX36">
        <v>113.45509516600001</v>
      </c>
      <c r="CY36">
        <v>96.928687239200002</v>
      </c>
      <c r="CZ36">
        <v>103.60874646800001</v>
      </c>
      <c r="DA36">
        <v>119.998046148</v>
      </c>
      <c r="DB36">
        <v>81.113320078100003</v>
      </c>
      <c r="DC36">
        <v>102.03522981099999</v>
      </c>
      <c r="DD36">
        <v>90.535210041100001</v>
      </c>
      <c r="DE36">
        <v>110.797085146</v>
      </c>
      <c r="DF36">
        <v>87.710553377500005</v>
      </c>
      <c r="DG36">
        <v>91.055829949599996</v>
      </c>
      <c r="DH36">
        <v>102.05108190200001</v>
      </c>
    </row>
    <row r="37" spans="1:112" x14ac:dyDescent="0.25">
      <c r="A37" s="8">
        <f t="shared" si="0"/>
        <v>89.516182016628917</v>
      </c>
      <c r="B37" s="9">
        <f>AVERAGE($C$2:C37)</f>
        <v>4.4944194135926896</v>
      </c>
      <c r="C37" s="9">
        <f t="shared" si="1"/>
        <v>4.4780951658639117</v>
      </c>
      <c r="D37" s="6">
        <f>AVERAGE($G$2:G37)</f>
        <v>91.711243067500007</v>
      </c>
      <c r="E37" s="6">
        <f>AVERAGE($H$2:H37)</f>
        <v>89.81581566752223</v>
      </c>
      <c r="F37" s="6">
        <f>AVERAGE($M$2:M37)</f>
        <v>89.629720092083346</v>
      </c>
      <c r="G37" s="6" t="b">
        <f t="shared" si="2"/>
        <v>0</v>
      </c>
      <c r="H37" t="b">
        <f t="shared" si="3"/>
        <v>0</v>
      </c>
      <c r="I37" s="6">
        <f t="shared" si="4"/>
        <v>-0.186095575438884</v>
      </c>
      <c r="J37" s="6">
        <f t="shared" si="5"/>
        <v>-2.0815229754166609</v>
      </c>
      <c r="K37">
        <v>35</v>
      </c>
      <c r="L37">
        <f>L36+Asian!dt</f>
        <v>0.35000000000000014</v>
      </c>
      <c r="M37">
        <v>88.066760232600004</v>
      </c>
      <c r="N37">
        <v>97.890976696999999</v>
      </c>
      <c r="O37">
        <v>99.713131925100001</v>
      </c>
      <c r="P37">
        <v>101.20614926499999</v>
      </c>
      <c r="Q37">
        <v>81.256137320899995</v>
      </c>
      <c r="R37">
        <v>96.064633628699994</v>
      </c>
      <c r="S37">
        <v>119.573600735</v>
      </c>
      <c r="T37">
        <v>80.315037696900006</v>
      </c>
      <c r="U37">
        <v>110.776222655</v>
      </c>
      <c r="V37">
        <v>102.71591284599999</v>
      </c>
      <c r="W37">
        <v>98.4628064419</v>
      </c>
      <c r="X37">
        <v>119.51471586300001</v>
      </c>
      <c r="Y37">
        <v>92.457549342199997</v>
      </c>
      <c r="Z37">
        <v>115.448352867</v>
      </c>
      <c r="AA37">
        <v>104.961178154</v>
      </c>
      <c r="AB37">
        <v>94.067396649700001</v>
      </c>
      <c r="AC37">
        <v>90.0067181143</v>
      </c>
      <c r="AD37">
        <v>95.561230373900003</v>
      </c>
      <c r="AE37">
        <v>132.03415347399999</v>
      </c>
      <c r="AF37">
        <v>103.16545657099999</v>
      </c>
      <c r="AG37">
        <v>104.798500874</v>
      </c>
      <c r="AH37">
        <v>105.725922513</v>
      </c>
      <c r="AI37">
        <v>81.247842149799993</v>
      </c>
      <c r="AJ37">
        <v>91.204929164600003</v>
      </c>
      <c r="AK37">
        <v>123.463824249</v>
      </c>
      <c r="AL37">
        <v>105.552892148</v>
      </c>
      <c r="AM37">
        <v>99.872223022200004</v>
      </c>
      <c r="AN37">
        <v>128.47963859800001</v>
      </c>
      <c r="AO37">
        <v>95.248297023899994</v>
      </c>
      <c r="AP37">
        <v>86.863743889999995</v>
      </c>
      <c r="AQ37">
        <v>98.725580809299998</v>
      </c>
      <c r="AR37">
        <v>104.682735988</v>
      </c>
      <c r="AS37">
        <v>113.35368133599999</v>
      </c>
      <c r="AT37">
        <v>98.883073870900006</v>
      </c>
      <c r="AU37">
        <v>86.146058227099999</v>
      </c>
      <c r="AV37">
        <v>100.769408446</v>
      </c>
      <c r="AW37">
        <v>122.012670778</v>
      </c>
      <c r="AX37">
        <v>93.7632928596</v>
      </c>
      <c r="AY37">
        <v>95.657322942500002</v>
      </c>
      <c r="AZ37">
        <v>117.858911277</v>
      </c>
      <c r="BA37">
        <v>115.100271014</v>
      </c>
      <c r="BB37">
        <v>107.55355504000001</v>
      </c>
      <c r="BC37">
        <v>111.895637662</v>
      </c>
      <c r="BD37">
        <v>105.792684732</v>
      </c>
      <c r="BE37">
        <v>95.627168891300002</v>
      </c>
      <c r="BF37">
        <v>86.504650310000002</v>
      </c>
      <c r="BG37">
        <v>92.414453120999994</v>
      </c>
      <c r="BH37">
        <v>95.755996470400007</v>
      </c>
      <c r="BI37">
        <v>108.296657592</v>
      </c>
      <c r="BJ37">
        <v>102.274095581</v>
      </c>
      <c r="BK37">
        <v>96.210026676599995</v>
      </c>
      <c r="BL37">
        <v>92.540588684799999</v>
      </c>
      <c r="BM37">
        <v>94.949223880000005</v>
      </c>
      <c r="BN37">
        <v>101.133805395</v>
      </c>
      <c r="BO37">
        <v>83.066874884900002</v>
      </c>
      <c r="BP37">
        <v>85.113942837300002</v>
      </c>
      <c r="BQ37">
        <v>87.863831093200005</v>
      </c>
      <c r="BR37">
        <v>113.402133288</v>
      </c>
      <c r="BS37">
        <v>102.376675181</v>
      </c>
      <c r="BT37">
        <v>112.685657557</v>
      </c>
      <c r="BU37">
        <v>103.50480087699999</v>
      </c>
      <c r="BV37">
        <v>92.495162386100006</v>
      </c>
      <c r="BW37">
        <v>85.337206411500006</v>
      </c>
      <c r="BX37">
        <v>76.8795861264</v>
      </c>
      <c r="BY37">
        <v>115.905404354</v>
      </c>
      <c r="BZ37">
        <v>98.468306566999999</v>
      </c>
      <c r="CA37">
        <v>103.71013372900001</v>
      </c>
      <c r="CB37">
        <v>107.59251901499999</v>
      </c>
      <c r="CC37">
        <v>91.660081541799997</v>
      </c>
      <c r="CD37">
        <v>99.188773330999993</v>
      </c>
      <c r="CE37">
        <v>105.811859137</v>
      </c>
      <c r="CF37">
        <v>84.202257631500004</v>
      </c>
      <c r="CG37">
        <v>93.269365107200002</v>
      </c>
      <c r="CH37">
        <v>122.197331103</v>
      </c>
      <c r="CI37">
        <v>106.893312577</v>
      </c>
      <c r="CJ37">
        <v>95.211601699799999</v>
      </c>
      <c r="CK37">
        <v>91.2282436287</v>
      </c>
      <c r="CL37">
        <v>88.533009893200003</v>
      </c>
      <c r="CM37">
        <v>100.32089507000001</v>
      </c>
      <c r="CN37">
        <v>93.646509471100003</v>
      </c>
      <c r="CO37">
        <v>119.519258839</v>
      </c>
      <c r="CP37">
        <v>89.571953560099999</v>
      </c>
      <c r="CQ37">
        <v>102.864257514</v>
      </c>
      <c r="CR37">
        <v>102.696172703</v>
      </c>
      <c r="CS37">
        <v>104.768499482</v>
      </c>
      <c r="CT37">
        <v>103.448766107</v>
      </c>
      <c r="CU37">
        <v>102.79830851200001</v>
      </c>
      <c r="CV37">
        <v>80.935765041600007</v>
      </c>
      <c r="CW37">
        <v>113.515841911</v>
      </c>
      <c r="CX37">
        <v>114.156861947</v>
      </c>
      <c r="CY37">
        <v>97.030649372400006</v>
      </c>
      <c r="CZ37">
        <v>101.752158181</v>
      </c>
      <c r="DA37">
        <v>120.23591095499999</v>
      </c>
      <c r="DB37">
        <v>80.566577624800004</v>
      </c>
      <c r="DC37">
        <v>103.27392544999999</v>
      </c>
      <c r="DD37">
        <v>92.4969018699</v>
      </c>
      <c r="DE37">
        <v>107.865684735</v>
      </c>
      <c r="DF37">
        <v>88.541189643500005</v>
      </c>
      <c r="DG37">
        <v>92.272531628400003</v>
      </c>
      <c r="DH37">
        <v>105.422027427</v>
      </c>
    </row>
    <row r="38" spans="1:112" x14ac:dyDescent="0.25">
      <c r="A38" s="8">
        <f t="shared" si="0"/>
        <v>89.489575954911828</v>
      </c>
      <c r="B38" s="9">
        <f>AVERAGE($C$2:C38)</f>
        <v>4.494122148720157</v>
      </c>
      <c r="C38" s="9">
        <f t="shared" si="1"/>
        <v>4.4834206133089971</v>
      </c>
      <c r="D38" s="6">
        <f>AVERAGE($G$2:G38)</f>
        <v>91.711243067500007</v>
      </c>
      <c r="E38" s="6">
        <f>AVERAGE($H$2:H38)</f>
        <v>89.687934716720008</v>
      </c>
      <c r="F38" s="6">
        <f>AVERAGE($M$2:M38)</f>
        <v>89.600187283094598</v>
      </c>
      <c r="G38" s="6" t="b">
        <f t="shared" si="2"/>
        <v>0</v>
      </c>
      <c r="H38">
        <f t="shared" si="3"/>
        <v>88.537006159499995</v>
      </c>
      <c r="I38" s="6">
        <f t="shared" si="4"/>
        <v>-8.7747433625409599E-2</v>
      </c>
      <c r="J38" s="6">
        <f t="shared" si="5"/>
        <v>-2.1110557844054085</v>
      </c>
      <c r="K38">
        <v>36</v>
      </c>
      <c r="L38">
        <f>L37+Asian!dt</f>
        <v>0.36000000000000015</v>
      </c>
      <c r="M38">
        <v>88.537006159499995</v>
      </c>
      <c r="N38">
        <v>94.857408428200003</v>
      </c>
      <c r="O38">
        <v>102.63885691</v>
      </c>
      <c r="P38">
        <v>102.88386392</v>
      </c>
      <c r="Q38">
        <v>79.643434608500002</v>
      </c>
      <c r="R38">
        <v>96.019777213599994</v>
      </c>
      <c r="S38">
        <v>118.74400512699999</v>
      </c>
      <c r="T38">
        <v>77.878742550699997</v>
      </c>
      <c r="U38">
        <v>111.87325094800001</v>
      </c>
      <c r="V38">
        <v>102.563281418</v>
      </c>
      <c r="W38">
        <v>97.701816126099999</v>
      </c>
      <c r="X38">
        <v>119.509290617</v>
      </c>
      <c r="Y38">
        <v>93.4203545413</v>
      </c>
      <c r="Z38">
        <v>119.845243881</v>
      </c>
      <c r="AA38">
        <v>108.487353171</v>
      </c>
      <c r="AB38">
        <v>89.707356110899994</v>
      </c>
      <c r="AC38">
        <v>94.198940305700006</v>
      </c>
      <c r="AD38">
        <v>99.012943765800003</v>
      </c>
      <c r="AE38">
        <v>134.03760738</v>
      </c>
      <c r="AF38">
        <v>103.066561886</v>
      </c>
      <c r="AG38">
        <v>106.39956128999999</v>
      </c>
      <c r="AH38">
        <v>103.227520134</v>
      </c>
      <c r="AI38">
        <v>82.538522060800005</v>
      </c>
      <c r="AJ38">
        <v>90.484181284000002</v>
      </c>
      <c r="AK38">
        <v>120.767263353</v>
      </c>
      <c r="AL38">
        <v>107.53288593000001</v>
      </c>
      <c r="AM38">
        <v>100.89580385399999</v>
      </c>
      <c r="AN38">
        <v>126.174191553</v>
      </c>
      <c r="AO38">
        <v>92.833453082299997</v>
      </c>
      <c r="AP38">
        <v>90.200735420900003</v>
      </c>
      <c r="AQ38">
        <v>98.528901198599996</v>
      </c>
      <c r="AR38">
        <v>102.044841908</v>
      </c>
      <c r="AS38">
        <v>114.022655797</v>
      </c>
      <c r="AT38">
        <v>99.379408374899995</v>
      </c>
      <c r="AU38">
        <v>88.820920983700006</v>
      </c>
      <c r="AV38">
        <v>98.538474534299993</v>
      </c>
      <c r="AW38">
        <v>124.257381583</v>
      </c>
      <c r="AX38">
        <v>90.908006420899994</v>
      </c>
      <c r="AY38">
        <v>94.133439714700003</v>
      </c>
      <c r="AZ38">
        <v>116.85708085900001</v>
      </c>
      <c r="BA38">
        <v>117.994907783</v>
      </c>
      <c r="BB38">
        <v>110.659979548</v>
      </c>
      <c r="BC38">
        <v>114.38970392</v>
      </c>
      <c r="BD38">
        <v>100.275621749</v>
      </c>
      <c r="BE38">
        <v>100.236461937</v>
      </c>
      <c r="BF38">
        <v>86.153825368200003</v>
      </c>
      <c r="BG38">
        <v>93.262173783199998</v>
      </c>
      <c r="BH38">
        <v>94.680508043499998</v>
      </c>
      <c r="BI38">
        <v>109.09825797800001</v>
      </c>
      <c r="BJ38">
        <v>105.164217702</v>
      </c>
      <c r="BK38">
        <v>93.506649907300002</v>
      </c>
      <c r="BL38">
        <v>92.376596251099997</v>
      </c>
      <c r="BM38">
        <v>95.046842297200001</v>
      </c>
      <c r="BN38">
        <v>101.848986039</v>
      </c>
      <c r="BO38">
        <v>83.153577620199997</v>
      </c>
      <c r="BP38">
        <v>86.453556906800003</v>
      </c>
      <c r="BQ38">
        <v>85.963939553800003</v>
      </c>
      <c r="BR38">
        <v>111.78196687400001</v>
      </c>
      <c r="BS38">
        <v>98.507724296500001</v>
      </c>
      <c r="BT38">
        <v>112.950360859</v>
      </c>
      <c r="BU38">
        <v>103.629672916</v>
      </c>
      <c r="BV38">
        <v>95.054473600899996</v>
      </c>
      <c r="BW38">
        <v>84.888964415000004</v>
      </c>
      <c r="BX38">
        <v>76.534012111199999</v>
      </c>
      <c r="BY38">
        <v>116.40892956099999</v>
      </c>
      <c r="BZ38">
        <v>98.608101941300006</v>
      </c>
      <c r="CA38">
        <v>101.772201196</v>
      </c>
      <c r="CB38">
        <v>108.54288374799999</v>
      </c>
      <c r="CC38">
        <v>92.747383143999997</v>
      </c>
      <c r="CD38">
        <v>101.431406258</v>
      </c>
      <c r="CE38">
        <v>104.969846062</v>
      </c>
      <c r="CF38">
        <v>83.884518710099996</v>
      </c>
      <c r="CG38">
        <v>93.8736295219</v>
      </c>
      <c r="CH38">
        <v>122.108210079</v>
      </c>
      <c r="CI38">
        <v>108.933752165</v>
      </c>
      <c r="CJ38">
        <v>95.4973313948</v>
      </c>
      <c r="CK38">
        <v>91.591725726799993</v>
      </c>
      <c r="CL38">
        <v>86.897107560999999</v>
      </c>
      <c r="CM38">
        <v>100.94487368199999</v>
      </c>
      <c r="CN38">
        <v>92.489670786000005</v>
      </c>
      <c r="CO38">
        <v>123.051504444</v>
      </c>
      <c r="CP38">
        <v>90.265197392100006</v>
      </c>
      <c r="CQ38">
        <v>104.565317858</v>
      </c>
      <c r="CR38">
        <v>103.597360982</v>
      </c>
      <c r="CS38">
        <v>107.172209655</v>
      </c>
      <c r="CT38">
        <v>105.311406881</v>
      </c>
      <c r="CU38">
        <v>104.767825652</v>
      </c>
      <c r="CV38">
        <v>82.393452217900006</v>
      </c>
      <c r="CW38">
        <v>113.15556550700001</v>
      </c>
      <c r="CX38">
        <v>111.92161697100001</v>
      </c>
      <c r="CY38">
        <v>100.55510423699999</v>
      </c>
      <c r="CZ38">
        <v>102.287769682</v>
      </c>
      <c r="DA38">
        <v>115.546024014</v>
      </c>
      <c r="DB38">
        <v>80.286472098999994</v>
      </c>
      <c r="DC38">
        <v>102.535344239</v>
      </c>
      <c r="DD38">
        <v>91.725447582399994</v>
      </c>
      <c r="DE38">
        <v>106.198893129</v>
      </c>
      <c r="DF38">
        <v>87.425209724599995</v>
      </c>
      <c r="DG38">
        <v>88.154147523800006</v>
      </c>
      <c r="DH38">
        <v>107.898202325</v>
      </c>
    </row>
    <row r="39" spans="1:112" x14ac:dyDescent="0.25">
      <c r="A39" s="8">
        <f t="shared" si="0"/>
        <v>89.526812275333285</v>
      </c>
      <c r="B39" s="9">
        <f>AVERAGE($C$2:C39)</f>
        <v>4.4945381589114763</v>
      </c>
      <c r="C39" s="9">
        <f t="shared" si="1"/>
        <v>4.5099305359902813</v>
      </c>
      <c r="D39" s="6">
        <f>AVERAGE($G$2:G39)</f>
        <v>91.711243067500007</v>
      </c>
      <c r="E39" s="6">
        <f>AVERAGE($H$2:H39)</f>
        <v>89.687934716720008</v>
      </c>
      <c r="F39" s="6">
        <f>AVERAGE($M$2:M39)</f>
        <v>89.634800852902629</v>
      </c>
      <c r="G39" s="6" t="b">
        <f t="shared" si="2"/>
        <v>0</v>
      </c>
      <c r="H39" t="b">
        <f t="shared" si="3"/>
        <v>0</v>
      </c>
      <c r="I39" s="6">
        <f t="shared" si="4"/>
        <v>-5.3133863817379279E-2</v>
      </c>
      <c r="J39" s="6">
        <f t="shared" si="5"/>
        <v>-2.0764422145973782</v>
      </c>
      <c r="K39">
        <v>37</v>
      </c>
      <c r="L39">
        <f>L38+Asian!dt</f>
        <v>0.37000000000000016</v>
      </c>
      <c r="M39">
        <v>90.915502935800006</v>
      </c>
      <c r="N39">
        <v>92.078324454599993</v>
      </c>
      <c r="O39">
        <v>99.817385045500004</v>
      </c>
      <c r="P39">
        <v>102.50429424799999</v>
      </c>
      <c r="Q39">
        <v>80.168051907500001</v>
      </c>
      <c r="R39">
        <v>91.766022524999997</v>
      </c>
      <c r="S39">
        <v>116.361132735</v>
      </c>
      <c r="T39">
        <v>77.994337115999997</v>
      </c>
      <c r="U39">
        <v>112.698931531</v>
      </c>
      <c r="V39">
        <v>105.06163584700001</v>
      </c>
      <c r="W39">
        <v>102.061733111</v>
      </c>
      <c r="X39">
        <v>114.71712580000001</v>
      </c>
      <c r="Y39">
        <v>96.272261851099998</v>
      </c>
      <c r="Z39">
        <v>120.33525139699999</v>
      </c>
      <c r="AA39">
        <v>108.13285596</v>
      </c>
      <c r="AB39">
        <v>88.526732904900001</v>
      </c>
      <c r="AC39">
        <v>91.248603054599997</v>
      </c>
      <c r="AD39">
        <v>96.008986238099993</v>
      </c>
      <c r="AE39">
        <v>137.906607958</v>
      </c>
      <c r="AF39">
        <v>103.477274536</v>
      </c>
      <c r="AG39">
        <v>109.46025628300001</v>
      </c>
      <c r="AH39">
        <v>102.96822458</v>
      </c>
      <c r="AI39">
        <v>80.845208964500003</v>
      </c>
      <c r="AJ39">
        <v>91.531063022400005</v>
      </c>
      <c r="AK39">
        <v>122.11513934600001</v>
      </c>
      <c r="AL39">
        <v>111.392674418</v>
      </c>
      <c r="AM39">
        <v>98.221679858399995</v>
      </c>
      <c r="AN39">
        <v>127.546437869</v>
      </c>
      <c r="AO39">
        <v>92.212168864500001</v>
      </c>
      <c r="AP39">
        <v>87.602731153700006</v>
      </c>
      <c r="AQ39">
        <v>97.703044899800005</v>
      </c>
      <c r="AR39">
        <v>99.457621184399997</v>
      </c>
      <c r="AS39">
        <v>117.726681251</v>
      </c>
      <c r="AT39">
        <v>101.012351319</v>
      </c>
      <c r="AU39">
        <v>91.404385974500002</v>
      </c>
      <c r="AV39">
        <v>98.853480845999997</v>
      </c>
      <c r="AW39">
        <v>121.467701362</v>
      </c>
      <c r="AX39">
        <v>91.505821323299998</v>
      </c>
      <c r="AY39">
        <v>96.632239273099998</v>
      </c>
      <c r="AZ39">
        <v>120.95991182</v>
      </c>
      <c r="BA39">
        <v>117.413256061</v>
      </c>
      <c r="BB39">
        <v>110.993372345</v>
      </c>
      <c r="BC39">
        <v>116.188928168</v>
      </c>
      <c r="BD39">
        <v>98.918301951299995</v>
      </c>
      <c r="BE39">
        <v>100.282190847</v>
      </c>
      <c r="BF39">
        <v>88.707779793</v>
      </c>
      <c r="BG39">
        <v>91.359469650799994</v>
      </c>
      <c r="BH39">
        <v>95.937011498999993</v>
      </c>
      <c r="BI39">
        <v>110.61495517900001</v>
      </c>
      <c r="BJ39">
        <v>103.636780488</v>
      </c>
      <c r="BK39">
        <v>94.379160902500004</v>
      </c>
      <c r="BL39">
        <v>93.127085464100006</v>
      </c>
      <c r="BM39">
        <v>98.989387862399994</v>
      </c>
      <c r="BN39">
        <v>101.712925785</v>
      </c>
      <c r="BO39">
        <v>81.827515558499996</v>
      </c>
      <c r="BP39">
        <v>82.473965494200002</v>
      </c>
      <c r="BQ39">
        <v>88.307318811800002</v>
      </c>
      <c r="BR39">
        <v>109.895780395</v>
      </c>
      <c r="BS39">
        <v>99.224020736900002</v>
      </c>
      <c r="BT39">
        <v>114.449135027</v>
      </c>
      <c r="BU39">
        <v>105.964554488</v>
      </c>
      <c r="BV39">
        <v>93.970327031099998</v>
      </c>
      <c r="BW39">
        <v>86.027043597599999</v>
      </c>
      <c r="BX39">
        <v>75.148629162500001</v>
      </c>
      <c r="BY39">
        <v>116.139949266</v>
      </c>
      <c r="BZ39">
        <v>100.584938278</v>
      </c>
      <c r="CA39">
        <v>101.727855404</v>
      </c>
      <c r="CB39">
        <v>104.244585133</v>
      </c>
      <c r="CC39">
        <v>92.9559818412</v>
      </c>
      <c r="CD39">
        <v>101.668095325</v>
      </c>
      <c r="CE39">
        <v>104.157601826</v>
      </c>
      <c r="CF39">
        <v>83.955099397799998</v>
      </c>
      <c r="CG39">
        <v>99.663072508699997</v>
      </c>
      <c r="CH39">
        <v>124.76901324400001</v>
      </c>
      <c r="CI39">
        <v>107.97985453699999</v>
      </c>
      <c r="CJ39">
        <v>97.931632086099995</v>
      </c>
      <c r="CK39">
        <v>93.245000470299999</v>
      </c>
      <c r="CL39">
        <v>86.997848914399995</v>
      </c>
      <c r="CM39">
        <v>97.432601334099999</v>
      </c>
      <c r="CN39">
        <v>94.331372024800004</v>
      </c>
      <c r="CO39">
        <v>119.875069614</v>
      </c>
      <c r="CP39">
        <v>91.039169400800006</v>
      </c>
      <c r="CQ39">
        <v>101.296374742</v>
      </c>
      <c r="CR39">
        <v>101.31801448</v>
      </c>
      <c r="CS39">
        <v>106.309463489</v>
      </c>
      <c r="CT39">
        <v>103.473801142</v>
      </c>
      <c r="CU39">
        <v>106.07576416000001</v>
      </c>
      <c r="CV39">
        <v>80.684531573399994</v>
      </c>
      <c r="CW39">
        <v>116.475185919</v>
      </c>
      <c r="CX39">
        <v>109.06116585700001</v>
      </c>
      <c r="CY39">
        <v>104.582360581</v>
      </c>
      <c r="CZ39">
        <v>101.242045034</v>
      </c>
      <c r="DA39">
        <v>118.51130220500001</v>
      </c>
      <c r="DB39">
        <v>77.955390412900002</v>
      </c>
      <c r="DC39">
        <v>103.424397523</v>
      </c>
      <c r="DD39">
        <v>88.606068033599996</v>
      </c>
      <c r="DE39">
        <v>102.479107124</v>
      </c>
      <c r="DF39">
        <v>87.019587998399999</v>
      </c>
      <c r="DG39">
        <v>88.239808990499995</v>
      </c>
      <c r="DH39">
        <v>106.73470703</v>
      </c>
    </row>
    <row r="40" spans="1:112" x14ac:dyDescent="0.25">
      <c r="A40" s="8">
        <f t="shared" si="0"/>
        <v>89.587517354808014</v>
      </c>
      <c r="B40" s="9">
        <f>AVERAGE($C$2:C40)</f>
        <v>4.4952159950390982</v>
      </c>
      <c r="C40" s="9">
        <f t="shared" si="1"/>
        <v>4.5209737678887203</v>
      </c>
      <c r="D40" s="6">
        <f>AVERAGE($G$2:G40)</f>
        <v>91.711243067500007</v>
      </c>
      <c r="E40" s="6">
        <f>AVERAGE($H$2:H40)</f>
        <v>89.687934716720008</v>
      </c>
      <c r="F40" s="6">
        <f>AVERAGE($M$2:M40)</f>
        <v>89.693525653828203</v>
      </c>
      <c r="G40" s="6" t="b">
        <f t="shared" si="2"/>
        <v>0</v>
      </c>
      <c r="H40" t="b">
        <f t="shared" si="3"/>
        <v>0</v>
      </c>
      <c r="I40" s="6">
        <f t="shared" si="4"/>
        <v>5.5909371081952486E-3</v>
      </c>
      <c r="J40" s="6">
        <f t="shared" si="5"/>
        <v>-2.0177174136718037</v>
      </c>
      <c r="K40">
        <v>38</v>
      </c>
      <c r="L40">
        <f>L39+Asian!dt</f>
        <v>0.38000000000000017</v>
      </c>
      <c r="M40">
        <v>91.925068089000007</v>
      </c>
      <c r="N40">
        <v>94.187111661499998</v>
      </c>
      <c r="O40">
        <v>101.380382328</v>
      </c>
      <c r="P40">
        <v>101.208686738</v>
      </c>
      <c r="Q40">
        <v>80.118177141000004</v>
      </c>
      <c r="R40">
        <v>93.157819352900006</v>
      </c>
      <c r="S40">
        <v>114.138834143</v>
      </c>
      <c r="T40">
        <v>75.522391494000004</v>
      </c>
      <c r="U40">
        <v>115.17664630100001</v>
      </c>
      <c r="V40">
        <v>103.85625545000001</v>
      </c>
      <c r="W40">
        <v>105.148664772</v>
      </c>
      <c r="X40">
        <v>113.737093969</v>
      </c>
      <c r="Y40">
        <v>95.648374635799996</v>
      </c>
      <c r="Z40">
        <v>119.691696412</v>
      </c>
      <c r="AA40">
        <v>109.75889362300001</v>
      </c>
      <c r="AB40">
        <v>86.984346474899993</v>
      </c>
      <c r="AC40">
        <v>89.972183316100001</v>
      </c>
      <c r="AD40">
        <v>96.623862251700004</v>
      </c>
      <c r="AE40">
        <v>135.86048681099999</v>
      </c>
      <c r="AF40">
        <v>106.62063482400001</v>
      </c>
      <c r="AG40">
        <v>102.723987958</v>
      </c>
      <c r="AH40">
        <v>102.248405014</v>
      </c>
      <c r="AI40">
        <v>82.968301565600001</v>
      </c>
      <c r="AJ40">
        <v>90.847901280299993</v>
      </c>
      <c r="AK40">
        <v>122.850771443</v>
      </c>
      <c r="AL40">
        <v>109.79126623099999</v>
      </c>
      <c r="AM40">
        <v>98.964302449499996</v>
      </c>
      <c r="AN40">
        <v>123.495235257</v>
      </c>
      <c r="AO40">
        <v>91.724040643699993</v>
      </c>
      <c r="AP40">
        <v>87.327759837900004</v>
      </c>
      <c r="AQ40">
        <v>97.548008870900006</v>
      </c>
      <c r="AR40">
        <v>98.5878195409</v>
      </c>
      <c r="AS40">
        <v>115.41423234</v>
      </c>
      <c r="AT40">
        <v>100.483502055</v>
      </c>
      <c r="AU40">
        <v>91.443258551699998</v>
      </c>
      <c r="AV40">
        <v>100.024493518</v>
      </c>
      <c r="AW40">
        <v>118.500667939</v>
      </c>
      <c r="AX40">
        <v>94.327847300299993</v>
      </c>
      <c r="AY40">
        <v>96.731151517100002</v>
      </c>
      <c r="AZ40">
        <v>116.51163110100001</v>
      </c>
      <c r="BA40">
        <v>115.127703866</v>
      </c>
      <c r="BB40">
        <v>110.52943404299999</v>
      </c>
      <c r="BC40">
        <v>113.853868365</v>
      </c>
      <c r="BD40">
        <v>99.754070066500006</v>
      </c>
      <c r="BE40">
        <v>96.167724778199997</v>
      </c>
      <c r="BF40">
        <v>87.466605207599997</v>
      </c>
      <c r="BG40">
        <v>91.578910469700006</v>
      </c>
      <c r="BH40">
        <v>97.275086884399997</v>
      </c>
      <c r="BI40">
        <v>109.78748021600001</v>
      </c>
      <c r="BJ40">
        <v>104.102751477</v>
      </c>
      <c r="BK40">
        <v>95.6224479575</v>
      </c>
      <c r="BL40">
        <v>93.408198337100004</v>
      </c>
      <c r="BM40">
        <v>96.024387188099993</v>
      </c>
      <c r="BN40">
        <v>100.47317785600001</v>
      </c>
      <c r="BO40">
        <v>82.627853508800001</v>
      </c>
      <c r="BP40">
        <v>80.631908506499997</v>
      </c>
      <c r="BQ40">
        <v>87.208279666099997</v>
      </c>
      <c r="BR40">
        <v>111.755903182</v>
      </c>
      <c r="BS40">
        <v>100.160361898</v>
      </c>
      <c r="BT40">
        <v>112.628708207</v>
      </c>
      <c r="BU40">
        <v>106.92134627900001</v>
      </c>
      <c r="BV40">
        <v>92.377400864199998</v>
      </c>
      <c r="BW40">
        <v>86.744011384199993</v>
      </c>
      <c r="BX40">
        <v>76.577255299399994</v>
      </c>
      <c r="BY40">
        <v>112.927933706</v>
      </c>
      <c r="BZ40">
        <v>102.692305253</v>
      </c>
      <c r="CA40">
        <v>103.991254318</v>
      </c>
      <c r="CB40">
        <v>105.36345714799999</v>
      </c>
      <c r="CC40">
        <v>93.521070205900003</v>
      </c>
      <c r="CD40">
        <v>103.943608684</v>
      </c>
      <c r="CE40">
        <v>102.40690582400001</v>
      </c>
      <c r="CF40">
        <v>86.113914073299995</v>
      </c>
      <c r="CG40">
        <v>96.834296434300001</v>
      </c>
      <c r="CH40">
        <v>119.795933898</v>
      </c>
      <c r="CI40">
        <v>108.074509984</v>
      </c>
      <c r="CJ40">
        <v>96.988200290500004</v>
      </c>
      <c r="CK40">
        <v>90.663660831800001</v>
      </c>
      <c r="CL40">
        <v>84.259722438500006</v>
      </c>
      <c r="CM40">
        <v>98.846978187900007</v>
      </c>
      <c r="CN40">
        <v>96.820763479299998</v>
      </c>
      <c r="CO40">
        <v>120.723828423</v>
      </c>
      <c r="CP40">
        <v>87.826906861300003</v>
      </c>
      <c r="CQ40">
        <v>104.598832296</v>
      </c>
      <c r="CR40">
        <v>100.453104466</v>
      </c>
      <c r="CS40">
        <v>104.61584624</v>
      </c>
      <c r="CT40">
        <v>103.562137361</v>
      </c>
      <c r="CU40">
        <v>107.207230266</v>
      </c>
      <c r="CV40">
        <v>80.474931700900001</v>
      </c>
      <c r="CW40">
        <v>114.865977946</v>
      </c>
      <c r="CX40">
        <v>112.987433767</v>
      </c>
      <c r="CY40">
        <v>104.80228420100001</v>
      </c>
      <c r="CZ40">
        <v>103.79763578799999</v>
      </c>
      <c r="DA40">
        <v>117.552032157</v>
      </c>
      <c r="DB40">
        <v>81.022691111300006</v>
      </c>
      <c r="DC40">
        <v>102.57436092</v>
      </c>
      <c r="DD40">
        <v>83.804904241900005</v>
      </c>
      <c r="DE40">
        <v>106.817921126</v>
      </c>
      <c r="DF40">
        <v>87.183784265100002</v>
      </c>
      <c r="DG40">
        <v>90.400038132099994</v>
      </c>
      <c r="DH40">
        <v>105.510641999</v>
      </c>
    </row>
    <row r="41" spans="1:112" x14ac:dyDescent="0.25">
      <c r="A41" s="8">
        <f t="shared" si="0"/>
        <v>89.683716195989277</v>
      </c>
      <c r="B41" s="9">
        <f>AVERAGE($C$2:C41)</f>
        <v>4.4962892163084494</v>
      </c>
      <c r="C41" s="9">
        <f t="shared" si="1"/>
        <v>4.5381448458131244</v>
      </c>
      <c r="D41" s="6">
        <f>AVERAGE($G$2:G41)</f>
        <v>91.711243067500007</v>
      </c>
      <c r="E41" s="6">
        <f>AVERAGE($H$2:H41)</f>
        <v>89.687934716720008</v>
      </c>
      <c r="F41" s="6">
        <f>AVERAGE($M$2:M41)</f>
        <v>89.78911627155</v>
      </c>
      <c r="G41" s="6" t="b">
        <f t="shared" si="2"/>
        <v>0</v>
      </c>
      <c r="H41" t="b">
        <f t="shared" si="3"/>
        <v>0</v>
      </c>
      <c r="I41" s="6">
        <f t="shared" si="4"/>
        <v>0.10118155482999214</v>
      </c>
      <c r="J41" s="6">
        <f t="shared" si="5"/>
        <v>-1.9221267959500068</v>
      </c>
      <c r="K41">
        <v>39</v>
      </c>
      <c r="L41">
        <f>L40+Asian!dt</f>
        <v>0.39000000000000018</v>
      </c>
      <c r="M41">
        <v>93.517150362699994</v>
      </c>
      <c r="N41">
        <v>92.802029456200003</v>
      </c>
      <c r="O41">
        <v>102.92205610400001</v>
      </c>
      <c r="P41">
        <v>104.270614763</v>
      </c>
      <c r="Q41">
        <v>77.5673473242</v>
      </c>
      <c r="R41">
        <v>95.213156140500004</v>
      </c>
      <c r="S41">
        <v>116.556028426</v>
      </c>
      <c r="T41">
        <v>74.682802383199999</v>
      </c>
      <c r="U41">
        <v>116.344474621</v>
      </c>
      <c r="V41">
        <v>103.12136235</v>
      </c>
      <c r="W41">
        <v>107.2657164</v>
      </c>
      <c r="X41">
        <v>113.046757852</v>
      </c>
      <c r="Y41">
        <v>93.4915720682</v>
      </c>
      <c r="Z41">
        <v>116.82431652299999</v>
      </c>
      <c r="AA41">
        <v>109.723371414</v>
      </c>
      <c r="AB41">
        <v>88.851076095500005</v>
      </c>
      <c r="AC41">
        <v>90.727159429099999</v>
      </c>
      <c r="AD41">
        <v>97.341579826499995</v>
      </c>
      <c r="AE41">
        <v>136.18729736700001</v>
      </c>
      <c r="AF41">
        <v>105.137863458</v>
      </c>
      <c r="AG41">
        <v>105.10227628299999</v>
      </c>
      <c r="AH41">
        <v>100.23974417399999</v>
      </c>
      <c r="AI41">
        <v>80.852641927500002</v>
      </c>
      <c r="AJ41">
        <v>92.733383982000007</v>
      </c>
      <c r="AK41">
        <v>121.309596052</v>
      </c>
      <c r="AL41">
        <v>107.734079467</v>
      </c>
      <c r="AM41">
        <v>100.58423773600001</v>
      </c>
      <c r="AN41">
        <v>124.449701375</v>
      </c>
      <c r="AO41">
        <v>90.318401907099997</v>
      </c>
      <c r="AP41">
        <v>86.370614008999993</v>
      </c>
      <c r="AQ41">
        <v>94.911973349700006</v>
      </c>
      <c r="AR41">
        <v>98.206956959699994</v>
      </c>
      <c r="AS41">
        <v>116.990550133</v>
      </c>
      <c r="AT41">
        <v>96.774019520600007</v>
      </c>
      <c r="AU41">
        <v>92.212017652699998</v>
      </c>
      <c r="AV41">
        <v>101.604589179</v>
      </c>
      <c r="AW41">
        <v>117.798612914</v>
      </c>
      <c r="AX41">
        <v>98.576145843099994</v>
      </c>
      <c r="AY41">
        <v>95.024208647500004</v>
      </c>
      <c r="AZ41">
        <v>118.653466408</v>
      </c>
      <c r="BA41">
        <v>115.416589946</v>
      </c>
      <c r="BB41">
        <v>111.488769382</v>
      </c>
      <c r="BC41">
        <v>114.698983885</v>
      </c>
      <c r="BD41">
        <v>98.542378996500005</v>
      </c>
      <c r="BE41">
        <v>96.033177829300001</v>
      </c>
      <c r="BF41">
        <v>85.804768986200003</v>
      </c>
      <c r="BG41">
        <v>91.579530613399996</v>
      </c>
      <c r="BH41">
        <v>92.277525597799993</v>
      </c>
      <c r="BI41">
        <v>108.682473973</v>
      </c>
      <c r="BJ41">
        <v>104.995274061</v>
      </c>
      <c r="BK41">
        <v>95.502123999299997</v>
      </c>
      <c r="BL41">
        <v>91.580921992300006</v>
      </c>
      <c r="BM41">
        <v>94.950727732100006</v>
      </c>
      <c r="BN41">
        <v>99.052141843399994</v>
      </c>
      <c r="BO41">
        <v>83.590282115799994</v>
      </c>
      <c r="BP41">
        <v>83.340617575300001</v>
      </c>
      <c r="BQ41">
        <v>87.454706968300002</v>
      </c>
      <c r="BR41">
        <v>112.171419316</v>
      </c>
      <c r="BS41">
        <v>101.044197712</v>
      </c>
      <c r="BT41">
        <v>112.857215751</v>
      </c>
      <c r="BU41">
        <v>104.919752344</v>
      </c>
      <c r="BV41">
        <v>91.591965630199994</v>
      </c>
      <c r="BW41">
        <v>88.680643743100006</v>
      </c>
      <c r="BX41">
        <v>77.442197819399993</v>
      </c>
      <c r="BY41">
        <v>110.593664609</v>
      </c>
      <c r="BZ41">
        <v>104.294706754</v>
      </c>
      <c r="CA41">
        <v>109.405487533</v>
      </c>
      <c r="CB41">
        <v>100.362145113</v>
      </c>
      <c r="CC41">
        <v>94.126844526400006</v>
      </c>
      <c r="CD41">
        <v>104.36567047299999</v>
      </c>
      <c r="CE41">
        <v>100.969747068</v>
      </c>
      <c r="CF41">
        <v>85.076936415099993</v>
      </c>
      <c r="CG41">
        <v>97.679473496400007</v>
      </c>
      <c r="CH41">
        <v>120.552257621</v>
      </c>
      <c r="CI41">
        <v>109.36141650899999</v>
      </c>
      <c r="CJ41">
        <v>96.751569487599994</v>
      </c>
      <c r="CK41">
        <v>90.143254264199996</v>
      </c>
      <c r="CL41">
        <v>82.713437347699994</v>
      </c>
      <c r="CM41">
        <v>100.099760308</v>
      </c>
      <c r="CN41">
        <v>95.527825540699993</v>
      </c>
      <c r="CO41">
        <v>124.816876945</v>
      </c>
      <c r="CP41">
        <v>89.286024130300007</v>
      </c>
      <c r="CQ41">
        <v>102.377140329</v>
      </c>
      <c r="CR41">
        <v>101.238779775</v>
      </c>
      <c r="CS41">
        <v>105.65899591500001</v>
      </c>
      <c r="CT41">
        <v>104.62372881500001</v>
      </c>
      <c r="CU41">
        <v>106.690548913</v>
      </c>
      <c r="CV41">
        <v>80.348387790700002</v>
      </c>
      <c r="CW41">
        <v>114.534156419</v>
      </c>
      <c r="CX41">
        <v>112.17555147900001</v>
      </c>
      <c r="CY41">
        <v>104.25366280999999</v>
      </c>
      <c r="CZ41">
        <v>104.243280133</v>
      </c>
      <c r="DA41">
        <v>119.159490187</v>
      </c>
      <c r="DB41">
        <v>83.557575177700002</v>
      </c>
      <c r="DC41">
        <v>99.631706569200006</v>
      </c>
      <c r="DD41">
        <v>83.568930909299993</v>
      </c>
      <c r="DE41">
        <v>108.866487053</v>
      </c>
      <c r="DF41">
        <v>85.831221537900007</v>
      </c>
      <c r="DG41">
        <v>90.164318785199995</v>
      </c>
      <c r="DH41">
        <v>108.868808685</v>
      </c>
    </row>
    <row r="42" spans="1:112" x14ac:dyDescent="0.25">
      <c r="A42" s="8">
        <f t="shared" si="0"/>
        <v>89.782204418638443</v>
      </c>
      <c r="B42" s="9">
        <f>AVERAGE($C$2:C42)</f>
        <v>4.4973867866125934</v>
      </c>
      <c r="C42" s="9">
        <f t="shared" si="1"/>
        <v>4.541289598778385</v>
      </c>
      <c r="D42" s="6">
        <f>AVERAGE($G$2:G42)</f>
        <v>92.131334774260011</v>
      </c>
      <c r="E42" s="6">
        <f>AVERAGE($H$2:H42)</f>
        <v>90.062822615318183</v>
      </c>
      <c r="F42" s="6">
        <f>AVERAGE($M$2:M42)</f>
        <v>89.887228108860967</v>
      </c>
      <c r="G42" s="6">
        <f t="shared" si="2"/>
        <v>93.811701601300001</v>
      </c>
      <c r="H42">
        <f t="shared" si="3"/>
        <v>93.811701601300001</v>
      </c>
      <c r="I42" s="6">
        <f t="shared" si="4"/>
        <v>-0.17559450645721597</v>
      </c>
      <c r="J42" s="6">
        <f t="shared" si="5"/>
        <v>-2.2441066653990447</v>
      </c>
      <c r="K42">
        <v>40</v>
      </c>
      <c r="L42">
        <f>L41+Asian!dt</f>
        <v>0.40000000000000019</v>
      </c>
      <c r="M42">
        <v>93.811701601300001</v>
      </c>
      <c r="N42">
        <v>89.927714564799999</v>
      </c>
      <c r="O42">
        <v>103.04040255</v>
      </c>
      <c r="P42">
        <v>102.22073998</v>
      </c>
      <c r="Q42">
        <v>78.032771845799999</v>
      </c>
      <c r="R42">
        <v>92.645623684</v>
      </c>
      <c r="S42">
        <v>117.03614975000001</v>
      </c>
      <c r="T42">
        <v>73.709334458399994</v>
      </c>
      <c r="U42">
        <v>118.49930313900001</v>
      </c>
      <c r="V42">
        <v>102.03811006700001</v>
      </c>
      <c r="W42">
        <v>111.47538554400001</v>
      </c>
      <c r="X42">
        <v>113.602099548</v>
      </c>
      <c r="Y42">
        <v>90.388611725499999</v>
      </c>
      <c r="Z42">
        <v>117.06806904</v>
      </c>
      <c r="AA42">
        <v>106.32527096699999</v>
      </c>
      <c r="AB42">
        <v>88.456922573599996</v>
      </c>
      <c r="AC42">
        <v>89.141623629500003</v>
      </c>
      <c r="AD42">
        <v>95.809356605299996</v>
      </c>
      <c r="AE42">
        <v>135.211077512</v>
      </c>
      <c r="AF42">
        <v>105.31053966499999</v>
      </c>
      <c r="AG42">
        <v>106.673580747</v>
      </c>
      <c r="AH42">
        <v>98.871834788800001</v>
      </c>
      <c r="AI42">
        <v>79.942343440399995</v>
      </c>
      <c r="AJ42">
        <v>92.288233953800002</v>
      </c>
      <c r="AK42">
        <v>120.84660423699999</v>
      </c>
      <c r="AL42">
        <v>108.749310077</v>
      </c>
      <c r="AM42">
        <v>102.609957669</v>
      </c>
      <c r="AN42">
        <v>120.60145554499999</v>
      </c>
      <c r="AO42">
        <v>88.159526195699996</v>
      </c>
      <c r="AP42">
        <v>82.042273788100005</v>
      </c>
      <c r="AQ42">
        <v>96.701955985699996</v>
      </c>
      <c r="AR42">
        <v>99.550517077500004</v>
      </c>
      <c r="AS42">
        <v>119.91437593800001</v>
      </c>
      <c r="AT42">
        <v>93.244228073599999</v>
      </c>
      <c r="AU42">
        <v>91.437472702400001</v>
      </c>
      <c r="AV42">
        <v>102.89343532300001</v>
      </c>
      <c r="AW42">
        <v>119.350714005</v>
      </c>
      <c r="AX42">
        <v>102.49854237300001</v>
      </c>
      <c r="AY42">
        <v>94.303678883000003</v>
      </c>
      <c r="AZ42">
        <v>121.172798771</v>
      </c>
      <c r="BA42">
        <v>118.625345782</v>
      </c>
      <c r="BB42">
        <v>110.927845121</v>
      </c>
      <c r="BC42">
        <v>113.35163999</v>
      </c>
      <c r="BD42">
        <v>100.37506634899999</v>
      </c>
      <c r="BE42">
        <v>93.855523658199999</v>
      </c>
      <c r="BF42">
        <v>84.278830846100007</v>
      </c>
      <c r="BG42">
        <v>91.9428454114</v>
      </c>
      <c r="BH42">
        <v>91.010791932800004</v>
      </c>
      <c r="BI42">
        <v>106.751290991</v>
      </c>
      <c r="BJ42">
        <v>106.268652186</v>
      </c>
      <c r="BK42">
        <v>95.351521422600001</v>
      </c>
      <c r="BL42">
        <v>90.370019556399996</v>
      </c>
      <c r="BM42">
        <v>96.068448119799996</v>
      </c>
      <c r="BN42">
        <v>100.74788979</v>
      </c>
      <c r="BO42">
        <v>83.593288646800005</v>
      </c>
      <c r="BP42">
        <v>81.969406666300003</v>
      </c>
      <c r="BQ42">
        <v>85.1437739972</v>
      </c>
      <c r="BR42">
        <v>109.997117213</v>
      </c>
      <c r="BS42">
        <v>104.60341459199999</v>
      </c>
      <c r="BT42">
        <v>112.791195882</v>
      </c>
      <c r="BU42">
        <v>103.611564597</v>
      </c>
      <c r="BV42">
        <v>88.814810543700005</v>
      </c>
      <c r="BW42">
        <v>91.362489306699999</v>
      </c>
      <c r="BX42">
        <v>75.553303605400004</v>
      </c>
      <c r="BY42">
        <v>107.193415188</v>
      </c>
      <c r="BZ42">
        <v>107.71016163900001</v>
      </c>
      <c r="CA42">
        <v>108.309271201</v>
      </c>
      <c r="CB42">
        <v>97.917579068799995</v>
      </c>
      <c r="CC42">
        <v>92.7024107835</v>
      </c>
      <c r="CD42">
        <v>102.423935755</v>
      </c>
      <c r="CE42">
        <v>99.247312593100006</v>
      </c>
      <c r="CF42">
        <v>86.189550429899995</v>
      </c>
      <c r="CG42">
        <v>97.652966472100005</v>
      </c>
      <c r="CH42">
        <v>119.746761429</v>
      </c>
      <c r="CI42">
        <v>106.68716107</v>
      </c>
      <c r="CJ42">
        <v>96.884768552200001</v>
      </c>
      <c r="CK42">
        <v>92.273531270999996</v>
      </c>
      <c r="CL42">
        <v>83.107483087999995</v>
      </c>
      <c r="CM42">
        <v>98.622423818399994</v>
      </c>
      <c r="CN42">
        <v>95.014019999200002</v>
      </c>
      <c r="CO42">
        <v>128.010096304</v>
      </c>
      <c r="CP42">
        <v>88.142712671599995</v>
      </c>
      <c r="CQ42">
        <v>103.743098875</v>
      </c>
      <c r="CR42">
        <v>105.27774981500001</v>
      </c>
      <c r="CS42">
        <v>104.133282036</v>
      </c>
      <c r="CT42">
        <v>107.72488231</v>
      </c>
      <c r="CU42">
        <v>106.24232588300001</v>
      </c>
      <c r="CV42">
        <v>82.895986942600004</v>
      </c>
      <c r="CW42">
        <v>113.052537063</v>
      </c>
      <c r="CX42">
        <v>116.06561659499999</v>
      </c>
      <c r="CY42">
        <v>106.11930567500001</v>
      </c>
      <c r="CZ42">
        <v>109.033337577</v>
      </c>
      <c r="DA42">
        <v>118.393256689</v>
      </c>
      <c r="DB42">
        <v>80.6691734467</v>
      </c>
      <c r="DC42">
        <v>99.6484434419</v>
      </c>
      <c r="DD42">
        <v>86.831923120200003</v>
      </c>
      <c r="DE42">
        <v>108.91978553200001</v>
      </c>
      <c r="DF42">
        <v>84.506598251300005</v>
      </c>
      <c r="DG42">
        <v>90.577226201800002</v>
      </c>
      <c r="DH42">
        <v>105.37884496700001</v>
      </c>
    </row>
    <row r="43" spans="1:112" x14ac:dyDescent="0.25">
      <c r="A43" s="8">
        <f t="shared" si="0"/>
        <v>89.842717646686822</v>
      </c>
      <c r="B43" s="9">
        <f>AVERAGE($C$2:C43)</f>
        <v>4.4980605598244825</v>
      </c>
      <c r="C43" s="9">
        <f t="shared" si="1"/>
        <v>4.5256852615119136</v>
      </c>
      <c r="D43" s="6">
        <f>AVERAGE($G$2:G43)</f>
        <v>92.131334774260011</v>
      </c>
      <c r="E43" s="6">
        <f>AVERAGE($H$2:H43)</f>
        <v>90.062822615318183</v>
      </c>
      <c r="F43" s="6">
        <f>AVERAGE($M$2:M43)</f>
        <v>89.946084447926182</v>
      </c>
      <c r="G43" s="6" t="b">
        <f t="shared" si="2"/>
        <v>0</v>
      </c>
      <c r="H43" t="b">
        <f t="shared" si="3"/>
        <v>0</v>
      </c>
      <c r="I43" s="6">
        <f t="shared" si="4"/>
        <v>-0.11673816739200049</v>
      </c>
      <c r="J43" s="6">
        <f t="shared" si="5"/>
        <v>-2.1852503263338292</v>
      </c>
      <c r="K43">
        <v>41</v>
      </c>
      <c r="L43">
        <f>L42+Asian!dt</f>
        <v>0.4100000000000002</v>
      </c>
      <c r="M43">
        <v>92.359194349600003</v>
      </c>
      <c r="N43">
        <v>89.170906070699999</v>
      </c>
      <c r="O43">
        <v>101.26528463</v>
      </c>
      <c r="P43">
        <v>103.87018278799999</v>
      </c>
      <c r="Q43">
        <v>77.020722592499993</v>
      </c>
      <c r="R43">
        <v>92.393258170999999</v>
      </c>
      <c r="S43">
        <v>118.01371627499999</v>
      </c>
      <c r="T43">
        <v>72.557265190999999</v>
      </c>
      <c r="U43">
        <v>116.286726233</v>
      </c>
      <c r="V43">
        <v>103.25215867999999</v>
      </c>
      <c r="W43">
        <v>109.625007482</v>
      </c>
      <c r="X43">
        <v>111.550455751</v>
      </c>
      <c r="Y43">
        <v>89.121749286899998</v>
      </c>
      <c r="Z43">
        <v>115.463502504</v>
      </c>
      <c r="AA43">
        <v>107.83753076799999</v>
      </c>
      <c r="AB43">
        <v>91.238173629399995</v>
      </c>
      <c r="AC43">
        <v>85.929256345699997</v>
      </c>
      <c r="AD43">
        <v>94.5163025146</v>
      </c>
      <c r="AE43">
        <v>130.48841300399999</v>
      </c>
      <c r="AF43">
        <v>103.859772705</v>
      </c>
      <c r="AG43">
        <v>105.006969466</v>
      </c>
      <c r="AH43">
        <v>99.225685426799998</v>
      </c>
      <c r="AI43">
        <v>79.556790078600002</v>
      </c>
      <c r="AJ43">
        <v>92.4447516691</v>
      </c>
      <c r="AK43">
        <v>120.856936378</v>
      </c>
      <c r="AL43">
        <v>108.517680943</v>
      </c>
      <c r="AM43">
        <v>101.742240037</v>
      </c>
      <c r="AN43">
        <v>120.332559995</v>
      </c>
      <c r="AO43">
        <v>90.215827923600003</v>
      </c>
      <c r="AP43">
        <v>79.989307995199994</v>
      </c>
      <c r="AQ43">
        <v>98.904605640699998</v>
      </c>
      <c r="AR43">
        <v>97.020135222099995</v>
      </c>
      <c r="AS43">
        <v>117.29375726799999</v>
      </c>
      <c r="AT43">
        <v>92.311435098399997</v>
      </c>
      <c r="AU43">
        <v>93.447901537500002</v>
      </c>
      <c r="AV43">
        <v>101.16392460599999</v>
      </c>
      <c r="AW43">
        <v>118.14437536</v>
      </c>
      <c r="AX43">
        <v>101.881562089</v>
      </c>
      <c r="AY43">
        <v>94.156373146600004</v>
      </c>
      <c r="AZ43">
        <v>117.973802459</v>
      </c>
      <c r="BA43">
        <v>118.843942168</v>
      </c>
      <c r="BB43">
        <v>109.948829797</v>
      </c>
      <c r="BC43">
        <v>115.129831178</v>
      </c>
      <c r="BD43">
        <v>98.018372382199999</v>
      </c>
      <c r="BE43">
        <v>95.888102115500004</v>
      </c>
      <c r="BF43">
        <v>82.616851205499998</v>
      </c>
      <c r="BG43">
        <v>89.752134307999995</v>
      </c>
      <c r="BH43">
        <v>92.587096328499996</v>
      </c>
      <c r="BI43">
        <v>106.058974277</v>
      </c>
      <c r="BJ43">
        <v>105.329799564</v>
      </c>
      <c r="BK43">
        <v>91.620475851500004</v>
      </c>
      <c r="BL43">
        <v>92.139229025299997</v>
      </c>
      <c r="BM43">
        <v>96.656850506799998</v>
      </c>
      <c r="BN43">
        <v>99.846463207200003</v>
      </c>
      <c r="BO43">
        <v>85.913734270800006</v>
      </c>
      <c r="BP43">
        <v>83.799791701399997</v>
      </c>
      <c r="BQ43">
        <v>82.902379276000005</v>
      </c>
      <c r="BR43">
        <v>112.13475475200001</v>
      </c>
      <c r="BS43">
        <v>107.510329517</v>
      </c>
      <c r="BT43">
        <v>113.573083678</v>
      </c>
      <c r="BU43">
        <v>101.286335854</v>
      </c>
      <c r="BV43">
        <v>87.979392179200005</v>
      </c>
      <c r="BW43">
        <v>92.099004551500002</v>
      </c>
      <c r="BX43">
        <v>73.430955127800004</v>
      </c>
      <c r="BY43">
        <v>103.507487942</v>
      </c>
      <c r="BZ43">
        <v>106.683432862</v>
      </c>
      <c r="CA43">
        <v>110.444428311</v>
      </c>
      <c r="CB43">
        <v>96.654714078599994</v>
      </c>
      <c r="CC43">
        <v>96.018005394400006</v>
      </c>
      <c r="CD43">
        <v>104.388900245</v>
      </c>
      <c r="CE43">
        <v>100.348543691</v>
      </c>
      <c r="CF43">
        <v>88.110375039999994</v>
      </c>
      <c r="CG43">
        <v>99.3290262111</v>
      </c>
      <c r="CH43">
        <v>122.361587012</v>
      </c>
      <c r="CI43">
        <v>108.57221857099999</v>
      </c>
      <c r="CJ43">
        <v>100.611035837</v>
      </c>
      <c r="CK43">
        <v>93.129308606899997</v>
      </c>
      <c r="CL43">
        <v>83.946459905400005</v>
      </c>
      <c r="CM43">
        <v>95.696284741499994</v>
      </c>
      <c r="CN43">
        <v>94.964939446399995</v>
      </c>
      <c r="CO43">
        <v>125.071337148</v>
      </c>
      <c r="CP43">
        <v>92.936446753400006</v>
      </c>
      <c r="CQ43">
        <v>103.818453713</v>
      </c>
      <c r="CR43">
        <v>102.995135804</v>
      </c>
      <c r="CS43">
        <v>105.117179119</v>
      </c>
      <c r="CT43">
        <v>111.010265949</v>
      </c>
      <c r="CU43">
        <v>106.520018556</v>
      </c>
      <c r="CV43">
        <v>83.374523396900003</v>
      </c>
      <c r="CW43">
        <v>110.238304211</v>
      </c>
      <c r="CX43">
        <v>117.699408546</v>
      </c>
      <c r="CY43">
        <v>106.917518761</v>
      </c>
      <c r="CZ43">
        <v>109.78774005</v>
      </c>
      <c r="DA43">
        <v>119.90878036399999</v>
      </c>
      <c r="DB43">
        <v>79.788660680299998</v>
      </c>
      <c r="DC43">
        <v>97.561628529700002</v>
      </c>
      <c r="DD43">
        <v>87.942384870699996</v>
      </c>
      <c r="DE43">
        <v>105.327759688</v>
      </c>
      <c r="DF43">
        <v>85.891519298800006</v>
      </c>
      <c r="DG43">
        <v>88.213945530499998</v>
      </c>
      <c r="DH43">
        <v>102.678806201</v>
      </c>
    </row>
    <row r="44" spans="1:112" x14ac:dyDescent="0.25">
      <c r="A44" s="8">
        <f t="shared" si="0"/>
        <v>89.931093585035356</v>
      </c>
      <c r="B44" s="9">
        <f>AVERAGE($C$2:C44)</f>
        <v>4.4990437502554155</v>
      </c>
      <c r="C44" s="9">
        <f t="shared" si="1"/>
        <v>4.5403377483546317</v>
      </c>
      <c r="D44" s="6">
        <f>AVERAGE($G$2:G44)</f>
        <v>92.131334774260011</v>
      </c>
      <c r="E44" s="6">
        <f>AVERAGE($H$2:H44)</f>
        <v>90.062822615318183</v>
      </c>
      <c r="F44" s="6">
        <f>AVERAGE($M$2:M44)</f>
        <v>90.033906888148834</v>
      </c>
      <c r="G44" s="6" t="b">
        <f t="shared" si="2"/>
        <v>0</v>
      </c>
      <c r="H44" t="b">
        <f t="shared" si="3"/>
        <v>0</v>
      </c>
      <c r="I44" s="6">
        <f t="shared" si="4"/>
        <v>-2.8915727169348315E-2</v>
      </c>
      <c r="J44" s="6">
        <f t="shared" si="5"/>
        <v>-2.097427886111177</v>
      </c>
      <c r="K44">
        <v>42</v>
      </c>
      <c r="L44">
        <f>L43+Asian!dt</f>
        <v>0.42000000000000021</v>
      </c>
      <c r="M44">
        <v>93.722449377499998</v>
      </c>
      <c r="N44">
        <v>86.298377697700005</v>
      </c>
      <c r="O44">
        <v>101.329005823</v>
      </c>
      <c r="P44">
        <v>101.06729035799999</v>
      </c>
      <c r="Q44">
        <v>76.187018840500002</v>
      </c>
      <c r="R44">
        <v>92.866981313899998</v>
      </c>
      <c r="S44">
        <v>118.36754578199999</v>
      </c>
      <c r="T44">
        <v>71.183229140500003</v>
      </c>
      <c r="U44">
        <v>120.24574588199999</v>
      </c>
      <c r="V44">
        <v>104.87497620400001</v>
      </c>
      <c r="W44">
        <v>107.34889323599999</v>
      </c>
      <c r="X44">
        <v>111.92976578699999</v>
      </c>
      <c r="Y44">
        <v>85.893817881800004</v>
      </c>
      <c r="Z44">
        <v>116.444436504</v>
      </c>
      <c r="AA44">
        <v>102.942828511</v>
      </c>
      <c r="AB44">
        <v>93.550257275700005</v>
      </c>
      <c r="AC44">
        <v>86.447461817999994</v>
      </c>
      <c r="AD44">
        <v>97.569975986100005</v>
      </c>
      <c r="AE44">
        <v>130.646405268</v>
      </c>
      <c r="AF44">
        <v>104.450233719</v>
      </c>
      <c r="AG44">
        <v>102.95273741299999</v>
      </c>
      <c r="AH44">
        <v>100.562845694</v>
      </c>
      <c r="AI44">
        <v>79.1609088636</v>
      </c>
      <c r="AJ44">
        <v>90.581001617300004</v>
      </c>
      <c r="AK44">
        <v>117.849324838</v>
      </c>
      <c r="AL44">
        <v>105.332777045</v>
      </c>
      <c r="AM44">
        <v>99.891177800700007</v>
      </c>
      <c r="AN44">
        <v>123.405994119</v>
      </c>
      <c r="AO44">
        <v>89.965255390199999</v>
      </c>
      <c r="AP44">
        <v>80.291471233699994</v>
      </c>
      <c r="AQ44">
        <v>100.725273589</v>
      </c>
      <c r="AR44">
        <v>98.343744090000001</v>
      </c>
      <c r="AS44">
        <v>118.49773168</v>
      </c>
      <c r="AT44">
        <v>92.852954319600002</v>
      </c>
      <c r="AU44">
        <v>94.512319269100004</v>
      </c>
      <c r="AV44">
        <v>104.99065750600001</v>
      </c>
      <c r="AW44">
        <v>119.32086232499999</v>
      </c>
      <c r="AX44">
        <v>102.978782028</v>
      </c>
      <c r="AY44">
        <v>90.9908416902</v>
      </c>
      <c r="AZ44">
        <v>119.179245679</v>
      </c>
      <c r="BA44">
        <v>118.707608239</v>
      </c>
      <c r="BB44">
        <v>109.796352669</v>
      </c>
      <c r="BC44">
        <v>116.061888447</v>
      </c>
      <c r="BD44">
        <v>100.25019079800001</v>
      </c>
      <c r="BE44">
        <v>95.292218141700005</v>
      </c>
      <c r="BF44">
        <v>82.381409948200002</v>
      </c>
      <c r="BG44">
        <v>90.676772835099996</v>
      </c>
      <c r="BH44">
        <v>94.581026209599997</v>
      </c>
      <c r="BI44">
        <v>102.95698305099999</v>
      </c>
      <c r="BJ44">
        <v>105.93290100599999</v>
      </c>
      <c r="BK44">
        <v>92.743377044699997</v>
      </c>
      <c r="BL44">
        <v>91.760025573099995</v>
      </c>
      <c r="BM44">
        <v>98.279109044699993</v>
      </c>
      <c r="BN44">
        <v>101.143298593</v>
      </c>
      <c r="BO44">
        <v>86.128121280499997</v>
      </c>
      <c r="BP44">
        <v>82.777900514799995</v>
      </c>
      <c r="BQ44">
        <v>85.567807469000002</v>
      </c>
      <c r="BR44">
        <v>112.034859157</v>
      </c>
      <c r="BS44">
        <v>109.792622858</v>
      </c>
      <c r="BT44">
        <v>111.80533385</v>
      </c>
      <c r="BU44">
        <v>101.83531121999999</v>
      </c>
      <c r="BV44">
        <v>87.765868462900002</v>
      </c>
      <c r="BW44">
        <v>92.350744973999994</v>
      </c>
      <c r="BX44">
        <v>78.116544319900001</v>
      </c>
      <c r="BY44">
        <v>103.388590112</v>
      </c>
      <c r="BZ44">
        <v>105.492248627</v>
      </c>
      <c r="CA44">
        <v>108.853434458</v>
      </c>
      <c r="CB44">
        <v>94.245435636400003</v>
      </c>
      <c r="CC44">
        <v>92.827705085100007</v>
      </c>
      <c r="CD44">
        <v>103.635356878</v>
      </c>
      <c r="CE44">
        <v>98.279788661200001</v>
      </c>
      <c r="CF44">
        <v>89.418487280600004</v>
      </c>
      <c r="CG44">
        <v>97.249202630200003</v>
      </c>
      <c r="CH44">
        <v>122.788082679</v>
      </c>
      <c r="CI44">
        <v>109.688466577</v>
      </c>
      <c r="CJ44">
        <v>101.80694809000001</v>
      </c>
      <c r="CK44">
        <v>95.092242996799996</v>
      </c>
      <c r="CL44">
        <v>81.808951668000006</v>
      </c>
      <c r="CM44">
        <v>93.792185684200007</v>
      </c>
      <c r="CN44">
        <v>97.120209011200004</v>
      </c>
      <c r="CO44">
        <v>133.73335483700001</v>
      </c>
      <c r="CP44">
        <v>90.726529522600003</v>
      </c>
      <c r="CQ44">
        <v>105.81012777399999</v>
      </c>
      <c r="CR44">
        <v>105.052741023</v>
      </c>
      <c r="CS44">
        <v>104.22293923399999</v>
      </c>
      <c r="CT44">
        <v>107.47861994</v>
      </c>
      <c r="CU44">
        <v>108.15001353700001</v>
      </c>
      <c r="CV44">
        <v>86.980455650099998</v>
      </c>
      <c r="CW44">
        <v>110.08572863099999</v>
      </c>
      <c r="CX44">
        <v>118.35939375</v>
      </c>
      <c r="CY44">
        <v>107.52475948599999</v>
      </c>
      <c r="CZ44">
        <v>106.21934539</v>
      </c>
      <c r="DA44">
        <v>120.65521892700001</v>
      </c>
      <c r="DB44">
        <v>79.410859189099995</v>
      </c>
      <c r="DC44">
        <v>98.839296943999997</v>
      </c>
      <c r="DD44">
        <v>86.5460080788</v>
      </c>
      <c r="DE44">
        <v>104.94618059</v>
      </c>
      <c r="DF44">
        <v>85.570675717399993</v>
      </c>
      <c r="DG44">
        <v>87.806721423400006</v>
      </c>
      <c r="DH44">
        <v>102.181974571</v>
      </c>
    </row>
    <row r="45" spans="1:112" x14ac:dyDescent="0.25">
      <c r="A45" s="8">
        <f t="shared" si="0"/>
        <v>90.022187939677011</v>
      </c>
      <c r="B45" s="9">
        <f>AVERAGE($C$2:C45)</f>
        <v>4.5000561726091597</v>
      </c>
      <c r="C45" s="9">
        <f t="shared" si="1"/>
        <v>4.5435903338201289</v>
      </c>
      <c r="D45" s="6">
        <f>AVERAGE($G$2:G45)</f>
        <v>92.131334774260011</v>
      </c>
      <c r="E45" s="6">
        <f>AVERAGE($H$2:H45)</f>
        <v>90.062822615318183</v>
      </c>
      <c r="F45" s="6">
        <f>AVERAGE($M$2:M45)</f>
        <v>90.124676866863624</v>
      </c>
      <c r="G45" s="6" t="b">
        <f t="shared" si="2"/>
        <v>0</v>
      </c>
      <c r="H45" t="b">
        <f t="shared" si="3"/>
        <v>0</v>
      </c>
      <c r="I45" s="6">
        <f t="shared" si="4"/>
        <v>6.1854251545440775E-2</v>
      </c>
      <c r="J45" s="6">
        <f t="shared" si="5"/>
        <v>-2.0066579073963879</v>
      </c>
      <c r="K45">
        <v>43</v>
      </c>
      <c r="L45">
        <f>L44+Asian!dt</f>
        <v>0.43000000000000022</v>
      </c>
      <c r="M45">
        <v>94.027785951599995</v>
      </c>
      <c r="N45">
        <v>86.509947818900002</v>
      </c>
      <c r="O45">
        <v>103.289612629</v>
      </c>
      <c r="P45">
        <v>100.666552283</v>
      </c>
      <c r="Q45">
        <v>75.4221430841</v>
      </c>
      <c r="R45">
        <v>92.353633236600004</v>
      </c>
      <c r="S45">
        <v>114.13768509400001</v>
      </c>
      <c r="T45">
        <v>72.316121109999997</v>
      </c>
      <c r="U45">
        <v>120.99051308999999</v>
      </c>
      <c r="V45">
        <v>102.84157065700001</v>
      </c>
      <c r="W45">
        <v>107.293122196</v>
      </c>
      <c r="X45">
        <v>112.464656378</v>
      </c>
      <c r="Y45">
        <v>86.919040282799997</v>
      </c>
      <c r="Z45">
        <v>115.880442668</v>
      </c>
      <c r="AA45">
        <v>105.359458649</v>
      </c>
      <c r="AB45">
        <v>96.9201191163</v>
      </c>
      <c r="AC45">
        <v>88.407672882699998</v>
      </c>
      <c r="AD45">
        <v>99.572873431900007</v>
      </c>
      <c r="AE45">
        <v>133.88804111100001</v>
      </c>
      <c r="AF45">
        <v>103.70056841100001</v>
      </c>
      <c r="AG45">
        <v>99.528362919200006</v>
      </c>
      <c r="AH45">
        <v>103.078683184</v>
      </c>
      <c r="AI45">
        <v>79.490783731199997</v>
      </c>
      <c r="AJ45">
        <v>86.913596818000002</v>
      </c>
      <c r="AK45">
        <v>114.89297682900001</v>
      </c>
      <c r="AL45">
        <v>104.102694286</v>
      </c>
      <c r="AM45">
        <v>98.631097167899995</v>
      </c>
      <c r="AN45">
        <v>121.13356866300001</v>
      </c>
      <c r="AO45">
        <v>89.827608138900004</v>
      </c>
      <c r="AP45">
        <v>78.896515471100003</v>
      </c>
      <c r="AQ45">
        <v>105.042778807</v>
      </c>
      <c r="AR45">
        <v>98.667072270199995</v>
      </c>
      <c r="AS45">
        <v>116.8110889</v>
      </c>
      <c r="AT45">
        <v>93.604619511999999</v>
      </c>
      <c r="AU45">
        <v>92.485493067099995</v>
      </c>
      <c r="AV45">
        <v>106.210649369</v>
      </c>
      <c r="AW45">
        <v>122.63272297</v>
      </c>
      <c r="AX45">
        <v>104.479781836</v>
      </c>
      <c r="AY45">
        <v>91.669305868600006</v>
      </c>
      <c r="AZ45">
        <v>122.411469588</v>
      </c>
      <c r="BA45">
        <v>119.971224554</v>
      </c>
      <c r="BB45">
        <v>107.29045067600001</v>
      </c>
      <c r="BC45">
        <v>115.266706187</v>
      </c>
      <c r="BD45">
        <v>102.046691864</v>
      </c>
      <c r="BE45">
        <v>95.4464510504</v>
      </c>
      <c r="BF45">
        <v>84.025438880199999</v>
      </c>
      <c r="BG45">
        <v>92.727925975900007</v>
      </c>
      <c r="BH45">
        <v>101.05061317000001</v>
      </c>
      <c r="BI45">
        <v>102.70791792999999</v>
      </c>
      <c r="BJ45">
        <v>102.61355453</v>
      </c>
      <c r="BK45">
        <v>93.049593970000004</v>
      </c>
      <c r="BL45">
        <v>93.683278049999998</v>
      </c>
      <c r="BM45">
        <v>98.096392936800001</v>
      </c>
      <c r="BN45">
        <v>100.396715949</v>
      </c>
      <c r="BO45">
        <v>84.054446399100001</v>
      </c>
      <c r="BP45">
        <v>83.798558782800001</v>
      </c>
      <c r="BQ45">
        <v>85.642188622600003</v>
      </c>
      <c r="BR45">
        <v>110.837644551</v>
      </c>
      <c r="BS45">
        <v>110.399822715</v>
      </c>
      <c r="BT45">
        <v>114.034923115</v>
      </c>
      <c r="BU45">
        <v>103.402849718</v>
      </c>
      <c r="BV45">
        <v>88.429398912300002</v>
      </c>
      <c r="BW45">
        <v>94.222542293900005</v>
      </c>
      <c r="BX45">
        <v>79.454614575799994</v>
      </c>
      <c r="BY45">
        <v>103.104324822</v>
      </c>
      <c r="BZ45">
        <v>106.267168099</v>
      </c>
      <c r="CA45">
        <v>109.593605732</v>
      </c>
      <c r="CB45">
        <v>98.017533991500002</v>
      </c>
      <c r="CC45">
        <v>90.398521504300007</v>
      </c>
      <c r="CD45">
        <v>103.152687637</v>
      </c>
      <c r="CE45">
        <v>96.479641107099994</v>
      </c>
      <c r="CF45">
        <v>91.589787815799994</v>
      </c>
      <c r="CG45">
        <v>95.552777739800007</v>
      </c>
      <c r="CH45">
        <v>122.55548814700001</v>
      </c>
      <c r="CI45">
        <v>108.22261855799999</v>
      </c>
      <c r="CJ45">
        <v>101.11482522599999</v>
      </c>
      <c r="CK45">
        <v>95.323989210700006</v>
      </c>
      <c r="CL45">
        <v>82.8572158307</v>
      </c>
      <c r="CM45">
        <v>90.349826332899994</v>
      </c>
      <c r="CN45">
        <v>95.543255375599998</v>
      </c>
      <c r="CO45">
        <v>132.540555168</v>
      </c>
      <c r="CP45">
        <v>91.975476786000002</v>
      </c>
      <c r="CQ45">
        <v>109.139630075</v>
      </c>
      <c r="CR45">
        <v>104.794577168</v>
      </c>
      <c r="CS45">
        <v>100.973441416</v>
      </c>
      <c r="CT45">
        <v>109.66523763799999</v>
      </c>
      <c r="CU45">
        <v>106.961254756</v>
      </c>
      <c r="CV45">
        <v>86.639195819500003</v>
      </c>
      <c r="CW45">
        <v>114.307153859</v>
      </c>
      <c r="CX45">
        <v>120.410624012</v>
      </c>
      <c r="CY45">
        <v>107.149463455</v>
      </c>
      <c r="CZ45">
        <v>106.72042554399999</v>
      </c>
      <c r="DA45">
        <v>120.51477348100001</v>
      </c>
      <c r="DB45">
        <v>79.533848056699995</v>
      </c>
      <c r="DC45">
        <v>100.544371369</v>
      </c>
      <c r="DD45">
        <v>86.090216722400001</v>
      </c>
      <c r="DE45">
        <v>103.3168852</v>
      </c>
      <c r="DF45">
        <v>83.549410282799997</v>
      </c>
      <c r="DG45">
        <v>87.977896415100005</v>
      </c>
      <c r="DH45">
        <v>99.915481072600002</v>
      </c>
    </row>
    <row r="46" spans="1:112" x14ac:dyDescent="0.25">
      <c r="A46" s="8">
        <f t="shared" si="0"/>
        <v>90.105712820843152</v>
      </c>
      <c r="B46" s="9">
        <f>AVERAGE($C$2:C46)</f>
        <v>4.5009835679410308</v>
      </c>
      <c r="C46" s="9">
        <f t="shared" si="1"/>
        <v>4.5417889625434018</v>
      </c>
      <c r="D46" s="6">
        <f>AVERAGE($G$2:G46)</f>
        <v>92.131334774260011</v>
      </c>
      <c r="E46" s="6">
        <f>AVERAGE($H$2:H46)</f>
        <v>90.37913401940834</v>
      </c>
      <c r="F46" s="6">
        <f>AVERAGE($M$2:M46)</f>
        <v>90.207652035697777</v>
      </c>
      <c r="G46" s="6" t="b">
        <f t="shared" si="2"/>
        <v>0</v>
      </c>
      <c r="H46">
        <f t="shared" si="3"/>
        <v>93.858559464400003</v>
      </c>
      <c r="I46" s="6">
        <f t="shared" si="4"/>
        <v>-0.17148198371056367</v>
      </c>
      <c r="J46" s="6">
        <f t="shared" si="5"/>
        <v>-1.9236827385622348</v>
      </c>
      <c r="K46">
        <v>44</v>
      </c>
      <c r="L46">
        <f>L45+Asian!dt</f>
        <v>0.44000000000000022</v>
      </c>
      <c r="M46">
        <v>93.858559464400003</v>
      </c>
      <c r="N46">
        <v>85.9392688784</v>
      </c>
      <c r="O46">
        <v>103.73226505</v>
      </c>
      <c r="P46">
        <v>96.191699718500004</v>
      </c>
      <c r="Q46">
        <v>76.535478549900006</v>
      </c>
      <c r="R46">
        <v>92.349593306299994</v>
      </c>
      <c r="S46">
        <v>118.313360651</v>
      </c>
      <c r="T46">
        <v>73.107685501600002</v>
      </c>
      <c r="U46">
        <v>119.434798814</v>
      </c>
      <c r="V46">
        <v>104.045207037</v>
      </c>
      <c r="W46">
        <v>104.944374912</v>
      </c>
      <c r="X46">
        <v>115.31885134300001</v>
      </c>
      <c r="Y46">
        <v>86.450308126600007</v>
      </c>
      <c r="Z46">
        <v>114.61434030700001</v>
      </c>
      <c r="AA46">
        <v>102.93430211499999</v>
      </c>
      <c r="AB46">
        <v>96.237270740900001</v>
      </c>
      <c r="AC46">
        <v>86.534389899800004</v>
      </c>
      <c r="AD46">
        <v>101.456596092</v>
      </c>
      <c r="AE46">
        <v>138.52311643100001</v>
      </c>
      <c r="AF46">
        <v>105.83038901800001</v>
      </c>
      <c r="AG46">
        <v>97.856297381800005</v>
      </c>
      <c r="AH46">
        <v>106.11921418199999</v>
      </c>
      <c r="AI46">
        <v>78.4942201872</v>
      </c>
      <c r="AJ46">
        <v>86.642514238100006</v>
      </c>
      <c r="AK46">
        <v>116.753634726</v>
      </c>
      <c r="AL46">
        <v>105.169910423</v>
      </c>
      <c r="AM46">
        <v>96.719589119000005</v>
      </c>
      <c r="AN46">
        <v>120.993722547</v>
      </c>
      <c r="AO46">
        <v>90.432980528800002</v>
      </c>
      <c r="AP46">
        <v>78.746553188199996</v>
      </c>
      <c r="AQ46">
        <v>104.764099535</v>
      </c>
      <c r="AR46">
        <v>100.46065959800001</v>
      </c>
      <c r="AS46">
        <v>114.966545356</v>
      </c>
      <c r="AT46">
        <v>91.421407221099997</v>
      </c>
      <c r="AU46">
        <v>96.012224700100006</v>
      </c>
      <c r="AV46">
        <v>106.86733243</v>
      </c>
      <c r="AW46">
        <v>122.71597787899999</v>
      </c>
      <c r="AX46">
        <v>101.79365917699999</v>
      </c>
      <c r="AY46">
        <v>89.812220441700006</v>
      </c>
      <c r="AZ46">
        <v>120.00668849100001</v>
      </c>
      <c r="BA46">
        <v>123.909557901</v>
      </c>
      <c r="BB46">
        <v>109.336699534</v>
      </c>
      <c r="BC46">
        <v>115.954948489</v>
      </c>
      <c r="BD46">
        <v>101.492594974</v>
      </c>
      <c r="BE46">
        <v>97.829536957100004</v>
      </c>
      <c r="BF46">
        <v>81.994444376600001</v>
      </c>
      <c r="BG46">
        <v>92.995207144199995</v>
      </c>
      <c r="BH46">
        <v>101.03524107600001</v>
      </c>
      <c r="BI46">
        <v>101.997055852</v>
      </c>
      <c r="BJ46">
        <v>102.130769609</v>
      </c>
      <c r="BK46">
        <v>95.204916413500001</v>
      </c>
      <c r="BL46">
        <v>91.375939365099995</v>
      </c>
      <c r="BM46">
        <v>96.199327595300005</v>
      </c>
      <c r="BN46">
        <v>103.50217195099999</v>
      </c>
      <c r="BO46">
        <v>84.744350977300002</v>
      </c>
      <c r="BP46">
        <v>81.217608268299998</v>
      </c>
      <c r="BQ46">
        <v>86.016181375200006</v>
      </c>
      <c r="BR46">
        <v>111.51400085500001</v>
      </c>
      <c r="BS46">
        <v>109.070188027</v>
      </c>
      <c r="BT46">
        <v>114.52165946700001</v>
      </c>
      <c r="BU46">
        <v>103.385942009</v>
      </c>
      <c r="BV46">
        <v>89.076315840700005</v>
      </c>
      <c r="BW46">
        <v>94.099110124899994</v>
      </c>
      <c r="BX46">
        <v>81.037685222199997</v>
      </c>
      <c r="BY46">
        <v>101.926063916</v>
      </c>
      <c r="BZ46">
        <v>107.620110599</v>
      </c>
      <c r="CA46">
        <v>111.90688213999999</v>
      </c>
      <c r="CB46">
        <v>96.179216706099993</v>
      </c>
      <c r="CC46">
        <v>87.755790729500006</v>
      </c>
      <c r="CD46">
        <v>99.712903414899998</v>
      </c>
      <c r="CE46">
        <v>94.162424138299997</v>
      </c>
      <c r="CF46">
        <v>92.525668277500003</v>
      </c>
      <c r="CG46">
        <v>96.186188537999996</v>
      </c>
      <c r="CH46">
        <v>119.429180085</v>
      </c>
      <c r="CI46">
        <v>109.87154295000001</v>
      </c>
      <c r="CJ46">
        <v>100.822224435</v>
      </c>
      <c r="CK46">
        <v>94.399710453099999</v>
      </c>
      <c r="CL46">
        <v>82.166771542299998</v>
      </c>
      <c r="CM46">
        <v>92.522882788499999</v>
      </c>
      <c r="CN46">
        <v>97.435257074600003</v>
      </c>
      <c r="CO46">
        <v>135.65206171200001</v>
      </c>
      <c r="CP46">
        <v>87.503379598999999</v>
      </c>
      <c r="CQ46">
        <v>106.20713371399999</v>
      </c>
      <c r="CR46">
        <v>99.835856117099993</v>
      </c>
      <c r="CS46">
        <v>101.927804389</v>
      </c>
      <c r="CT46">
        <v>111.206978222</v>
      </c>
      <c r="CU46">
        <v>106.105336029</v>
      </c>
      <c r="CV46">
        <v>88.556638310799997</v>
      </c>
      <c r="CW46">
        <v>116.777679838</v>
      </c>
      <c r="CX46">
        <v>123.778670672</v>
      </c>
      <c r="CY46">
        <v>105.979258762</v>
      </c>
      <c r="CZ46">
        <v>108.41019878199999</v>
      </c>
      <c r="DA46">
        <v>120.25861163</v>
      </c>
      <c r="DB46">
        <v>78.887537644800005</v>
      </c>
      <c r="DC46">
        <v>100.181839849</v>
      </c>
      <c r="DD46">
        <v>86.440630703899998</v>
      </c>
      <c r="DE46">
        <v>106.960653308</v>
      </c>
      <c r="DF46">
        <v>81.927051457900006</v>
      </c>
      <c r="DG46">
        <v>89.0087191975</v>
      </c>
      <c r="DH46">
        <v>100.711019382</v>
      </c>
    </row>
    <row r="47" spans="1:112" x14ac:dyDescent="0.25">
      <c r="A47" s="8">
        <f t="shared" si="0"/>
        <v>90.151695393611604</v>
      </c>
      <c r="B47" s="9">
        <f>AVERAGE($C$2:C47)</f>
        <v>4.5014937558353463</v>
      </c>
      <c r="C47" s="9">
        <f t="shared" si="1"/>
        <v>4.5244522110795291</v>
      </c>
      <c r="D47" s="6">
        <f>AVERAGE($G$2:G47)</f>
        <v>92.131334774260011</v>
      </c>
      <c r="E47" s="6">
        <f>AVERAGE($H$2:H47)</f>
        <v>90.37913401940834</v>
      </c>
      <c r="F47" s="6">
        <f>AVERAGE($M$2:M47)</f>
        <v>90.251950491189135</v>
      </c>
      <c r="G47" s="6" t="b">
        <f t="shared" si="2"/>
        <v>0</v>
      </c>
      <c r="H47" t="b">
        <f t="shared" si="3"/>
        <v>0</v>
      </c>
      <c r="I47" s="6">
        <f t="shared" si="4"/>
        <v>-0.12718352821920575</v>
      </c>
      <c r="J47" s="6">
        <f t="shared" si="5"/>
        <v>-1.8793842830708769</v>
      </c>
      <c r="K47">
        <v>45</v>
      </c>
      <c r="L47">
        <f>L46+Asian!dt</f>
        <v>0.45000000000000023</v>
      </c>
      <c r="M47">
        <v>92.245380988299999</v>
      </c>
      <c r="N47">
        <v>84.448892998399998</v>
      </c>
      <c r="O47">
        <v>101.727860537</v>
      </c>
      <c r="P47">
        <v>94.649894489000005</v>
      </c>
      <c r="Q47">
        <v>79.356584496400004</v>
      </c>
      <c r="R47">
        <v>91.476942984000004</v>
      </c>
      <c r="S47">
        <v>121.54812081599999</v>
      </c>
      <c r="T47">
        <v>73.380242517599996</v>
      </c>
      <c r="U47">
        <v>117.123444142</v>
      </c>
      <c r="V47">
        <v>105.430791954</v>
      </c>
      <c r="W47">
        <v>107.921226968</v>
      </c>
      <c r="X47">
        <v>120.41007113400001</v>
      </c>
      <c r="Y47">
        <v>87.947967004899994</v>
      </c>
      <c r="Z47">
        <v>114.31766548900001</v>
      </c>
      <c r="AA47">
        <v>104.15750408</v>
      </c>
      <c r="AB47">
        <v>97.885009696699996</v>
      </c>
      <c r="AC47">
        <v>86.208369595400001</v>
      </c>
      <c r="AD47">
        <v>99.279585025200006</v>
      </c>
      <c r="AE47">
        <v>134.19522876799999</v>
      </c>
      <c r="AF47">
        <v>108.919357644</v>
      </c>
      <c r="AG47">
        <v>97.956220954000003</v>
      </c>
      <c r="AH47">
        <v>106.16668087399999</v>
      </c>
      <c r="AI47">
        <v>79.949021653800003</v>
      </c>
      <c r="AJ47">
        <v>86.610406869100004</v>
      </c>
      <c r="AK47">
        <v>115.98804982599999</v>
      </c>
      <c r="AL47">
        <v>107.79550567299999</v>
      </c>
      <c r="AM47">
        <v>99.303078978100004</v>
      </c>
      <c r="AN47">
        <v>116.965067085</v>
      </c>
      <c r="AO47">
        <v>90.979420621100004</v>
      </c>
      <c r="AP47">
        <v>81.031807572299996</v>
      </c>
      <c r="AQ47">
        <v>105.085468945</v>
      </c>
      <c r="AR47">
        <v>101.10952569600001</v>
      </c>
      <c r="AS47">
        <v>117.713720481</v>
      </c>
      <c r="AT47">
        <v>91.298736391299997</v>
      </c>
      <c r="AU47">
        <v>96.061792934799996</v>
      </c>
      <c r="AV47">
        <v>110.963454305</v>
      </c>
      <c r="AW47">
        <v>122.470390994</v>
      </c>
      <c r="AX47">
        <v>104.417821059</v>
      </c>
      <c r="AY47">
        <v>87.226807742399998</v>
      </c>
      <c r="AZ47">
        <v>121.28636104100001</v>
      </c>
      <c r="BA47">
        <v>120.17809316</v>
      </c>
      <c r="BB47">
        <v>108.37574675800001</v>
      </c>
      <c r="BC47">
        <v>116.386298799</v>
      </c>
      <c r="BD47">
        <v>105.007867426</v>
      </c>
      <c r="BE47">
        <v>99.555673259700001</v>
      </c>
      <c r="BF47">
        <v>81.779362804100003</v>
      </c>
      <c r="BG47">
        <v>90.810074006899995</v>
      </c>
      <c r="BH47">
        <v>100.568289937</v>
      </c>
      <c r="BI47">
        <v>104.260250114</v>
      </c>
      <c r="BJ47">
        <v>98.813066775799996</v>
      </c>
      <c r="BK47">
        <v>91.837615308300002</v>
      </c>
      <c r="BL47">
        <v>90.538383431599996</v>
      </c>
      <c r="BM47">
        <v>94.459689361700001</v>
      </c>
      <c r="BN47">
        <v>101.713112162</v>
      </c>
      <c r="BO47">
        <v>82.537471453400002</v>
      </c>
      <c r="BP47">
        <v>82.322505501600006</v>
      </c>
      <c r="BQ47">
        <v>84.926275380600003</v>
      </c>
      <c r="BR47">
        <v>113.10750355899999</v>
      </c>
      <c r="BS47">
        <v>108.558127981</v>
      </c>
      <c r="BT47">
        <v>115.353266667</v>
      </c>
      <c r="BU47">
        <v>104.07636202800001</v>
      </c>
      <c r="BV47">
        <v>87.070052855499995</v>
      </c>
      <c r="BW47">
        <v>92.810390488300001</v>
      </c>
      <c r="BX47">
        <v>80.324673726399993</v>
      </c>
      <c r="BY47">
        <v>98.816893547199996</v>
      </c>
      <c r="BZ47">
        <v>104.35357140399999</v>
      </c>
      <c r="CA47">
        <v>110.194161202</v>
      </c>
      <c r="CB47">
        <v>96.066745785699993</v>
      </c>
      <c r="CC47">
        <v>87.937075276000002</v>
      </c>
      <c r="CD47">
        <v>98.2296400667</v>
      </c>
      <c r="CE47">
        <v>93.5046336435</v>
      </c>
      <c r="CF47">
        <v>92.885358943100002</v>
      </c>
      <c r="CG47">
        <v>95.88334073</v>
      </c>
      <c r="CH47">
        <v>118.383137049</v>
      </c>
      <c r="CI47">
        <v>107.92196378200001</v>
      </c>
      <c r="CJ47">
        <v>99.439378014300004</v>
      </c>
      <c r="CK47">
        <v>92.8988436323</v>
      </c>
      <c r="CL47">
        <v>85.258418916400004</v>
      </c>
      <c r="CM47">
        <v>93.593586696200006</v>
      </c>
      <c r="CN47">
        <v>95.201104860699999</v>
      </c>
      <c r="CO47">
        <v>137.92598408999999</v>
      </c>
      <c r="CP47">
        <v>86.789775697300001</v>
      </c>
      <c r="CQ47">
        <v>109.421977419</v>
      </c>
      <c r="CR47">
        <v>102.258960849</v>
      </c>
      <c r="CS47">
        <v>100.790243758</v>
      </c>
      <c r="CT47">
        <v>112.63131242999999</v>
      </c>
      <c r="CU47">
        <v>108.71523686499999</v>
      </c>
      <c r="CV47">
        <v>88.063998551899999</v>
      </c>
      <c r="CW47">
        <v>112.041037342</v>
      </c>
      <c r="CX47">
        <v>124.60071855699999</v>
      </c>
      <c r="CY47">
        <v>107.70155992399999</v>
      </c>
      <c r="CZ47">
        <v>105.939511013</v>
      </c>
      <c r="DA47">
        <v>121.489417864</v>
      </c>
      <c r="DB47">
        <v>79.072120849699999</v>
      </c>
      <c r="DC47">
        <v>102.50916364299999</v>
      </c>
      <c r="DD47">
        <v>87.330974106100001</v>
      </c>
      <c r="DE47">
        <v>107.138954083</v>
      </c>
      <c r="DF47">
        <v>80.970177533699996</v>
      </c>
      <c r="DG47">
        <v>91.267325505100004</v>
      </c>
      <c r="DH47">
        <v>100.7925985</v>
      </c>
    </row>
    <row r="48" spans="1:112" x14ac:dyDescent="0.25">
      <c r="A48" s="8">
        <f t="shared" si="0"/>
        <v>90.241566361734016</v>
      </c>
      <c r="B48" s="9">
        <f>AVERAGE($C$2:C48)</f>
        <v>4.5024901453310866</v>
      </c>
      <c r="C48" s="9">
        <f t="shared" si="1"/>
        <v>4.5483240621351362</v>
      </c>
      <c r="D48" s="6">
        <f>AVERAGE($G$2:G48)</f>
        <v>92.131334774260011</v>
      </c>
      <c r="E48" s="6">
        <f>AVERAGE($H$2:H48)</f>
        <v>90.37913401940834</v>
      </c>
      <c r="F48" s="6">
        <f>AVERAGE($M$2:M48)</f>
        <v>90.341780121261706</v>
      </c>
      <c r="G48" s="6" t="b">
        <f t="shared" si="2"/>
        <v>0</v>
      </c>
      <c r="H48" t="b">
        <f t="shared" si="3"/>
        <v>0</v>
      </c>
      <c r="I48" s="6">
        <f t="shared" si="4"/>
        <v>-3.7353898146633924E-2</v>
      </c>
      <c r="J48" s="6">
        <f t="shared" si="5"/>
        <v>-1.7895546529983051</v>
      </c>
      <c r="K48">
        <v>46</v>
      </c>
      <c r="L48">
        <f>L47+Asian!dt</f>
        <v>0.46000000000000024</v>
      </c>
      <c r="M48">
        <v>94.473943104599996</v>
      </c>
      <c r="N48">
        <v>85.957019076400002</v>
      </c>
      <c r="O48">
        <v>103.193336452</v>
      </c>
      <c r="P48">
        <v>96.475606451199994</v>
      </c>
      <c r="Q48">
        <v>78.860932913200003</v>
      </c>
      <c r="R48">
        <v>91.326707011899998</v>
      </c>
      <c r="S48">
        <v>119.70731380399999</v>
      </c>
      <c r="T48">
        <v>71.4484274884</v>
      </c>
      <c r="U48">
        <v>119.501704694</v>
      </c>
      <c r="V48">
        <v>102.572641546</v>
      </c>
      <c r="W48">
        <v>104.854964188</v>
      </c>
      <c r="X48">
        <v>123.45424652299999</v>
      </c>
      <c r="Y48">
        <v>86.330660953099994</v>
      </c>
      <c r="Z48">
        <v>112.40996189400001</v>
      </c>
      <c r="AA48">
        <v>102.89015418300001</v>
      </c>
      <c r="AB48">
        <v>102.307555119</v>
      </c>
      <c r="AC48">
        <v>88.661618455899998</v>
      </c>
      <c r="AD48">
        <v>100.258492253</v>
      </c>
      <c r="AE48">
        <v>133.22696458799999</v>
      </c>
      <c r="AF48">
        <v>110.386548249</v>
      </c>
      <c r="AG48">
        <v>98.922166899700002</v>
      </c>
      <c r="AH48">
        <v>104.407098514</v>
      </c>
      <c r="AI48">
        <v>81.705006798300005</v>
      </c>
      <c r="AJ48">
        <v>85.935245600499996</v>
      </c>
      <c r="AK48">
        <v>115.22286876</v>
      </c>
      <c r="AL48">
        <v>107.661930113</v>
      </c>
      <c r="AM48">
        <v>96.653538170600001</v>
      </c>
      <c r="AN48">
        <v>117.85813063000001</v>
      </c>
      <c r="AO48">
        <v>91.898660266700006</v>
      </c>
      <c r="AP48">
        <v>78.928513219999999</v>
      </c>
      <c r="AQ48">
        <v>109.23195898900001</v>
      </c>
      <c r="AR48">
        <v>97.513758060599997</v>
      </c>
      <c r="AS48">
        <v>116.985596946</v>
      </c>
      <c r="AT48">
        <v>91.555896492700001</v>
      </c>
      <c r="AU48">
        <v>97.915310628499995</v>
      </c>
      <c r="AV48">
        <v>107.70144632500001</v>
      </c>
      <c r="AW48">
        <v>126.47486110600001</v>
      </c>
      <c r="AX48">
        <v>102.32898768699999</v>
      </c>
      <c r="AY48">
        <v>88.465379748000004</v>
      </c>
      <c r="AZ48">
        <v>122.21177273399999</v>
      </c>
      <c r="BA48">
        <v>124.325017906</v>
      </c>
      <c r="BB48">
        <v>107.405128369</v>
      </c>
      <c r="BC48">
        <v>116.136712582</v>
      </c>
      <c r="BD48">
        <v>106.6695967</v>
      </c>
      <c r="BE48">
        <v>103.89965524500001</v>
      </c>
      <c r="BF48">
        <v>84.104388132099999</v>
      </c>
      <c r="BG48">
        <v>91.395001071099998</v>
      </c>
      <c r="BH48">
        <v>101.797345092</v>
      </c>
      <c r="BI48">
        <v>104.343292416</v>
      </c>
      <c r="BJ48">
        <v>102.019111219</v>
      </c>
      <c r="BK48">
        <v>94.806308016700001</v>
      </c>
      <c r="BL48">
        <v>92.921175937900003</v>
      </c>
      <c r="BM48">
        <v>92.701535495399995</v>
      </c>
      <c r="BN48">
        <v>100.947547821</v>
      </c>
      <c r="BO48">
        <v>84.115359409999996</v>
      </c>
      <c r="BP48">
        <v>84.573000329300001</v>
      </c>
      <c r="BQ48">
        <v>83.782160076300002</v>
      </c>
      <c r="BR48">
        <v>111.957279075</v>
      </c>
      <c r="BS48">
        <v>106.00773269600001</v>
      </c>
      <c r="BT48">
        <v>112.719946639</v>
      </c>
      <c r="BU48">
        <v>102.53283344899999</v>
      </c>
      <c r="BV48">
        <v>86.102232715200003</v>
      </c>
      <c r="BW48">
        <v>92.278023366599996</v>
      </c>
      <c r="BX48">
        <v>81.700885697299995</v>
      </c>
      <c r="BY48">
        <v>99.772587836499994</v>
      </c>
      <c r="BZ48">
        <v>105.303212249</v>
      </c>
      <c r="CA48">
        <v>106.120969995</v>
      </c>
      <c r="CB48">
        <v>95.215163242100004</v>
      </c>
      <c r="CC48">
        <v>89.562489049299998</v>
      </c>
      <c r="CD48">
        <v>95.0714980817</v>
      </c>
      <c r="CE48">
        <v>94.557785360599993</v>
      </c>
      <c r="CF48">
        <v>91.629711013800005</v>
      </c>
      <c r="CG48">
        <v>95.694905789100005</v>
      </c>
      <c r="CH48">
        <v>115.953373289</v>
      </c>
      <c r="CI48">
        <v>106.81316150799999</v>
      </c>
      <c r="CJ48">
        <v>98.914120902700006</v>
      </c>
      <c r="CK48">
        <v>93.833880196099997</v>
      </c>
      <c r="CL48">
        <v>86.111427547199995</v>
      </c>
      <c r="CM48">
        <v>91.941235786700005</v>
      </c>
      <c r="CN48">
        <v>97.742772609699998</v>
      </c>
      <c r="CO48">
        <v>141.05409315599999</v>
      </c>
      <c r="CP48">
        <v>85.639755313600006</v>
      </c>
      <c r="CQ48">
        <v>105.91838054599999</v>
      </c>
      <c r="CR48">
        <v>101.527481362</v>
      </c>
      <c r="CS48">
        <v>101.57464164300001</v>
      </c>
      <c r="CT48">
        <v>114.162241674</v>
      </c>
      <c r="CU48">
        <v>104.344886817</v>
      </c>
      <c r="CV48">
        <v>91.213549493200006</v>
      </c>
      <c r="CW48">
        <v>110.185364804</v>
      </c>
      <c r="CX48">
        <v>124.50545511</v>
      </c>
      <c r="CY48">
        <v>106.12997005299999</v>
      </c>
      <c r="CZ48">
        <v>107.951532024</v>
      </c>
      <c r="DA48">
        <v>119.628703105</v>
      </c>
      <c r="DB48">
        <v>81.161805285200003</v>
      </c>
      <c r="DC48">
        <v>100.595702773</v>
      </c>
      <c r="DD48">
        <v>86.988396155100006</v>
      </c>
      <c r="DE48">
        <v>103.92523393099999</v>
      </c>
      <c r="DF48">
        <v>80.444939548799994</v>
      </c>
      <c r="DG48">
        <v>91.034441648799998</v>
      </c>
      <c r="DH48">
        <v>101.775590423</v>
      </c>
    </row>
    <row r="49" spans="1:112" x14ac:dyDescent="0.25">
      <c r="A49" s="8">
        <f t="shared" si="0"/>
        <v>90.314302907298384</v>
      </c>
      <c r="B49" s="9">
        <f>AVERAGE($C$2:C49)</f>
        <v>4.5032958410948805</v>
      </c>
      <c r="C49" s="9">
        <f t="shared" si="1"/>
        <v>4.5411635419931917</v>
      </c>
      <c r="D49" s="6">
        <f>AVERAGE($G$2:G49)</f>
        <v>92.131334774260011</v>
      </c>
      <c r="E49" s="6">
        <f>AVERAGE($H$2:H49)</f>
        <v>90.37913401940834</v>
      </c>
      <c r="F49" s="6">
        <f>AVERAGE($M$2:M49)</f>
        <v>90.413823800925002</v>
      </c>
      <c r="G49" s="6" t="b">
        <f t="shared" si="2"/>
        <v>0</v>
      </c>
      <c r="H49" t="b">
        <f t="shared" si="3"/>
        <v>0</v>
      </c>
      <c r="I49" s="6">
        <f t="shared" si="4"/>
        <v>3.4689781516661355E-2</v>
      </c>
      <c r="J49" s="6">
        <f t="shared" si="5"/>
        <v>-1.7175109733350098</v>
      </c>
      <c r="K49">
        <v>47</v>
      </c>
      <c r="L49">
        <f>L48+Asian!dt</f>
        <v>0.47000000000000025</v>
      </c>
      <c r="M49">
        <v>93.799876745099994</v>
      </c>
      <c r="N49">
        <v>87.769293161500002</v>
      </c>
      <c r="O49">
        <v>100.69341900000001</v>
      </c>
      <c r="P49">
        <v>96.194809668399998</v>
      </c>
      <c r="Q49">
        <v>78.895957318599997</v>
      </c>
      <c r="R49">
        <v>90.401897765200005</v>
      </c>
      <c r="S49">
        <v>118.515013946</v>
      </c>
      <c r="T49">
        <v>72.686117186499999</v>
      </c>
      <c r="U49">
        <v>117.36366293099999</v>
      </c>
      <c r="V49">
        <v>105.798450911</v>
      </c>
      <c r="W49">
        <v>106.052286611</v>
      </c>
      <c r="X49">
        <v>122.62529801300001</v>
      </c>
      <c r="Y49">
        <v>88.157781589999999</v>
      </c>
      <c r="Z49">
        <v>112.860995495</v>
      </c>
      <c r="AA49">
        <v>101.72561274</v>
      </c>
      <c r="AB49">
        <v>105.348535629</v>
      </c>
      <c r="AC49">
        <v>87.328776150600007</v>
      </c>
      <c r="AD49">
        <v>99.415140195199996</v>
      </c>
      <c r="AE49">
        <v>133.676509388</v>
      </c>
      <c r="AF49">
        <v>111.860341929</v>
      </c>
      <c r="AG49">
        <v>97.645856766700007</v>
      </c>
      <c r="AH49">
        <v>107.330805638</v>
      </c>
      <c r="AI49">
        <v>83.027601966500001</v>
      </c>
      <c r="AJ49">
        <v>84.690618021999995</v>
      </c>
      <c r="AK49">
        <v>110.89887765899999</v>
      </c>
      <c r="AL49">
        <v>107.332957294</v>
      </c>
      <c r="AM49">
        <v>97.045092814399993</v>
      </c>
      <c r="AN49">
        <v>117.19475378200001</v>
      </c>
      <c r="AO49">
        <v>93.223547098200001</v>
      </c>
      <c r="AP49">
        <v>79.837254783500001</v>
      </c>
      <c r="AQ49">
        <v>110.170864893</v>
      </c>
      <c r="AR49">
        <v>99.351074967000002</v>
      </c>
      <c r="AS49">
        <v>117.600600759</v>
      </c>
      <c r="AT49">
        <v>91.117895522200001</v>
      </c>
      <c r="AU49">
        <v>101.97588100500001</v>
      </c>
      <c r="AV49">
        <v>112.109713646</v>
      </c>
      <c r="AW49">
        <v>124.54503259800001</v>
      </c>
      <c r="AX49">
        <v>102.030258006</v>
      </c>
      <c r="AY49">
        <v>91.705732930699995</v>
      </c>
      <c r="AZ49">
        <v>122.376906955</v>
      </c>
      <c r="BA49">
        <v>122.337894393</v>
      </c>
      <c r="BB49">
        <v>106.690762449</v>
      </c>
      <c r="BC49">
        <v>116.110664173</v>
      </c>
      <c r="BD49">
        <v>105.293972031</v>
      </c>
      <c r="BE49">
        <v>106.338622489</v>
      </c>
      <c r="BF49">
        <v>84.681086358499996</v>
      </c>
      <c r="BG49">
        <v>94.415165491099998</v>
      </c>
      <c r="BH49">
        <v>102.27325444100001</v>
      </c>
      <c r="BI49">
        <v>104.430855835</v>
      </c>
      <c r="BJ49">
        <v>105.219237542</v>
      </c>
      <c r="BK49">
        <v>90.776832509800002</v>
      </c>
      <c r="BL49">
        <v>89.284181394699999</v>
      </c>
      <c r="BM49">
        <v>95.9116783395</v>
      </c>
      <c r="BN49">
        <v>100.841634512</v>
      </c>
      <c r="BO49">
        <v>84.796184410400002</v>
      </c>
      <c r="BP49">
        <v>88.777061467500005</v>
      </c>
      <c r="BQ49">
        <v>84.025255207399994</v>
      </c>
      <c r="BR49">
        <v>109.652011309</v>
      </c>
      <c r="BS49">
        <v>104.31709180999999</v>
      </c>
      <c r="BT49">
        <v>109.802626546</v>
      </c>
      <c r="BU49">
        <v>99.283384941099996</v>
      </c>
      <c r="BV49">
        <v>86.580751418000006</v>
      </c>
      <c r="BW49">
        <v>92.657479100700002</v>
      </c>
      <c r="BX49">
        <v>79.484127939299995</v>
      </c>
      <c r="BY49">
        <v>97.836625560300007</v>
      </c>
      <c r="BZ49">
        <v>108.313635826</v>
      </c>
      <c r="CA49">
        <v>103.472587773</v>
      </c>
      <c r="CB49">
        <v>97.064315243899998</v>
      </c>
      <c r="CC49">
        <v>87.201679683699993</v>
      </c>
      <c r="CD49">
        <v>95.269798618799996</v>
      </c>
      <c r="CE49">
        <v>92.210052426100006</v>
      </c>
      <c r="CF49">
        <v>90.811546044300002</v>
      </c>
      <c r="CG49">
        <v>95.954475697600003</v>
      </c>
      <c r="CH49">
        <v>114.32074731</v>
      </c>
      <c r="CI49">
        <v>104.42900208499999</v>
      </c>
      <c r="CJ49">
        <v>99.474246098899997</v>
      </c>
      <c r="CK49">
        <v>94.643649763799999</v>
      </c>
      <c r="CL49">
        <v>85.483072762700004</v>
      </c>
      <c r="CM49">
        <v>90.244689360500004</v>
      </c>
      <c r="CN49">
        <v>100.52410873300001</v>
      </c>
      <c r="CO49">
        <v>143.252007131</v>
      </c>
      <c r="CP49">
        <v>84.301759794399999</v>
      </c>
      <c r="CQ49">
        <v>107.28341523</v>
      </c>
      <c r="CR49">
        <v>104.01128576799999</v>
      </c>
      <c r="CS49">
        <v>101.110239772</v>
      </c>
      <c r="CT49">
        <v>118.52939173599999</v>
      </c>
      <c r="CU49">
        <v>102.216799864</v>
      </c>
      <c r="CV49">
        <v>93.708892537200001</v>
      </c>
      <c r="CW49">
        <v>107.71019081599999</v>
      </c>
      <c r="CX49">
        <v>120.950889706</v>
      </c>
      <c r="CY49">
        <v>107.480706181</v>
      </c>
      <c r="CZ49">
        <v>106.75699798300001</v>
      </c>
      <c r="DA49">
        <v>119.742748925</v>
      </c>
      <c r="DB49">
        <v>79.600575000199996</v>
      </c>
      <c r="DC49">
        <v>100.012752005</v>
      </c>
      <c r="DD49">
        <v>87.911486344899998</v>
      </c>
      <c r="DE49">
        <v>105.988883546</v>
      </c>
      <c r="DF49">
        <v>82.246216799699994</v>
      </c>
      <c r="DG49">
        <v>88.815726955700001</v>
      </c>
      <c r="DH49">
        <v>100.860637974</v>
      </c>
    </row>
    <row r="50" spans="1:112" x14ac:dyDescent="0.25">
      <c r="A50" s="8">
        <f t="shared" si="0"/>
        <v>90.388681164020099</v>
      </c>
      <c r="B50" s="9">
        <f>AVERAGE($C$2:C50)</f>
        <v>4.5041190511962998</v>
      </c>
      <c r="C50" s="9">
        <f t="shared" si="1"/>
        <v>4.5436331360644555</v>
      </c>
      <c r="D50" s="6">
        <f>AVERAGE($G$2:G50)</f>
        <v>92.131334774260011</v>
      </c>
      <c r="E50" s="6">
        <f>AVERAGE($H$2:H50)</f>
        <v>90.660109143915392</v>
      </c>
      <c r="F50" s="6">
        <f>AVERAGE($M$2:M50)</f>
        <v>90.48766026698776</v>
      </c>
      <c r="G50" s="6" t="b">
        <f t="shared" si="2"/>
        <v>0</v>
      </c>
      <c r="H50">
        <f t="shared" si="3"/>
        <v>94.031810637999996</v>
      </c>
      <c r="I50" s="6">
        <f t="shared" si="4"/>
        <v>-0.172448876927632</v>
      </c>
      <c r="J50" s="6">
        <f t="shared" si="5"/>
        <v>-1.6436745072722516</v>
      </c>
      <c r="K50">
        <v>48</v>
      </c>
      <c r="L50">
        <f>L49+Asian!dt</f>
        <v>0.48000000000000026</v>
      </c>
      <c r="M50">
        <v>94.031810637999996</v>
      </c>
      <c r="N50">
        <v>88.138401387599998</v>
      </c>
      <c r="O50">
        <v>100.638378532</v>
      </c>
      <c r="P50">
        <v>92.646137070899997</v>
      </c>
      <c r="Q50">
        <v>77.461060950299995</v>
      </c>
      <c r="R50">
        <v>88.654267243299998</v>
      </c>
      <c r="S50">
        <v>117.29804356299999</v>
      </c>
      <c r="T50">
        <v>71.856262028399996</v>
      </c>
      <c r="U50">
        <v>116.151744357</v>
      </c>
      <c r="V50">
        <v>108.498379958</v>
      </c>
      <c r="W50">
        <v>105.431942221</v>
      </c>
      <c r="X50">
        <v>125.154916473</v>
      </c>
      <c r="Y50">
        <v>89.776205914200006</v>
      </c>
      <c r="Z50">
        <v>109.562234172</v>
      </c>
      <c r="AA50">
        <v>100.822710941</v>
      </c>
      <c r="AB50">
        <v>106.63577689500001</v>
      </c>
      <c r="AC50">
        <v>86.104982983699998</v>
      </c>
      <c r="AD50">
        <v>98.800743474399994</v>
      </c>
      <c r="AE50">
        <v>128.64185172399999</v>
      </c>
      <c r="AF50">
        <v>113.92931197999999</v>
      </c>
      <c r="AG50">
        <v>98.222947117000004</v>
      </c>
      <c r="AH50">
        <v>105.42227109</v>
      </c>
      <c r="AI50">
        <v>88.271831883000004</v>
      </c>
      <c r="AJ50">
        <v>86.641308219300001</v>
      </c>
      <c r="AK50">
        <v>113.16558509399999</v>
      </c>
      <c r="AL50">
        <v>108.521287082</v>
      </c>
      <c r="AM50">
        <v>96.5810097568</v>
      </c>
      <c r="AN50">
        <v>117.46466376799999</v>
      </c>
      <c r="AO50">
        <v>92.456193855600006</v>
      </c>
      <c r="AP50">
        <v>82.459185731800005</v>
      </c>
      <c r="AQ50">
        <v>112.133424179</v>
      </c>
      <c r="AR50">
        <v>99.374155228899994</v>
      </c>
      <c r="AS50">
        <v>116.841078733</v>
      </c>
      <c r="AT50">
        <v>94.880370389600003</v>
      </c>
      <c r="AU50">
        <v>101.71346450199999</v>
      </c>
      <c r="AV50">
        <v>116.352317012</v>
      </c>
      <c r="AW50">
        <v>124.70951750899999</v>
      </c>
      <c r="AX50">
        <v>102.55446291600001</v>
      </c>
      <c r="AY50">
        <v>93.394802451199993</v>
      </c>
      <c r="AZ50">
        <v>124.801452072</v>
      </c>
      <c r="BA50">
        <v>121.679006585</v>
      </c>
      <c r="BB50">
        <v>105.332666362</v>
      </c>
      <c r="BC50">
        <v>121.652543018</v>
      </c>
      <c r="BD50">
        <v>104.78550469</v>
      </c>
      <c r="BE50">
        <v>110.070985362</v>
      </c>
      <c r="BF50">
        <v>83.596885760299998</v>
      </c>
      <c r="BG50">
        <v>93.983101804699999</v>
      </c>
      <c r="BH50">
        <v>102.844565024</v>
      </c>
      <c r="BI50">
        <v>104.946613923</v>
      </c>
      <c r="BJ50">
        <v>105.561324564</v>
      </c>
      <c r="BK50">
        <v>93.711473900100003</v>
      </c>
      <c r="BL50">
        <v>86.733867886400006</v>
      </c>
      <c r="BM50">
        <v>93.560902085999999</v>
      </c>
      <c r="BN50">
        <v>100.236614012</v>
      </c>
      <c r="BO50">
        <v>87.337425702900006</v>
      </c>
      <c r="BP50">
        <v>87.541323785800003</v>
      </c>
      <c r="BQ50">
        <v>86.578219388700006</v>
      </c>
      <c r="BR50">
        <v>108.623536042</v>
      </c>
      <c r="BS50">
        <v>102.23836093200001</v>
      </c>
      <c r="BT50">
        <v>107.93821554</v>
      </c>
      <c r="BU50">
        <v>100.89181687200001</v>
      </c>
      <c r="BV50">
        <v>90.738835076699999</v>
      </c>
      <c r="BW50">
        <v>96.201702545000003</v>
      </c>
      <c r="BX50">
        <v>79.899265373899993</v>
      </c>
      <c r="BY50">
        <v>99.920813817999999</v>
      </c>
      <c r="BZ50">
        <v>114.11895613999999</v>
      </c>
      <c r="CA50">
        <v>104.46502022999999</v>
      </c>
      <c r="CB50">
        <v>96.787752980899995</v>
      </c>
      <c r="CC50">
        <v>86.8280615348</v>
      </c>
      <c r="CD50">
        <v>92.732316121300002</v>
      </c>
      <c r="CE50">
        <v>93.0193674585</v>
      </c>
      <c r="CF50">
        <v>88.234201654900005</v>
      </c>
      <c r="CG50">
        <v>97.595446789999997</v>
      </c>
      <c r="CH50">
        <v>110.641026872</v>
      </c>
      <c r="CI50">
        <v>106.1260563</v>
      </c>
      <c r="CJ50">
        <v>100.341165844</v>
      </c>
      <c r="CK50">
        <v>94.458569374999996</v>
      </c>
      <c r="CL50">
        <v>83.846597873799993</v>
      </c>
      <c r="CM50">
        <v>87.644167560100001</v>
      </c>
      <c r="CN50">
        <v>99.412952177199998</v>
      </c>
      <c r="CO50">
        <v>144.53331124300001</v>
      </c>
      <c r="CP50">
        <v>84.116401335000006</v>
      </c>
      <c r="CQ50">
        <v>102.435519269</v>
      </c>
      <c r="CR50">
        <v>103.66502823</v>
      </c>
      <c r="CS50">
        <v>102.316780837</v>
      </c>
      <c r="CT50">
        <v>114.20673605099999</v>
      </c>
      <c r="CU50">
        <v>101.902449186</v>
      </c>
      <c r="CV50">
        <v>95.101334425399997</v>
      </c>
      <c r="CW50">
        <v>105.99845720499999</v>
      </c>
      <c r="CX50">
        <v>125.754084318</v>
      </c>
      <c r="CY50">
        <v>108.895338478</v>
      </c>
      <c r="CZ50">
        <v>109.54030687700001</v>
      </c>
      <c r="DA50">
        <v>119.708166135</v>
      </c>
      <c r="DB50">
        <v>79.822178759300002</v>
      </c>
      <c r="DC50">
        <v>102.822917379</v>
      </c>
      <c r="DD50">
        <v>86.850695695599995</v>
      </c>
      <c r="DE50">
        <v>106.586455837</v>
      </c>
      <c r="DF50">
        <v>81.612583405300001</v>
      </c>
      <c r="DG50">
        <v>91.468698860299995</v>
      </c>
      <c r="DH50">
        <v>97.439511871899995</v>
      </c>
    </row>
    <row r="51" spans="1:112" x14ac:dyDescent="0.25">
      <c r="A51" s="8">
        <f t="shared" si="0"/>
        <v>90.488665073056907</v>
      </c>
      <c r="B51" s="9">
        <f>AVERAGE($C$2:C51)</f>
        <v>4.5052245950501923</v>
      </c>
      <c r="C51" s="9">
        <f t="shared" si="1"/>
        <v>4.5593962438909195</v>
      </c>
      <c r="D51" s="6">
        <f>AVERAGE($G$2:G51)</f>
        <v>92.131334774260011</v>
      </c>
      <c r="E51" s="6">
        <f>AVERAGE($H$2:H51)</f>
        <v>90.660109143915392</v>
      </c>
      <c r="F51" s="6">
        <f>AVERAGE($M$2:M51)</f>
        <v>90.588422824404006</v>
      </c>
      <c r="G51" s="6" t="b">
        <f t="shared" si="2"/>
        <v>0</v>
      </c>
      <c r="H51" t="b">
        <f t="shared" si="3"/>
        <v>0</v>
      </c>
      <c r="I51" s="6">
        <f t="shared" si="4"/>
        <v>-7.1686319511385932E-2</v>
      </c>
      <c r="J51" s="6">
        <f t="shared" si="5"/>
        <v>-1.5429119498560055</v>
      </c>
      <c r="K51">
        <v>49</v>
      </c>
      <c r="L51">
        <f>L50+Asian!dt</f>
        <v>0.49000000000000027</v>
      </c>
      <c r="M51">
        <v>95.525788137800006</v>
      </c>
      <c r="N51">
        <v>87.847807319200001</v>
      </c>
      <c r="O51">
        <v>100.52868339699999</v>
      </c>
      <c r="P51">
        <v>90.323853600700005</v>
      </c>
      <c r="Q51">
        <v>76.590603529700005</v>
      </c>
      <c r="R51">
        <v>86.814367018900001</v>
      </c>
      <c r="S51">
        <v>113.44330024999999</v>
      </c>
      <c r="T51">
        <v>72.583127975599993</v>
      </c>
      <c r="U51">
        <v>113.92655089900001</v>
      </c>
      <c r="V51">
        <v>111.11181014500001</v>
      </c>
      <c r="W51">
        <v>106.051636766</v>
      </c>
      <c r="X51">
        <v>122.41876353799999</v>
      </c>
      <c r="Y51">
        <v>88.975618470499995</v>
      </c>
      <c r="Z51">
        <v>111.28182492099999</v>
      </c>
      <c r="AA51">
        <v>100.327752397</v>
      </c>
      <c r="AB51">
        <v>109.617937813</v>
      </c>
      <c r="AC51">
        <v>84.862860714500002</v>
      </c>
      <c r="AD51">
        <v>100.941047844</v>
      </c>
      <c r="AE51">
        <v>128.896721789</v>
      </c>
      <c r="AF51">
        <v>111.264590289</v>
      </c>
      <c r="AG51">
        <v>101.318174828</v>
      </c>
      <c r="AH51">
        <v>106.608901905</v>
      </c>
      <c r="AI51">
        <v>90.821986676799995</v>
      </c>
      <c r="AJ51">
        <v>86.396979502700006</v>
      </c>
      <c r="AK51">
        <v>112.11029200999999</v>
      </c>
      <c r="AL51">
        <v>109.270164983</v>
      </c>
      <c r="AM51">
        <v>93.113093377400006</v>
      </c>
      <c r="AN51">
        <v>115.634901856</v>
      </c>
      <c r="AO51">
        <v>90.999969407600005</v>
      </c>
      <c r="AP51">
        <v>81.314218155899994</v>
      </c>
      <c r="AQ51">
        <v>115.253822973</v>
      </c>
      <c r="AR51">
        <v>99.672615879600002</v>
      </c>
      <c r="AS51">
        <v>117.611562972</v>
      </c>
      <c r="AT51">
        <v>98.302212222199998</v>
      </c>
      <c r="AU51">
        <v>101.623795273</v>
      </c>
      <c r="AV51">
        <v>117.436687701</v>
      </c>
      <c r="AW51">
        <v>122.576576734</v>
      </c>
      <c r="AX51">
        <v>105.83095437199999</v>
      </c>
      <c r="AY51">
        <v>94.697305363300003</v>
      </c>
      <c r="AZ51">
        <v>124.993830938</v>
      </c>
      <c r="BA51">
        <v>119.54071679099999</v>
      </c>
      <c r="BB51">
        <v>103.487201877</v>
      </c>
      <c r="BC51">
        <v>123.710125744</v>
      </c>
      <c r="BD51">
        <v>104.946048672</v>
      </c>
      <c r="BE51">
        <v>106.522873436</v>
      </c>
      <c r="BF51">
        <v>84.952206502899998</v>
      </c>
      <c r="BG51">
        <v>94.366129115999996</v>
      </c>
      <c r="BH51">
        <v>104.312829142</v>
      </c>
      <c r="BI51">
        <v>102.839434522</v>
      </c>
      <c r="BJ51">
        <v>104.52143690600001</v>
      </c>
      <c r="BK51">
        <v>95.0892557154</v>
      </c>
      <c r="BL51">
        <v>85.578586978499999</v>
      </c>
      <c r="BM51">
        <v>95.240177081499994</v>
      </c>
      <c r="BN51">
        <v>100.459759558</v>
      </c>
      <c r="BO51">
        <v>87.839912007199999</v>
      </c>
      <c r="BP51">
        <v>87.573044419200002</v>
      </c>
      <c r="BQ51">
        <v>87.347561362600004</v>
      </c>
      <c r="BR51">
        <v>112.46140844999999</v>
      </c>
      <c r="BS51">
        <v>102.79150798400001</v>
      </c>
      <c r="BT51">
        <v>106.101591465</v>
      </c>
      <c r="BU51">
        <v>104.116430033</v>
      </c>
      <c r="BV51">
        <v>89.919711663900003</v>
      </c>
      <c r="BW51">
        <v>99.116046807999993</v>
      </c>
      <c r="BX51">
        <v>78.015546339500006</v>
      </c>
      <c r="BY51">
        <v>100.483307747</v>
      </c>
      <c r="BZ51">
        <v>113.622909725</v>
      </c>
      <c r="CA51">
        <v>101.03146488900001</v>
      </c>
      <c r="CB51">
        <v>95.0643119044</v>
      </c>
      <c r="CC51">
        <v>85.508375209799993</v>
      </c>
      <c r="CD51">
        <v>93.571218026099999</v>
      </c>
      <c r="CE51">
        <v>94.008784768400005</v>
      </c>
      <c r="CF51">
        <v>88.8414876561</v>
      </c>
      <c r="CG51">
        <v>98.982293362700005</v>
      </c>
      <c r="CH51">
        <v>108.431729631</v>
      </c>
      <c r="CI51">
        <v>107.685655461</v>
      </c>
      <c r="CJ51">
        <v>97.7052037574</v>
      </c>
      <c r="CK51">
        <v>96.786018953999999</v>
      </c>
      <c r="CL51">
        <v>83.128786589800001</v>
      </c>
      <c r="CM51">
        <v>87.720211386700001</v>
      </c>
      <c r="CN51">
        <v>99.867916068699998</v>
      </c>
      <c r="CO51">
        <v>144.67650436700001</v>
      </c>
      <c r="CP51">
        <v>82.9637070685</v>
      </c>
      <c r="CQ51">
        <v>101.96211244</v>
      </c>
      <c r="CR51">
        <v>102.838368755</v>
      </c>
      <c r="CS51">
        <v>105.549590873</v>
      </c>
      <c r="CT51">
        <v>118.28008015499999</v>
      </c>
      <c r="CU51">
        <v>101.50788048</v>
      </c>
      <c r="CV51">
        <v>98.527571765199994</v>
      </c>
      <c r="CW51">
        <v>106.73946803600001</v>
      </c>
      <c r="CX51">
        <v>125.570263411</v>
      </c>
      <c r="CY51">
        <v>107.236959386</v>
      </c>
      <c r="CZ51">
        <v>110.880899697</v>
      </c>
      <c r="DA51">
        <v>122.335084088</v>
      </c>
      <c r="DB51">
        <v>78.308892569400001</v>
      </c>
      <c r="DC51">
        <v>103.77577728</v>
      </c>
      <c r="DD51">
        <v>85.701191485400003</v>
      </c>
      <c r="DE51">
        <v>102.908504167</v>
      </c>
      <c r="DF51">
        <v>81.328272621799997</v>
      </c>
      <c r="DG51">
        <v>87.501758204500007</v>
      </c>
      <c r="DH51">
        <v>96.854397047299997</v>
      </c>
    </row>
    <row r="52" spans="1:112" x14ac:dyDescent="0.25">
      <c r="A52" s="8">
        <f t="shared" si="0"/>
        <v>90.606957662610483</v>
      </c>
      <c r="B52" s="9">
        <f>AVERAGE($C$2:C52)</f>
        <v>4.50653100549337</v>
      </c>
      <c r="C52" s="9">
        <f t="shared" si="1"/>
        <v>4.5718515276522469</v>
      </c>
      <c r="D52" s="6">
        <f>AVERAGE($G$2:G52)</f>
        <v>92.896617219883339</v>
      </c>
      <c r="E52" s="6">
        <f>AVERAGE($H$2:H52)</f>
        <v>90.660109143915392</v>
      </c>
      <c r="F52" s="6">
        <f>AVERAGE($M$2:M52)</f>
        <v>90.708709228788237</v>
      </c>
      <c r="G52" s="6">
        <f t="shared" si="2"/>
        <v>96.723029448000005</v>
      </c>
      <c r="H52" t="b">
        <f t="shared" si="3"/>
        <v>0</v>
      </c>
      <c r="I52" s="6">
        <f t="shared" si="4"/>
        <v>4.8600084872845173E-2</v>
      </c>
      <c r="J52" s="6">
        <f t="shared" si="5"/>
        <v>-2.187907991095102</v>
      </c>
      <c r="K52">
        <v>50</v>
      </c>
      <c r="L52">
        <f>L51+Asian!dt</f>
        <v>0.50000000000000022</v>
      </c>
      <c r="M52">
        <v>96.723029448000005</v>
      </c>
      <c r="N52">
        <v>89.538474977999996</v>
      </c>
      <c r="O52">
        <v>98.8677831965</v>
      </c>
      <c r="P52">
        <v>91.953419934500005</v>
      </c>
      <c r="Q52">
        <v>76.369610021499994</v>
      </c>
      <c r="R52">
        <v>88.792918606900002</v>
      </c>
      <c r="S52">
        <v>114.364914363</v>
      </c>
      <c r="T52">
        <v>73.013073098700005</v>
      </c>
      <c r="U52">
        <v>111.64117175200001</v>
      </c>
      <c r="V52">
        <v>112.927440519</v>
      </c>
      <c r="W52">
        <v>106.75769856300001</v>
      </c>
      <c r="X52">
        <v>120.09941847899999</v>
      </c>
      <c r="Y52">
        <v>89.945385740199995</v>
      </c>
      <c r="Z52">
        <v>109.47535786900001</v>
      </c>
      <c r="AA52">
        <v>101.301055187</v>
      </c>
      <c r="AB52">
        <v>109.40002199600001</v>
      </c>
      <c r="AC52">
        <v>81.829029691299993</v>
      </c>
      <c r="AD52">
        <v>103.608466553</v>
      </c>
      <c r="AE52">
        <v>129.56275175299999</v>
      </c>
      <c r="AF52">
        <v>111.442808378</v>
      </c>
      <c r="AG52">
        <v>104.21260516</v>
      </c>
      <c r="AH52">
        <v>110.09222551000001</v>
      </c>
      <c r="AI52">
        <v>89.609703539500003</v>
      </c>
      <c r="AJ52">
        <v>84.555420822399995</v>
      </c>
      <c r="AK52">
        <v>114.087847376</v>
      </c>
      <c r="AL52">
        <v>113.79240969</v>
      </c>
      <c r="AM52">
        <v>92.662173908300005</v>
      </c>
      <c r="AN52">
        <v>119.516342803</v>
      </c>
      <c r="AO52">
        <v>93.234038582400004</v>
      </c>
      <c r="AP52">
        <v>84.744689136900007</v>
      </c>
      <c r="AQ52">
        <v>116.283330507</v>
      </c>
      <c r="AR52">
        <v>97.039067837999994</v>
      </c>
      <c r="AS52">
        <v>122.790324673</v>
      </c>
      <c r="AT52">
        <v>97.0509463665</v>
      </c>
      <c r="AU52">
        <v>103.74776515400001</v>
      </c>
      <c r="AV52">
        <v>119.910107614</v>
      </c>
      <c r="AW52">
        <v>119.415728395</v>
      </c>
      <c r="AX52">
        <v>107.820797196</v>
      </c>
      <c r="AY52">
        <v>96.216323025999998</v>
      </c>
      <c r="AZ52">
        <v>124.580965947</v>
      </c>
      <c r="BA52">
        <v>122.107995633</v>
      </c>
      <c r="BB52">
        <v>98.954067925199993</v>
      </c>
      <c r="BC52">
        <v>123.631307436</v>
      </c>
      <c r="BD52">
        <v>103.669060031</v>
      </c>
      <c r="BE52">
        <v>107.119486141</v>
      </c>
      <c r="BF52">
        <v>88.483705725099995</v>
      </c>
      <c r="BG52">
        <v>92.952903523900005</v>
      </c>
      <c r="BH52">
        <v>105.250108856</v>
      </c>
      <c r="BI52">
        <v>104.057415427</v>
      </c>
      <c r="BJ52">
        <v>105.08455294300001</v>
      </c>
      <c r="BK52">
        <v>93.828630251199996</v>
      </c>
      <c r="BL52">
        <v>89.176886033800002</v>
      </c>
      <c r="BM52">
        <v>97.268207099400001</v>
      </c>
      <c r="BN52">
        <v>101.99094601100001</v>
      </c>
      <c r="BO52">
        <v>86.432712476399999</v>
      </c>
      <c r="BP52">
        <v>87.550946828299999</v>
      </c>
      <c r="BQ52">
        <v>86.421720987499995</v>
      </c>
      <c r="BR52">
        <v>114.037865205</v>
      </c>
      <c r="BS52">
        <v>100.73565259199999</v>
      </c>
      <c r="BT52">
        <v>107.883842141</v>
      </c>
      <c r="BU52">
        <v>105.975356237</v>
      </c>
      <c r="BV52">
        <v>89.423273761299995</v>
      </c>
      <c r="BW52">
        <v>100.63569059700001</v>
      </c>
      <c r="BX52">
        <v>76.832009467099994</v>
      </c>
      <c r="BY52">
        <v>101.360633337</v>
      </c>
      <c r="BZ52">
        <v>114.15646131</v>
      </c>
      <c r="CA52">
        <v>98.287374086900002</v>
      </c>
      <c r="CB52">
        <v>97.718012238699998</v>
      </c>
      <c r="CC52">
        <v>84.240537159900001</v>
      </c>
      <c r="CD52">
        <v>94.784796807800006</v>
      </c>
      <c r="CE52">
        <v>94.903826751500006</v>
      </c>
      <c r="CF52">
        <v>90.784902559900004</v>
      </c>
      <c r="CG52">
        <v>100.251167782</v>
      </c>
      <c r="CH52">
        <v>105.872550585</v>
      </c>
      <c r="CI52">
        <v>107.230537123</v>
      </c>
      <c r="CJ52">
        <v>98.638760990500003</v>
      </c>
      <c r="CK52">
        <v>94.740957405100005</v>
      </c>
      <c r="CL52">
        <v>80.613193645999999</v>
      </c>
      <c r="CM52">
        <v>87.084148672300003</v>
      </c>
      <c r="CN52">
        <v>102.44347961699999</v>
      </c>
      <c r="CO52">
        <v>146.34527240899999</v>
      </c>
      <c r="CP52">
        <v>82.849429822499999</v>
      </c>
      <c r="CQ52">
        <v>100.10214462</v>
      </c>
      <c r="CR52">
        <v>99.798563467899996</v>
      </c>
      <c r="CS52">
        <v>105.64941163899999</v>
      </c>
      <c r="CT52">
        <v>118.88905648799999</v>
      </c>
      <c r="CU52">
        <v>100.821274117</v>
      </c>
      <c r="CV52">
        <v>100.92228014</v>
      </c>
      <c r="CW52">
        <v>108.946580888</v>
      </c>
      <c r="CX52">
        <v>128.75841411900001</v>
      </c>
      <c r="CY52">
        <v>106.148764388</v>
      </c>
      <c r="CZ52">
        <v>113.62246143199999</v>
      </c>
      <c r="DA52">
        <v>121.343306732</v>
      </c>
      <c r="DB52">
        <v>79.265138951699996</v>
      </c>
      <c r="DC52">
        <v>102.335931698</v>
      </c>
      <c r="DD52">
        <v>86.011486078299995</v>
      </c>
      <c r="DE52">
        <v>103.506087397</v>
      </c>
      <c r="DF52">
        <v>83.968688233999998</v>
      </c>
      <c r="DG52">
        <v>85.394087050699994</v>
      </c>
      <c r="DH52">
        <v>101.89821491399999</v>
      </c>
    </row>
    <row r="53" spans="1:112" x14ac:dyDescent="0.25">
      <c r="A53" s="8">
        <f t="shared" si="0"/>
        <v>90.732721167897495</v>
      </c>
      <c r="B53" s="9">
        <f>AVERAGE($C$2:C53)</f>
        <v>4.5079180546627651</v>
      </c>
      <c r="C53" s="9">
        <f t="shared" si="1"/>
        <v>4.5786575623018733</v>
      </c>
      <c r="D53" s="6">
        <f>AVERAGE($G$2:G53)</f>
        <v>92.896617219883339</v>
      </c>
      <c r="E53" s="6">
        <f>AVERAGE($H$2:H53)</f>
        <v>90.660109143915392</v>
      </c>
      <c r="F53" s="6">
        <f>AVERAGE($M$2:M53)</f>
        <v>90.837072032775012</v>
      </c>
      <c r="G53" s="6" t="b">
        <f t="shared" si="2"/>
        <v>0</v>
      </c>
      <c r="H53" t="b">
        <f t="shared" si="3"/>
        <v>0</v>
      </c>
      <c r="I53" s="6">
        <f t="shared" si="4"/>
        <v>0.17696288885962019</v>
      </c>
      <c r="J53" s="6">
        <f t="shared" si="5"/>
        <v>-2.059545187108327</v>
      </c>
      <c r="K53">
        <v>51</v>
      </c>
      <c r="L53">
        <f>L52+Asian!dt</f>
        <v>0.51000000000000023</v>
      </c>
      <c r="M53">
        <v>97.383575036099998</v>
      </c>
      <c r="N53">
        <v>90.055722860200007</v>
      </c>
      <c r="O53">
        <v>100.530404342</v>
      </c>
      <c r="P53">
        <v>90.227779709999993</v>
      </c>
      <c r="Q53">
        <v>77.404604933399995</v>
      </c>
      <c r="R53">
        <v>87.113628430999995</v>
      </c>
      <c r="S53">
        <v>115.791061496</v>
      </c>
      <c r="T53">
        <v>73.659274878900007</v>
      </c>
      <c r="U53">
        <v>107.511839098</v>
      </c>
      <c r="V53">
        <v>107.447994357</v>
      </c>
      <c r="W53">
        <v>108.20958881999999</v>
      </c>
      <c r="X53">
        <v>119.6010395</v>
      </c>
      <c r="Y53">
        <v>89.083673507</v>
      </c>
      <c r="Z53">
        <v>114.658611076</v>
      </c>
      <c r="AA53">
        <v>105.740750611</v>
      </c>
      <c r="AB53">
        <v>109.90115334799999</v>
      </c>
      <c r="AC53">
        <v>81.004155138399994</v>
      </c>
      <c r="AD53">
        <v>102.058825881</v>
      </c>
      <c r="AE53">
        <v>132.378209051</v>
      </c>
      <c r="AF53">
        <v>111.716064635</v>
      </c>
      <c r="AG53">
        <v>107.03247212399999</v>
      </c>
      <c r="AH53">
        <v>111.518210053</v>
      </c>
      <c r="AI53">
        <v>89.129091371900003</v>
      </c>
      <c r="AJ53">
        <v>85.313425838200004</v>
      </c>
      <c r="AK53">
        <v>114.07034597800001</v>
      </c>
      <c r="AL53">
        <v>112.890305934</v>
      </c>
      <c r="AM53">
        <v>91.744424975300007</v>
      </c>
      <c r="AN53">
        <v>114.452645491</v>
      </c>
      <c r="AO53">
        <v>91.818279864399997</v>
      </c>
      <c r="AP53">
        <v>87.161291480399996</v>
      </c>
      <c r="AQ53">
        <v>112.783986798</v>
      </c>
      <c r="AR53">
        <v>96.789856003099999</v>
      </c>
      <c r="AS53">
        <v>118.830629919</v>
      </c>
      <c r="AT53">
        <v>96.483950204899998</v>
      </c>
      <c r="AU53">
        <v>103.8613714</v>
      </c>
      <c r="AV53">
        <v>125.828288473</v>
      </c>
      <c r="AW53">
        <v>121.884426809</v>
      </c>
      <c r="AX53">
        <v>107.52866774500001</v>
      </c>
      <c r="AY53">
        <v>99.513172558500003</v>
      </c>
      <c r="AZ53">
        <v>123.559858007</v>
      </c>
      <c r="BA53">
        <v>123.763012621</v>
      </c>
      <c r="BB53">
        <v>97.222897955799993</v>
      </c>
      <c r="BC53">
        <v>125.31452899600001</v>
      </c>
      <c r="BD53">
        <v>102.711583394</v>
      </c>
      <c r="BE53">
        <v>106.28815292100001</v>
      </c>
      <c r="BF53">
        <v>90.055685142399994</v>
      </c>
      <c r="BG53">
        <v>94.793428135900001</v>
      </c>
      <c r="BH53">
        <v>105.05318899</v>
      </c>
      <c r="BI53">
        <v>104.219085366</v>
      </c>
      <c r="BJ53">
        <v>106.10542549900001</v>
      </c>
      <c r="BK53">
        <v>97.163420320900002</v>
      </c>
      <c r="BL53">
        <v>88.019873079099995</v>
      </c>
      <c r="BM53">
        <v>96.093018882799996</v>
      </c>
      <c r="BN53">
        <v>105.027520749</v>
      </c>
      <c r="BO53">
        <v>87.386243673799996</v>
      </c>
      <c r="BP53">
        <v>85.544565114400001</v>
      </c>
      <c r="BQ53">
        <v>88.283958081799994</v>
      </c>
      <c r="BR53">
        <v>113.41305361000001</v>
      </c>
      <c r="BS53">
        <v>100.44214088299999</v>
      </c>
      <c r="BT53">
        <v>106.020326889</v>
      </c>
      <c r="BU53">
        <v>105.517598675</v>
      </c>
      <c r="BV53">
        <v>87.598120776100004</v>
      </c>
      <c r="BW53">
        <v>100.88768136900001</v>
      </c>
      <c r="BX53">
        <v>75.139023950199999</v>
      </c>
      <c r="BY53">
        <v>98.717341530499993</v>
      </c>
      <c r="BZ53">
        <v>114.07452976899999</v>
      </c>
      <c r="CA53">
        <v>98.370621080299998</v>
      </c>
      <c r="CB53">
        <v>96.548512850099996</v>
      </c>
      <c r="CC53">
        <v>82.858141060999998</v>
      </c>
      <c r="CD53">
        <v>92.551065886100005</v>
      </c>
      <c r="CE53">
        <v>92.5234412131</v>
      </c>
      <c r="CF53">
        <v>88.930391205399999</v>
      </c>
      <c r="CG53">
        <v>99.202699265299998</v>
      </c>
      <c r="CH53">
        <v>104.19683828399999</v>
      </c>
      <c r="CI53">
        <v>106.046530322</v>
      </c>
      <c r="CJ53">
        <v>100.36213476899999</v>
      </c>
      <c r="CK53">
        <v>92.910148683900005</v>
      </c>
      <c r="CL53">
        <v>80.414795361299994</v>
      </c>
      <c r="CM53">
        <v>84.897650961799997</v>
      </c>
      <c r="CN53">
        <v>105.802605066</v>
      </c>
      <c r="CO53">
        <v>147.018529191</v>
      </c>
      <c r="CP53">
        <v>79.311948308599995</v>
      </c>
      <c r="CQ53">
        <v>98.382528573000002</v>
      </c>
      <c r="CR53">
        <v>102.917767074</v>
      </c>
      <c r="CS53">
        <v>103.906785765</v>
      </c>
      <c r="CT53">
        <v>119.399151453</v>
      </c>
      <c r="CU53">
        <v>96.994715925400001</v>
      </c>
      <c r="CV53">
        <v>98.625269978299997</v>
      </c>
      <c r="CW53">
        <v>108.361971963</v>
      </c>
      <c r="CX53">
        <v>129.16429427400001</v>
      </c>
      <c r="CY53">
        <v>105.737781254</v>
      </c>
      <c r="CZ53">
        <v>112.969643205</v>
      </c>
      <c r="DA53">
        <v>122.015405438</v>
      </c>
      <c r="DB53">
        <v>80.581880389000005</v>
      </c>
      <c r="DC53">
        <v>103.894253179</v>
      </c>
      <c r="DD53">
        <v>87.358525292300001</v>
      </c>
      <c r="DE53">
        <v>100.80212490300001</v>
      </c>
      <c r="DF53">
        <v>87.097482664699996</v>
      </c>
      <c r="DG53">
        <v>85.367463344300006</v>
      </c>
      <c r="DH53">
        <v>98.931590537800005</v>
      </c>
    </row>
    <row r="54" spans="1:112" x14ac:dyDescent="0.25">
      <c r="A54" s="8">
        <f t="shared" si="0"/>
        <v>90.902017997152612</v>
      </c>
      <c r="B54" s="9">
        <f>AVERAGE($C$2:C54)</f>
        <v>4.5097822011257103</v>
      </c>
      <c r="C54" s="9">
        <f t="shared" si="1"/>
        <v>4.6067178171988656</v>
      </c>
      <c r="D54" s="6">
        <f>AVERAGE($G$2:G54)</f>
        <v>92.896617219883339</v>
      </c>
      <c r="E54" s="6">
        <f>AVERAGE($H$2:H54)</f>
        <v>91.338307272278584</v>
      </c>
      <c r="F54" s="6">
        <f>AVERAGE($M$2:M54)</f>
        <v>91.01287978576039</v>
      </c>
      <c r="G54" s="6" t="b">
        <f t="shared" si="2"/>
        <v>0</v>
      </c>
      <c r="H54">
        <f t="shared" si="3"/>
        <v>100.154882941</v>
      </c>
      <c r="I54" s="6">
        <f t="shared" si="4"/>
        <v>-0.32542748651819409</v>
      </c>
      <c r="J54" s="6">
        <f t="shared" si="5"/>
        <v>-1.8837374341229491</v>
      </c>
      <c r="K54">
        <v>52</v>
      </c>
      <c r="L54">
        <f>L53+Asian!dt</f>
        <v>0.52000000000000024</v>
      </c>
      <c r="M54">
        <v>100.154882941</v>
      </c>
      <c r="N54">
        <v>88.150706172499994</v>
      </c>
      <c r="O54">
        <v>101.605145154</v>
      </c>
      <c r="P54">
        <v>88.621401520899994</v>
      </c>
      <c r="Q54">
        <v>75.643331568500003</v>
      </c>
      <c r="R54">
        <v>85.829638529700006</v>
      </c>
      <c r="S54">
        <v>109.698412699</v>
      </c>
      <c r="T54">
        <v>73.369217731800006</v>
      </c>
      <c r="U54">
        <v>112.755604199</v>
      </c>
      <c r="V54">
        <v>112.13435090599999</v>
      </c>
      <c r="W54">
        <v>106.748834312</v>
      </c>
      <c r="X54">
        <v>118.591561496</v>
      </c>
      <c r="Y54">
        <v>91.147749731299996</v>
      </c>
      <c r="Z54">
        <v>113.12854195200001</v>
      </c>
      <c r="AA54">
        <v>105.082145184</v>
      </c>
      <c r="AB54">
        <v>110.82510982399999</v>
      </c>
      <c r="AC54">
        <v>81.285995786000001</v>
      </c>
      <c r="AD54">
        <v>102.854918102</v>
      </c>
      <c r="AE54">
        <v>131.17780359</v>
      </c>
      <c r="AF54">
        <v>114.318580932</v>
      </c>
      <c r="AG54">
        <v>106.89397744</v>
      </c>
      <c r="AH54">
        <v>113.58122313200001</v>
      </c>
      <c r="AI54">
        <v>92.579716421399993</v>
      </c>
      <c r="AJ54">
        <v>84.657520395399999</v>
      </c>
      <c r="AK54">
        <v>116.45814350400001</v>
      </c>
      <c r="AL54">
        <v>110.875701912</v>
      </c>
      <c r="AM54">
        <v>92.113965325600006</v>
      </c>
      <c r="AN54">
        <v>108.833017794</v>
      </c>
      <c r="AO54">
        <v>90.329347556499997</v>
      </c>
      <c r="AP54">
        <v>84.212133173200002</v>
      </c>
      <c r="AQ54">
        <v>116.225791054</v>
      </c>
      <c r="AR54">
        <v>94.860100790800004</v>
      </c>
      <c r="AS54">
        <v>120.071128296</v>
      </c>
      <c r="AT54">
        <v>93.5068531103</v>
      </c>
      <c r="AU54">
        <v>106.93788922100001</v>
      </c>
      <c r="AV54">
        <v>123.157057452</v>
      </c>
      <c r="AW54">
        <v>123.468679349</v>
      </c>
      <c r="AX54">
        <v>105.942029531</v>
      </c>
      <c r="AY54">
        <v>99.434941039899996</v>
      </c>
      <c r="AZ54">
        <v>125.139286594</v>
      </c>
      <c r="BA54">
        <v>120.130361165</v>
      </c>
      <c r="BB54">
        <v>99.789211714900006</v>
      </c>
      <c r="BC54">
        <v>122.55182571100001</v>
      </c>
      <c r="BD54">
        <v>102.745378002</v>
      </c>
      <c r="BE54">
        <v>106.696466497</v>
      </c>
      <c r="BF54">
        <v>89.930583279499999</v>
      </c>
      <c r="BG54">
        <v>96.725178003899998</v>
      </c>
      <c r="BH54">
        <v>107.00366380600001</v>
      </c>
      <c r="BI54">
        <v>103.40445494799999</v>
      </c>
      <c r="BJ54">
        <v>103.957071498</v>
      </c>
      <c r="BK54">
        <v>99.293952924799996</v>
      </c>
      <c r="BL54">
        <v>85.6611882057</v>
      </c>
      <c r="BM54">
        <v>95.473530364200002</v>
      </c>
      <c r="BN54">
        <v>103.54671965599999</v>
      </c>
      <c r="BO54">
        <v>88.333091796299996</v>
      </c>
      <c r="BP54">
        <v>84.356887401500003</v>
      </c>
      <c r="BQ54">
        <v>91.501155586600007</v>
      </c>
      <c r="BR54">
        <v>115.44264533499999</v>
      </c>
      <c r="BS54">
        <v>101.38973453600001</v>
      </c>
      <c r="BT54">
        <v>101.62260963999999</v>
      </c>
      <c r="BU54">
        <v>103.08873138</v>
      </c>
      <c r="BV54">
        <v>86.093468681399997</v>
      </c>
      <c r="BW54">
        <v>101.045283048</v>
      </c>
      <c r="BX54">
        <v>75.357738830399995</v>
      </c>
      <c r="BY54">
        <v>97.930932372000001</v>
      </c>
      <c r="BZ54">
        <v>114.382386397</v>
      </c>
      <c r="CA54">
        <v>94.514038490100006</v>
      </c>
      <c r="CB54">
        <v>94.590844058000002</v>
      </c>
      <c r="CC54">
        <v>81.721813738099996</v>
      </c>
      <c r="CD54">
        <v>95.876075426</v>
      </c>
      <c r="CE54">
        <v>93.186007472300005</v>
      </c>
      <c r="CF54">
        <v>86.603141616599999</v>
      </c>
      <c r="CG54">
        <v>99.553579299399999</v>
      </c>
      <c r="CH54">
        <v>106.373045601</v>
      </c>
      <c r="CI54">
        <v>105.42993623700001</v>
      </c>
      <c r="CJ54">
        <v>103.16062325</v>
      </c>
      <c r="CK54">
        <v>92.847368853500001</v>
      </c>
      <c r="CL54">
        <v>78.640972268499993</v>
      </c>
      <c r="CM54">
        <v>86.951619487299993</v>
      </c>
      <c r="CN54">
        <v>105.71558134</v>
      </c>
      <c r="CO54">
        <v>146.69803364200001</v>
      </c>
      <c r="CP54">
        <v>80.274093028099998</v>
      </c>
      <c r="CQ54">
        <v>98.794600592500004</v>
      </c>
      <c r="CR54">
        <v>99.299717298700003</v>
      </c>
      <c r="CS54">
        <v>105.72332373499999</v>
      </c>
      <c r="CT54">
        <v>117.488192392</v>
      </c>
      <c r="CU54">
        <v>99.566696712899997</v>
      </c>
      <c r="CV54">
        <v>99.254013255999993</v>
      </c>
      <c r="CW54">
        <v>113.13955072</v>
      </c>
      <c r="CX54">
        <v>129.29543700299999</v>
      </c>
      <c r="CY54">
        <v>107.633257761</v>
      </c>
      <c r="CZ54">
        <v>113.13246942400001</v>
      </c>
      <c r="DA54">
        <v>121.88379004799999</v>
      </c>
      <c r="DB54">
        <v>78.757233141100002</v>
      </c>
      <c r="DC54">
        <v>105.41023667</v>
      </c>
      <c r="DD54">
        <v>88.072707503800004</v>
      </c>
      <c r="DE54">
        <v>96.136656194099999</v>
      </c>
      <c r="DF54">
        <v>86.823538677800002</v>
      </c>
      <c r="DG54">
        <v>84.855999865100003</v>
      </c>
      <c r="DH54">
        <v>100.19649662400001</v>
      </c>
    </row>
    <row r="55" spans="1:112" x14ac:dyDescent="0.25">
      <c r="A55" s="8">
        <f t="shared" si="0"/>
        <v>91.071066776134757</v>
      </c>
      <c r="B55" s="9">
        <f>AVERAGE($C$2:C55)</f>
        <v>4.5116401553151704</v>
      </c>
      <c r="C55" s="9">
        <f t="shared" si="1"/>
        <v>4.6101117273565633</v>
      </c>
      <c r="D55" s="6">
        <f>AVERAGE($G$2:G55)</f>
        <v>92.896617219883339</v>
      </c>
      <c r="E55" s="6">
        <f>AVERAGE($H$2:H55)</f>
        <v>91.338307272278584</v>
      </c>
      <c r="F55" s="6">
        <f>AVERAGE($M$2:M55)</f>
        <v>91.188481587727793</v>
      </c>
      <c r="G55" s="6" t="b">
        <f t="shared" si="2"/>
        <v>0</v>
      </c>
      <c r="H55" t="b">
        <f t="shared" si="3"/>
        <v>0</v>
      </c>
      <c r="I55" s="6">
        <f t="shared" si="4"/>
        <v>-0.14982568455079104</v>
      </c>
      <c r="J55" s="6">
        <f t="shared" si="5"/>
        <v>-1.7081356321555461</v>
      </c>
      <c r="K55">
        <v>53</v>
      </c>
      <c r="L55">
        <f>L54+Asian!dt</f>
        <v>0.53000000000000025</v>
      </c>
      <c r="M55">
        <v>100.495377092</v>
      </c>
      <c r="N55">
        <v>86.911183904300003</v>
      </c>
      <c r="O55">
        <v>102.976040989</v>
      </c>
      <c r="P55">
        <v>89.384554247500006</v>
      </c>
      <c r="Q55">
        <v>75.939303147299995</v>
      </c>
      <c r="R55">
        <v>88.003863599300004</v>
      </c>
      <c r="S55">
        <v>111.918040248</v>
      </c>
      <c r="T55">
        <v>76.198709376099998</v>
      </c>
      <c r="U55">
        <v>108.549533931</v>
      </c>
      <c r="V55">
        <v>110.411158179</v>
      </c>
      <c r="W55">
        <v>107.68972261</v>
      </c>
      <c r="X55">
        <v>118.505768011</v>
      </c>
      <c r="Y55">
        <v>91.151310492600004</v>
      </c>
      <c r="Z55">
        <v>115.64306995600001</v>
      </c>
      <c r="AA55">
        <v>108.566020517</v>
      </c>
      <c r="AB55">
        <v>110.418725626</v>
      </c>
      <c r="AC55">
        <v>80.984763098900004</v>
      </c>
      <c r="AD55">
        <v>100.242258647</v>
      </c>
      <c r="AE55">
        <v>131.960299443</v>
      </c>
      <c r="AF55">
        <v>116.078007363</v>
      </c>
      <c r="AG55">
        <v>107.182650583</v>
      </c>
      <c r="AH55">
        <v>115.073179407</v>
      </c>
      <c r="AI55">
        <v>92.748804551899994</v>
      </c>
      <c r="AJ55">
        <v>85.600333399199997</v>
      </c>
      <c r="AK55">
        <v>114.355616173</v>
      </c>
      <c r="AL55">
        <v>108.56626808999999</v>
      </c>
      <c r="AM55">
        <v>93.253417275199993</v>
      </c>
      <c r="AN55">
        <v>109.41106513</v>
      </c>
      <c r="AO55">
        <v>93.624128572900005</v>
      </c>
      <c r="AP55">
        <v>86.924810961600002</v>
      </c>
      <c r="AQ55">
        <v>116.55154199899999</v>
      </c>
      <c r="AR55">
        <v>95.267813079000007</v>
      </c>
      <c r="AS55">
        <v>122.58541858</v>
      </c>
      <c r="AT55">
        <v>93.9784893912</v>
      </c>
      <c r="AU55">
        <v>106.730928183</v>
      </c>
      <c r="AV55">
        <v>125.03495427199999</v>
      </c>
      <c r="AW55">
        <v>122.370186954</v>
      </c>
      <c r="AX55">
        <v>104.793852062</v>
      </c>
      <c r="AY55">
        <v>98.139946237499998</v>
      </c>
      <c r="AZ55">
        <v>125.757397638</v>
      </c>
      <c r="BA55">
        <v>119.838809813</v>
      </c>
      <c r="BB55">
        <v>97.206855571000006</v>
      </c>
      <c r="BC55">
        <v>123.025220979</v>
      </c>
      <c r="BD55">
        <v>104.63916417</v>
      </c>
      <c r="BE55">
        <v>107.712428805</v>
      </c>
      <c r="BF55">
        <v>91.270410699600006</v>
      </c>
      <c r="BG55">
        <v>99.066054562900007</v>
      </c>
      <c r="BH55">
        <v>106.00291706199999</v>
      </c>
      <c r="BI55">
        <v>101.35771203</v>
      </c>
      <c r="BJ55">
        <v>101.956800551</v>
      </c>
      <c r="BK55">
        <v>102.96106503999999</v>
      </c>
      <c r="BL55">
        <v>86.458484443499998</v>
      </c>
      <c r="BM55">
        <v>96.794764144599995</v>
      </c>
      <c r="BN55">
        <v>104.633901276</v>
      </c>
      <c r="BO55">
        <v>85.654311207199996</v>
      </c>
      <c r="BP55">
        <v>79.465636378100001</v>
      </c>
      <c r="BQ55">
        <v>89.9326113451</v>
      </c>
      <c r="BR55">
        <v>113.663444607</v>
      </c>
      <c r="BS55">
        <v>103.778332225</v>
      </c>
      <c r="BT55">
        <v>99.470011407599998</v>
      </c>
      <c r="BU55">
        <v>99.509146904000005</v>
      </c>
      <c r="BV55">
        <v>82.579323509700004</v>
      </c>
      <c r="BW55">
        <v>101.16534256600001</v>
      </c>
      <c r="BX55">
        <v>74.905191699</v>
      </c>
      <c r="BY55">
        <v>93.065073369000004</v>
      </c>
      <c r="BZ55">
        <v>113.935498974</v>
      </c>
      <c r="CA55">
        <v>93.487543242000001</v>
      </c>
      <c r="CB55">
        <v>94.874373998899998</v>
      </c>
      <c r="CC55">
        <v>81.3954313455</v>
      </c>
      <c r="CD55">
        <v>93.813732868200006</v>
      </c>
      <c r="CE55">
        <v>91.102595128999994</v>
      </c>
      <c r="CF55">
        <v>86.558710220199998</v>
      </c>
      <c r="CG55">
        <v>97.195374726500006</v>
      </c>
      <c r="CH55">
        <v>108.30161762100001</v>
      </c>
      <c r="CI55">
        <v>106.542843471</v>
      </c>
      <c r="CJ55">
        <v>104.044790658</v>
      </c>
      <c r="CK55">
        <v>91.830011123600002</v>
      </c>
      <c r="CL55">
        <v>78.320310218299994</v>
      </c>
      <c r="CM55">
        <v>85.454051008899995</v>
      </c>
      <c r="CN55">
        <v>106.588265924</v>
      </c>
      <c r="CO55">
        <v>144.55940511700001</v>
      </c>
      <c r="CP55">
        <v>79.289944623400004</v>
      </c>
      <c r="CQ55">
        <v>98.406144002600001</v>
      </c>
      <c r="CR55">
        <v>102.21447045799999</v>
      </c>
      <c r="CS55">
        <v>101.10140112099999</v>
      </c>
      <c r="CT55">
        <v>114.38940337299999</v>
      </c>
      <c r="CU55">
        <v>100.658378869</v>
      </c>
      <c r="CV55">
        <v>97.769396180699999</v>
      </c>
      <c r="CW55">
        <v>112.29310785200001</v>
      </c>
      <c r="CX55">
        <v>131.012992986</v>
      </c>
      <c r="CY55">
        <v>108.110454199</v>
      </c>
      <c r="CZ55">
        <v>116.384048804</v>
      </c>
      <c r="DA55">
        <v>123.08101205600001</v>
      </c>
      <c r="DB55">
        <v>77.523834002800001</v>
      </c>
      <c r="DC55">
        <v>104.316121357</v>
      </c>
      <c r="DD55">
        <v>87.092314160399994</v>
      </c>
      <c r="DE55">
        <v>96.744634740500004</v>
      </c>
      <c r="DF55">
        <v>84.437975828000006</v>
      </c>
      <c r="DG55">
        <v>82.380991440000003</v>
      </c>
      <c r="DH55">
        <v>99.750886092000002</v>
      </c>
    </row>
    <row r="56" spans="1:112" x14ac:dyDescent="0.25">
      <c r="A56" s="8">
        <f t="shared" si="0"/>
        <v>91.249183157858027</v>
      </c>
      <c r="B56" s="9">
        <f>AVERAGE($C$2:C56)</f>
        <v>4.5135940407278277</v>
      </c>
      <c r="C56" s="9">
        <f t="shared" si="1"/>
        <v>4.6191038530113486</v>
      </c>
      <c r="D56" s="6">
        <f>AVERAGE($G$2:G56)</f>
        <v>92.896617219883339</v>
      </c>
      <c r="E56" s="6">
        <f>AVERAGE($H$2:H56)</f>
        <v>91.338307272278584</v>
      </c>
      <c r="F56" s="6">
        <f>AVERAGE($M$2:M56)</f>
        <v>91.374202273405473</v>
      </c>
      <c r="G56" s="6" t="b">
        <f t="shared" si="2"/>
        <v>0</v>
      </c>
      <c r="H56" t="b">
        <f t="shared" si="3"/>
        <v>0</v>
      </c>
      <c r="I56" s="6">
        <f t="shared" si="4"/>
        <v>3.5895001126888815E-2</v>
      </c>
      <c r="J56" s="6">
        <f t="shared" si="5"/>
        <v>-1.5224149464778662</v>
      </c>
      <c r="K56">
        <v>54</v>
      </c>
      <c r="L56">
        <f>L55+Asian!dt</f>
        <v>0.54000000000000026</v>
      </c>
      <c r="M56">
        <v>101.4031193</v>
      </c>
      <c r="N56">
        <v>88.702019994799997</v>
      </c>
      <c r="O56">
        <v>105.74343216</v>
      </c>
      <c r="P56">
        <v>90.712040446299994</v>
      </c>
      <c r="Q56">
        <v>78.294287068000003</v>
      </c>
      <c r="R56">
        <v>86.641568523000004</v>
      </c>
      <c r="S56">
        <v>114.734571643</v>
      </c>
      <c r="T56">
        <v>76.270768839699997</v>
      </c>
      <c r="U56">
        <v>107.752727279</v>
      </c>
      <c r="V56">
        <v>110.412737308</v>
      </c>
      <c r="W56">
        <v>105.334985461</v>
      </c>
      <c r="X56">
        <v>117.822629127</v>
      </c>
      <c r="Y56">
        <v>91.2010327303</v>
      </c>
      <c r="Z56">
        <v>114.39414360400001</v>
      </c>
      <c r="AA56">
        <v>108.05053085</v>
      </c>
      <c r="AB56">
        <v>110.69167103700001</v>
      </c>
      <c r="AC56">
        <v>79.837413099000003</v>
      </c>
      <c r="AD56">
        <v>100.993328339</v>
      </c>
      <c r="AE56">
        <v>132.340923726</v>
      </c>
      <c r="AF56">
        <v>116.79226690900001</v>
      </c>
      <c r="AG56">
        <v>108.52096703399999</v>
      </c>
      <c r="AH56">
        <v>118.238568891</v>
      </c>
      <c r="AI56">
        <v>94.707562419599995</v>
      </c>
      <c r="AJ56">
        <v>81.805309483900004</v>
      </c>
      <c r="AK56">
        <v>113.38902696300001</v>
      </c>
      <c r="AL56">
        <v>108.07315111600001</v>
      </c>
      <c r="AM56">
        <v>94.368633786299995</v>
      </c>
      <c r="AN56">
        <v>110.667082433</v>
      </c>
      <c r="AO56">
        <v>94.157323560500004</v>
      </c>
      <c r="AP56">
        <v>90.330045467299996</v>
      </c>
      <c r="AQ56">
        <v>119.382944091</v>
      </c>
      <c r="AR56">
        <v>98.854143619699997</v>
      </c>
      <c r="AS56">
        <v>123.732275516</v>
      </c>
      <c r="AT56">
        <v>94.800298106400007</v>
      </c>
      <c r="AU56">
        <v>106.271419931</v>
      </c>
      <c r="AV56">
        <v>122.96918412700001</v>
      </c>
      <c r="AW56">
        <v>124.060485591</v>
      </c>
      <c r="AX56">
        <v>104.08002299899999</v>
      </c>
      <c r="AY56">
        <v>100.30668399</v>
      </c>
      <c r="AZ56">
        <v>122.509488018</v>
      </c>
      <c r="BA56">
        <v>120.690865903</v>
      </c>
      <c r="BB56">
        <v>98.575091769500006</v>
      </c>
      <c r="BC56">
        <v>119.86374266200001</v>
      </c>
      <c r="BD56">
        <v>106.671610274</v>
      </c>
      <c r="BE56">
        <v>104.159590124</v>
      </c>
      <c r="BF56">
        <v>90.487962315999994</v>
      </c>
      <c r="BG56">
        <v>101.93198139899999</v>
      </c>
      <c r="BH56">
        <v>110.398478295</v>
      </c>
      <c r="BI56">
        <v>104.306785201</v>
      </c>
      <c r="BJ56">
        <v>102.95686073</v>
      </c>
      <c r="BK56">
        <v>103.80340513500001</v>
      </c>
      <c r="BL56">
        <v>86.9484171414</v>
      </c>
      <c r="BM56">
        <v>99.1545524191</v>
      </c>
      <c r="BN56">
        <v>103.802878875</v>
      </c>
      <c r="BO56">
        <v>84.668757599700001</v>
      </c>
      <c r="BP56">
        <v>79.859894135800005</v>
      </c>
      <c r="BQ56">
        <v>89.1608956675</v>
      </c>
      <c r="BR56">
        <v>113.845894863</v>
      </c>
      <c r="BS56">
        <v>102.83000798800001</v>
      </c>
      <c r="BT56">
        <v>101.282757471</v>
      </c>
      <c r="BU56">
        <v>102.59416035</v>
      </c>
      <c r="BV56">
        <v>83.765265436899995</v>
      </c>
      <c r="BW56">
        <v>103.128682321</v>
      </c>
      <c r="BX56">
        <v>75.925398226699997</v>
      </c>
      <c r="BY56">
        <v>89.460635447800001</v>
      </c>
      <c r="BZ56">
        <v>113.51081754499999</v>
      </c>
      <c r="CA56">
        <v>91.111541029099996</v>
      </c>
      <c r="CB56">
        <v>95.961787025099994</v>
      </c>
      <c r="CC56">
        <v>82.177800784699997</v>
      </c>
      <c r="CD56">
        <v>90.554590232999999</v>
      </c>
      <c r="CE56">
        <v>88.841364670800004</v>
      </c>
      <c r="CF56">
        <v>85.364105616299994</v>
      </c>
      <c r="CG56">
        <v>97.008960922100002</v>
      </c>
      <c r="CH56">
        <v>108.11490889300001</v>
      </c>
      <c r="CI56">
        <v>105.837799897</v>
      </c>
      <c r="CJ56">
        <v>107.226301573</v>
      </c>
      <c r="CK56">
        <v>90.159601985500004</v>
      </c>
      <c r="CL56">
        <v>81.659348887999997</v>
      </c>
      <c r="CM56">
        <v>83.4320078911</v>
      </c>
      <c r="CN56">
        <v>105.878494426</v>
      </c>
      <c r="CO56">
        <v>141.06815264900001</v>
      </c>
      <c r="CP56">
        <v>80.407945627100005</v>
      </c>
      <c r="CQ56">
        <v>97.020164790999999</v>
      </c>
      <c r="CR56">
        <v>104.115894017</v>
      </c>
      <c r="CS56">
        <v>98.522618643300007</v>
      </c>
      <c r="CT56">
        <v>116.995811862</v>
      </c>
      <c r="CU56">
        <v>99.924630874000002</v>
      </c>
      <c r="CV56">
        <v>97.034528217299993</v>
      </c>
      <c r="CW56">
        <v>108.95530652799999</v>
      </c>
      <c r="CX56">
        <v>129.31902882599999</v>
      </c>
      <c r="CY56">
        <v>107.413947405</v>
      </c>
      <c r="CZ56">
        <v>113.203602008</v>
      </c>
      <c r="DA56">
        <v>126.586127688</v>
      </c>
      <c r="DB56">
        <v>78.493840795099999</v>
      </c>
      <c r="DC56">
        <v>104.574892428</v>
      </c>
      <c r="DD56">
        <v>90.301298320200004</v>
      </c>
      <c r="DE56">
        <v>98.211224361600003</v>
      </c>
      <c r="DF56">
        <v>83.909221282000004</v>
      </c>
      <c r="DG56">
        <v>84.648182726300007</v>
      </c>
      <c r="DH56">
        <v>99.397446704700002</v>
      </c>
    </row>
    <row r="57" spans="1:112" x14ac:dyDescent="0.25">
      <c r="A57" s="8">
        <f t="shared" si="0"/>
        <v>91.403183634517006</v>
      </c>
      <c r="B57" s="9">
        <f>AVERAGE($C$2:C57)</f>
        <v>4.5152803097409828</v>
      </c>
      <c r="C57" s="9">
        <f t="shared" si="1"/>
        <v>4.6080251054645123</v>
      </c>
      <c r="D57" s="6">
        <f>AVERAGE($G$2:G57)</f>
        <v>92.896617219883339</v>
      </c>
      <c r="E57" s="6">
        <f>AVERAGE($H$2:H57)</f>
        <v>91.338307272278584</v>
      </c>
      <c r="F57" s="6">
        <f>AVERAGE($M$2:M57)</f>
        <v>91.533339730380376</v>
      </c>
      <c r="G57" s="6" t="b">
        <f t="shared" si="2"/>
        <v>0</v>
      </c>
      <c r="H57" t="b">
        <f t="shared" si="3"/>
        <v>0</v>
      </c>
      <c r="I57" s="6">
        <f t="shared" si="4"/>
        <v>0.19503245810179237</v>
      </c>
      <c r="J57" s="6">
        <f t="shared" si="5"/>
        <v>-1.3632774895029627</v>
      </c>
      <c r="K57">
        <v>55</v>
      </c>
      <c r="L57">
        <f>L56+Asian!dt</f>
        <v>0.55000000000000027</v>
      </c>
      <c r="M57">
        <v>100.285899864</v>
      </c>
      <c r="N57">
        <v>88.291530754299998</v>
      </c>
      <c r="O57">
        <v>107.694547063</v>
      </c>
      <c r="P57">
        <v>89.509695706700001</v>
      </c>
      <c r="Q57">
        <v>77.8276452769</v>
      </c>
      <c r="R57">
        <v>86.637178721200002</v>
      </c>
      <c r="S57">
        <v>112.79427266099999</v>
      </c>
      <c r="T57">
        <v>75.219027315199995</v>
      </c>
      <c r="U57">
        <v>106.433273403</v>
      </c>
      <c r="V57">
        <v>110.54952661199999</v>
      </c>
      <c r="W57">
        <v>103.442818565</v>
      </c>
      <c r="X57">
        <v>117.283268959</v>
      </c>
      <c r="Y57">
        <v>89.824158613099996</v>
      </c>
      <c r="Z57">
        <v>112.411606604</v>
      </c>
      <c r="AA57">
        <v>107.488438053</v>
      </c>
      <c r="AB57">
        <v>110.95879965100001</v>
      </c>
      <c r="AC57">
        <v>78.526439806699997</v>
      </c>
      <c r="AD57">
        <v>100.505729762</v>
      </c>
      <c r="AE57">
        <v>136.17976317399999</v>
      </c>
      <c r="AF57">
        <v>118.864432768</v>
      </c>
      <c r="AG57">
        <v>107.678267289</v>
      </c>
      <c r="AH57">
        <v>119.321937593</v>
      </c>
      <c r="AI57">
        <v>94.046807893899995</v>
      </c>
      <c r="AJ57">
        <v>81.565526117299996</v>
      </c>
      <c r="AK57">
        <v>113.0442616</v>
      </c>
      <c r="AL57">
        <v>107.64634250899999</v>
      </c>
      <c r="AM57">
        <v>94.6589311213</v>
      </c>
      <c r="AN57">
        <v>108.97121125</v>
      </c>
      <c r="AO57">
        <v>94.720949564999998</v>
      </c>
      <c r="AP57">
        <v>87.845705401900005</v>
      </c>
      <c r="AQ57">
        <v>120.41952362000001</v>
      </c>
      <c r="AR57">
        <v>95.199076558300007</v>
      </c>
      <c r="AS57">
        <v>122.29202507399999</v>
      </c>
      <c r="AT57">
        <v>95.076893871400003</v>
      </c>
      <c r="AU57">
        <v>110.29863174400001</v>
      </c>
      <c r="AV57">
        <v>125.617874305</v>
      </c>
      <c r="AW57">
        <v>124.222451674</v>
      </c>
      <c r="AX57">
        <v>104.63882485800001</v>
      </c>
      <c r="AY57">
        <v>102.784067424</v>
      </c>
      <c r="AZ57">
        <v>122.66621422</v>
      </c>
      <c r="BA57">
        <v>115.908430104</v>
      </c>
      <c r="BB57">
        <v>98.921944130699998</v>
      </c>
      <c r="BC57">
        <v>114.263916314</v>
      </c>
      <c r="BD57">
        <v>101.78037527799999</v>
      </c>
      <c r="BE57">
        <v>107.11931035800001</v>
      </c>
      <c r="BF57">
        <v>85.346969681100006</v>
      </c>
      <c r="BG57">
        <v>99.555739820400007</v>
      </c>
      <c r="BH57">
        <v>106.373638989</v>
      </c>
      <c r="BI57">
        <v>104.135559757</v>
      </c>
      <c r="BJ57">
        <v>103.034289992</v>
      </c>
      <c r="BK57">
        <v>105.05501264500001</v>
      </c>
      <c r="BL57">
        <v>86.192709039600004</v>
      </c>
      <c r="BM57">
        <v>100.52899445</v>
      </c>
      <c r="BN57">
        <v>100.20903515400001</v>
      </c>
      <c r="BO57">
        <v>85.534045014399993</v>
      </c>
      <c r="BP57">
        <v>81.456814809400001</v>
      </c>
      <c r="BQ57">
        <v>90.249632115699995</v>
      </c>
      <c r="BR57">
        <v>113.78594222</v>
      </c>
      <c r="BS57">
        <v>103.761952644</v>
      </c>
      <c r="BT57">
        <v>103.524003759</v>
      </c>
      <c r="BU57">
        <v>100.63958649200001</v>
      </c>
      <c r="BV57">
        <v>81.056459511100002</v>
      </c>
      <c r="BW57">
        <v>107.706857773</v>
      </c>
      <c r="BX57">
        <v>74.800473990599997</v>
      </c>
      <c r="BY57">
        <v>89.715125539400006</v>
      </c>
      <c r="BZ57">
        <v>116.19801576099999</v>
      </c>
      <c r="CA57">
        <v>90.723617642700006</v>
      </c>
      <c r="CB57">
        <v>94.518234327900004</v>
      </c>
      <c r="CC57">
        <v>79.4204428691</v>
      </c>
      <c r="CD57">
        <v>91.931192745399997</v>
      </c>
      <c r="CE57">
        <v>86.305556079400006</v>
      </c>
      <c r="CF57">
        <v>85.859548895700001</v>
      </c>
      <c r="CG57">
        <v>98.801581095299994</v>
      </c>
      <c r="CH57">
        <v>111.24955020500001</v>
      </c>
      <c r="CI57">
        <v>102.400430172</v>
      </c>
      <c r="CJ57">
        <v>111.069727212</v>
      </c>
      <c r="CK57">
        <v>91.459160786699996</v>
      </c>
      <c r="CL57">
        <v>81.410485062700005</v>
      </c>
      <c r="CM57">
        <v>80.233826397800001</v>
      </c>
      <c r="CN57">
        <v>106.596971458</v>
      </c>
      <c r="CO57">
        <v>140.83848419399999</v>
      </c>
      <c r="CP57">
        <v>81.161865109600001</v>
      </c>
      <c r="CQ57">
        <v>94.788659834699999</v>
      </c>
      <c r="CR57">
        <v>101.73562271</v>
      </c>
      <c r="CS57">
        <v>100.29968291900001</v>
      </c>
      <c r="CT57">
        <v>119.403341023</v>
      </c>
      <c r="CU57">
        <v>104.02366393</v>
      </c>
      <c r="CV57">
        <v>95.3956309581</v>
      </c>
      <c r="CW57">
        <v>103.644963467</v>
      </c>
      <c r="CX57">
        <v>131.389913345</v>
      </c>
      <c r="CY57">
        <v>111.762592047</v>
      </c>
      <c r="CZ57">
        <v>117.63206271</v>
      </c>
      <c r="DA57">
        <v>124.719444053</v>
      </c>
      <c r="DB57">
        <v>78.576020548599999</v>
      </c>
      <c r="DC57">
        <v>103.134899194</v>
      </c>
      <c r="DD57">
        <v>92.322232407399994</v>
      </c>
      <c r="DE57">
        <v>101.046876137</v>
      </c>
      <c r="DF57">
        <v>82.765540230499994</v>
      </c>
      <c r="DG57">
        <v>86.633797596199997</v>
      </c>
      <c r="DH57">
        <v>98.641136992</v>
      </c>
    </row>
    <row r="58" spans="1:112" x14ac:dyDescent="0.25">
      <c r="A58" s="8">
        <f t="shared" si="0"/>
        <v>91.524011887857611</v>
      </c>
      <c r="B58" s="9">
        <f>AVERAGE($C$2:C58)</f>
        <v>4.5166013628579655</v>
      </c>
      <c r="C58" s="9">
        <f t="shared" si="1"/>
        <v>4.5905803374089977</v>
      </c>
      <c r="D58" s="6">
        <f>AVERAGE($G$2:G58)</f>
        <v>92.896617219883339</v>
      </c>
      <c r="E58" s="6">
        <f>AVERAGE($H$2:H58)</f>
        <v>91.819193904366685</v>
      </c>
      <c r="F58" s="6">
        <f>AVERAGE($M$2:M58)</f>
        <v>91.656467222015806</v>
      </c>
      <c r="G58" s="6" t="b">
        <f t="shared" si="2"/>
        <v>0</v>
      </c>
      <c r="H58">
        <f t="shared" si="3"/>
        <v>98.551606753599998</v>
      </c>
      <c r="I58" s="6">
        <f t="shared" si="4"/>
        <v>-0.16272668235087906</v>
      </c>
      <c r="J58" s="6">
        <f t="shared" si="5"/>
        <v>-1.2401499978675332</v>
      </c>
      <c r="K58">
        <v>56</v>
      </c>
      <c r="L58">
        <f>L57+Asian!dt</f>
        <v>0.56000000000000028</v>
      </c>
      <c r="M58">
        <v>98.551606753599998</v>
      </c>
      <c r="N58">
        <v>92.431477096500004</v>
      </c>
      <c r="O58">
        <v>105.82825546700001</v>
      </c>
      <c r="P58">
        <v>91.973207996300005</v>
      </c>
      <c r="Q58">
        <v>76.520735354099997</v>
      </c>
      <c r="R58">
        <v>88.796627868399995</v>
      </c>
      <c r="S58">
        <v>113.156758454</v>
      </c>
      <c r="T58">
        <v>73.908305715400004</v>
      </c>
      <c r="U58">
        <v>107.37846974</v>
      </c>
      <c r="V58">
        <v>109.960274717</v>
      </c>
      <c r="W58">
        <v>100.375301228</v>
      </c>
      <c r="X58">
        <v>115.700802396</v>
      </c>
      <c r="Y58">
        <v>90.568661397900001</v>
      </c>
      <c r="Z58">
        <v>111.513312903</v>
      </c>
      <c r="AA58">
        <v>107.116875378</v>
      </c>
      <c r="AB58">
        <v>111.13890466399999</v>
      </c>
      <c r="AC58">
        <v>77.497246998400001</v>
      </c>
      <c r="AD58">
        <v>97.571745434199997</v>
      </c>
      <c r="AE58">
        <v>139.01464035399999</v>
      </c>
      <c r="AF58">
        <v>125.83108458300001</v>
      </c>
      <c r="AG58">
        <v>111.109281049</v>
      </c>
      <c r="AH58">
        <v>123.544755745</v>
      </c>
      <c r="AI58">
        <v>91.835143211599998</v>
      </c>
      <c r="AJ58">
        <v>80.881381707000003</v>
      </c>
      <c r="AK58">
        <v>113.687838566</v>
      </c>
      <c r="AL58">
        <v>100.929718702</v>
      </c>
      <c r="AM58">
        <v>93.268769786600004</v>
      </c>
      <c r="AN58">
        <v>108.926048545</v>
      </c>
      <c r="AO58">
        <v>94.270921266499997</v>
      </c>
      <c r="AP58">
        <v>87.966664456700002</v>
      </c>
      <c r="AQ58">
        <v>123.773954899</v>
      </c>
      <c r="AR58">
        <v>94.191981181700001</v>
      </c>
      <c r="AS58">
        <v>121.850660867</v>
      </c>
      <c r="AT58">
        <v>95.107441704699994</v>
      </c>
      <c r="AU58">
        <v>112.25190299400001</v>
      </c>
      <c r="AV58">
        <v>120.853890197</v>
      </c>
      <c r="AW58">
        <v>124.082936574</v>
      </c>
      <c r="AX58">
        <v>99.610354858799994</v>
      </c>
      <c r="AY58">
        <v>102.761941345</v>
      </c>
      <c r="AZ58">
        <v>124.199768181</v>
      </c>
      <c r="BA58">
        <v>115.690976741</v>
      </c>
      <c r="BB58">
        <v>95.653349228400003</v>
      </c>
      <c r="BC58">
        <v>111.391652193</v>
      </c>
      <c r="BD58">
        <v>105.789602281</v>
      </c>
      <c r="BE58">
        <v>104.118668141</v>
      </c>
      <c r="BF58">
        <v>88.739303871900006</v>
      </c>
      <c r="BG58">
        <v>97.163257732199995</v>
      </c>
      <c r="BH58">
        <v>103.41533324700001</v>
      </c>
      <c r="BI58">
        <v>102.348067469</v>
      </c>
      <c r="BJ58">
        <v>103.95947752399999</v>
      </c>
      <c r="BK58">
        <v>102.49423252</v>
      </c>
      <c r="BL58">
        <v>88.600719778300004</v>
      </c>
      <c r="BM58">
        <v>102.21842766499999</v>
      </c>
      <c r="BN58">
        <v>102.467094328</v>
      </c>
      <c r="BO58">
        <v>87.095589609200005</v>
      </c>
      <c r="BP58">
        <v>80.1699418245</v>
      </c>
      <c r="BQ58">
        <v>92.794679323799997</v>
      </c>
      <c r="BR58">
        <v>113.71390696</v>
      </c>
      <c r="BS58">
        <v>105.64729386899999</v>
      </c>
      <c r="BT58">
        <v>104.73752700599999</v>
      </c>
      <c r="BU58">
        <v>100.166408199</v>
      </c>
      <c r="BV58">
        <v>82.722603522200004</v>
      </c>
      <c r="BW58">
        <v>105.75258502200001</v>
      </c>
      <c r="BX58">
        <v>74.543839211700003</v>
      </c>
      <c r="BY58">
        <v>90.684374116300006</v>
      </c>
      <c r="BZ58">
        <v>116.41237905200001</v>
      </c>
      <c r="CA58">
        <v>93.969629707300001</v>
      </c>
      <c r="CB58">
        <v>97.598340265900006</v>
      </c>
      <c r="CC58">
        <v>77.816932240599996</v>
      </c>
      <c r="CD58">
        <v>92.090127218099994</v>
      </c>
      <c r="CE58">
        <v>87.040896759899994</v>
      </c>
      <c r="CF58">
        <v>83.534015249299998</v>
      </c>
      <c r="CG58">
        <v>101.04263868</v>
      </c>
      <c r="CH58">
        <v>112.024546449</v>
      </c>
      <c r="CI58">
        <v>101.07488481</v>
      </c>
      <c r="CJ58">
        <v>111.679515701</v>
      </c>
      <c r="CK58">
        <v>91.556964984199993</v>
      </c>
      <c r="CL58">
        <v>81.910756881799998</v>
      </c>
      <c r="CM58">
        <v>83.417081894800006</v>
      </c>
      <c r="CN58">
        <v>104.199856783</v>
      </c>
      <c r="CO58">
        <v>140.41393164600001</v>
      </c>
      <c r="CP58">
        <v>82.222816158900002</v>
      </c>
      <c r="CQ58">
        <v>92.776921242699999</v>
      </c>
      <c r="CR58">
        <v>101.655396638</v>
      </c>
      <c r="CS58">
        <v>99.766128163700003</v>
      </c>
      <c r="CT58">
        <v>120.55297073</v>
      </c>
      <c r="CU58">
        <v>104.541077007</v>
      </c>
      <c r="CV58">
        <v>92.321844491299998</v>
      </c>
      <c r="CW58">
        <v>105.25402278200001</v>
      </c>
      <c r="CX58">
        <v>130.860584308</v>
      </c>
      <c r="CY58">
        <v>110.24444744100001</v>
      </c>
      <c r="CZ58">
        <v>122.658665816</v>
      </c>
      <c r="DA58">
        <v>124.517642962</v>
      </c>
      <c r="DB58">
        <v>79.146372981100001</v>
      </c>
      <c r="DC58">
        <v>103.96633537300001</v>
      </c>
      <c r="DD58">
        <v>93.190882902300004</v>
      </c>
      <c r="DE58">
        <v>96.767828525400006</v>
      </c>
      <c r="DF58">
        <v>82.646192480699995</v>
      </c>
      <c r="DG58">
        <v>86.706618193400004</v>
      </c>
      <c r="DH58">
        <v>98.668984772800002</v>
      </c>
    </row>
    <row r="59" spans="1:112" x14ac:dyDescent="0.25">
      <c r="A59" s="8">
        <f t="shared" si="0"/>
        <v>91.585550843905096</v>
      </c>
      <c r="B59" s="9">
        <f>AVERAGE($C$2:C59)</f>
        <v>4.5172735173587606</v>
      </c>
      <c r="C59" s="9">
        <f t="shared" si="1"/>
        <v>4.555586323904036</v>
      </c>
      <c r="D59" s="6">
        <f>AVERAGE($G$2:G59)</f>
        <v>92.896617219883339</v>
      </c>
      <c r="E59" s="6">
        <f>AVERAGE($H$2:H59)</f>
        <v>91.819193904366685</v>
      </c>
      <c r="F59" s="6">
        <f>AVERAGE($M$2:M59)</f>
        <v>91.71691666561037</v>
      </c>
      <c r="G59" s="6" t="b">
        <f t="shared" si="2"/>
        <v>0</v>
      </c>
      <c r="H59" t="b">
        <f t="shared" si="3"/>
        <v>0</v>
      </c>
      <c r="I59" s="6">
        <f t="shared" si="4"/>
        <v>-0.10227723875631511</v>
      </c>
      <c r="J59" s="6">
        <f t="shared" si="5"/>
        <v>-1.1797005542729693</v>
      </c>
      <c r="K59">
        <v>57</v>
      </c>
      <c r="L59">
        <f>L58+Asian!dt</f>
        <v>0.57000000000000028</v>
      </c>
      <c r="M59">
        <v>95.162534950500003</v>
      </c>
      <c r="N59">
        <v>93.513365225300007</v>
      </c>
      <c r="O59">
        <v>105.223073144</v>
      </c>
      <c r="P59">
        <v>92.451243711199993</v>
      </c>
      <c r="Q59">
        <v>76.979933388500001</v>
      </c>
      <c r="R59">
        <v>87.626917462500003</v>
      </c>
      <c r="S59">
        <v>109.27746357700001</v>
      </c>
      <c r="T59">
        <v>74.577329581300006</v>
      </c>
      <c r="U59">
        <v>104.106251093</v>
      </c>
      <c r="V59">
        <v>111.720041643</v>
      </c>
      <c r="W59">
        <v>101.162508997</v>
      </c>
      <c r="X59">
        <v>117.042405505</v>
      </c>
      <c r="Y59">
        <v>92.534183901700004</v>
      </c>
      <c r="Z59">
        <v>112.778467939</v>
      </c>
      <c r="AA59">
        <v>110.743191876</v>
      </c>
      <c r="AB59">
        <v>110.622079834</v>
      </c>
      <c r="AC59">
        <v>74.926232085799995</v>
      </c>
      <c r="AD59">
        <v>99.233239865100003</v>
      </c>
      <c r="AE59">
        <v>139.86869759800001</v>
      </c>
      <c r="AF59">
        <v>126.139334725</v>
      </c>
      <c r="AG59">
        <v>111.155025743</v>
      </c>
      <c r="AH59">
        <v>124.375520427</v>
      </c>
      <c r="AI59">
        <v>93.123053866600003</v>
      </c>
      <c r="AJ59">
        <v>83.313847284900007</v>
      </c>
      <c r="AK59">
        <v>111.262413141</v>
      </c>
      <c r="AL59">
        <v>103.747842711</v>
      </c>
      <c r="AM59">
        <v>90.651005442400006</v>
      </c>
      <c r="AN59">
        <v>105.22795435499999</v>
      </c>
      <c r="AO59">
        <v>93.758158578000007</v>
      </c>
      <c r="AP59">
        <v>85.901900713900005</v>
      </c>
      <c r="AQ59">
        <v>123.085077743</v>
      </c>
      <c r="AR59">
        <v>96.685929484200003</v>
      </c>
      <c r="AS59">
        <v>127.675496745</v>
      </c>
      <c r="AT59">
        <v>91.074235937500006</v>
      </c>
      <c r="AU59">
        <v>112.205218516</v>
      </c>
      <c r="AV59">
        <v>123.649078868</v>
      </c>
      <c r="AW59">
        <v>121.63504821799999</v>
      </c>
      <c r="AX59">
        <v>99.644257984700005</v>
      </c>
      <c r="AY59">
        <v>103.447062551</v>
      </c>
      <c r="AZ59">
        <v>125.015661842</v>
      </c>
      <c r="BA59">
        <v>117.747464534</v>
      </c>
      <c r="BB59">
        <v>100.564408306</v>
      </c>
      <c r="BC59">
        <v>114.811922448</v>
      </c>
      <c r="BD59">
        <v>104.278889935</v>
      </c>
      <c r="BE59">
        <v>105.404862967</v>
      </c>
      <c r="BF59">
        <v>91.245324726700005</v>
      </c>
      <c r="BG59">
        <v>98.194656911899997</v>
      </c>
      <c r="BH59">
        <v>101.167866281</v>
      </c>
      <c r="BI59">
        <v>103.072417366</v>
      </c>
      <c r="BJ59">
        <v>105.934416412</v>
      </c>
      <c r="BK59">
        <v>101.29195846499999</v>
      </c>
      <c r="BL59">
        <v>89.581125895</v>
      </c>
      <c r="BM59">
        <v>105.708261463</v>
      </c>
      <c r="BN59">
        <v>102.093937614</v>
      </c>
      <c r="BO59">
        <v>87.776739925599998</v>
      </c>
      <c r="BP59">
        <v>81.161347867399996</v>
      </c>
      <c r="BQ59">
        <v>93.998625038399993</v>
      </c>
      <c r="BR59">
        <v>112.464195242</v>
      </c>
      <c r="BS59">
        <v>109.902472479</v>
      </c>
      <c r="BT59">
        <v>104.858967406</v>
      </c>
      <c r="BU59">
        <v>98.578790062699994</v>
      </c>
      <c r="BV59">
        <v>82.735384094799997</v>
      </c>
      <c r="BW59">
        <v>104.570783722</v>
      </c>
      <c r="BX59">
        <v>74.078353486899999</v>
      </c>
      <c r="BY59">
        <v>89.745160742400003</v>
      </c>
      <c r="BZ59">
        <v>117.74506393599999</v>
      </c>
      <c r="CA59">
        <v>92.506171781199996</v>
      </c>
      <c r="CB59">
        <v>96.816676055000002</v>
      </c>
      <c r="CC59">
        <v>78.946550187300005</v>
      </c>
      <c r="CD59">
        <v>92.816013325300005</v>
      </c>
      <c r="CE59">
        <v>85.477536028299994</v>
      </c>
      <c r="CF59">
        <v>82.362532055900004</v>
      </c>
      <c r="CG59">
        <v>98.566715391000002</v>
      </c>
      <c r="CH59">
        <v>107.741434596</v>
      </c>
      <c r="CI59">
        <v>99.224651870700001</v>
      </c>
      <c r="CJ59">
        <v>109.35010453700001</v>
      </c>
      <c r="CK59">
        <v>94.962102487899998</v>
      </c>
      <c r="CL59">
        <v>81.914106489800005</v>
      </c>
      <c r="CM59">
        <v>86.387152949799997</v>
      </c>
      <c r="CN59">
        <v>105.856089965</v>
      </c>
      <c r="CO59">
        <v>145.157812689</v>
      </c>
      <c r="CP59">
        <v>81.865284387299994</v>
      </c>
      <c r="CQ59">
        <v>91.399052516699996</v>
      </c>
      <c r="CR59">
        <v>102.585139408</v>
      </c>
      <c r="CS59">
        <v>101.26967701700001</v>
      </c>
      <c r="CT59">
        <v>125.836788834</v>
      </c>
      <c r="CU59">
        <v>103.595860186</v>
      </c>
      <c r="CV59">
        <v>90.6246913775</v>
      </c>
      <c r="CW59">
        <v>106.331801111</v>
      </c>
      <c r="CX59">
        <v>128.72002450299999</v>
      </c>
      <c r="CY59">
        <v>113.659617393</v>
      </c>
      <c r="CZ59">
        <v>117.08238066</v>
      </c>
      <c r="DA59">
        <v>127.073811819</v>
      </c>
      <c r="DB59">
        <v>79.378359920700007</v>
      </c>
      <c r="DC59">
        <v>104.70926853100001</v>
      </c>
      <c r="DD59">
        <v>94.320628719200002</v>
      </c>
      <c r="DE59">
        <v>97.375660787900003</v>
      </c>
      <c r="DF59">
        <v>84.345316625899997</v>
      </c>
      <c r="DG59">
        <v>83.977042252700002</v>
      </c>
      <c r="DH59">
        <v>97.060691106099995</v>
      </c>
    </row>
    <row r="60" spans="1:112" x14ac:dyDescent="0.25">
      <c r="A60" s="8">
        <f t="shared" si="0"/>
        <v>91.572253446377246</v>
      </c>
      <c r="B60" s="9">
        <f>AVERAGE($C$2:C60)</f>
        <v>4.5171283158195443</v>
      </c>
      <c r="C60" s="9">
        <f t="shared" si="1"/>
        <v>4.5087066265450177</v>
      </c>
      <c r="D60" s="6">
        <f>AVERAGE($G$2:G60)</f>
        <v>92.896617219883339</v>
      </c>
      <c r="E60" s="6">
        <f>AVERAGE($H$2:H60)</f>
        <v>91.819193904366685</v>
      </c>
      <c r="F60" s="6">
        <f>AVERAGE($M$2:M60)</f>
        <v>91.701448563801719</v>
      </c>
      <c r="G60" s="6" t="b">
        <f t="shared" si="2"/>
        <v>0</v>
      </c>
      <c r="H60" t="b">
        <f t="shared" si="3"/>
        <v>0</v>
      </c>
      <c r="I60" s="6">
        <f t="shared" si="4"/>
        <v>-0.11774534056496577</v>
      </c>
      <c r="J60" s="6">
        <f t="shared" si="5"/>
        <v>-1.1951686560816199</v>
      </c>
      <c r="K60">
        <v>58</v>
      </c>
      <c r="L60">
        <f>L59+Asian!dt</f>
        <v>0.58000000000000029</v>
      </c>
      <c r="M60">
        <v>90.804298658899995</v>
      </c>
      <c r="N60">
        <v>93.617511587600006</v>
      </c>
      <c r="O60">
        <v>105.419871992</v>
      </c>
      <c r="P60">
        <v>95.017148034200005</v>
      </c>
      <c r="Q60">
        <v>75.393023141499995</v>
      </c>
      <c r="R60">
        <v>87.958723414199994</v>
      </c>
      <c r="S60">
        <v>106.446998906</v>
      </c>
      <c r="T60">
        <v>74.767735931800004</v>
      </c>
      <c r="U60">
        <v>102.41695645599999</v>
      </c>
      <c r="V60">
        <v>114.79816832100001</v>
      </c>
      <c r="W60">
        <v>102.261156097</v>
      </c>
      <c r="X60">
        <v>113.89590411099999</v>
      </c>
      <c r="Y60">
        <v>91.648142741599997</v>
      </c>
      <c r="Z60">
        <v>112.276813894</v>
      </c>
      <c r="AA60">
        <v>105.572577442</v>
      </c>
      <c r="AB60">
        <v>110.18972378700001</v>
      </c>
      <c r="AC60">
        <v>76.854882392299999</v>
      </c>
      <c r="AD60">
        <v>101.10212602199999</v>
      </c>
      <c r="AE60">
        <v>142.39534238499999</v>
      </c>
      <c r="AF60">
        <v>131.48406453600001</v>
      </c>
      <c r="AG60">
        <v>106.32392812499999</v>
      </c>
      <c r="AH60">
        <v>123.015839731</v>
      </c>
      <c r="AI60">
        <v>90.631280539499997</v>
      </c>
      <c r="AJ60">
        <v>83.039636491300001</v>
      </c>
      <c r="AK60">
        <v>112.64163478899999</v>
      </c>
      <c r="AL60">
        <v>105.566476087</v>
      </c>
      <c r="AM60">
        <v>88.032761987499995</v>
      </c>
      <c r="AN60">
        <v>102.160502282</v>
      </c>
      <c r="AO60">
        <v>97.516825580200006</v>
      </c>
      <c r="AP60">
        <v>84.145789344899995</v>
      </c>
      <c r="AQ60">
        <v>125.369587968</v>
      </c>
      <c r="AR60">
        <v>97.7034540999</v>
      </c>
      <c r="AS60">
        <v>126.45628601</v>
      </c>
      <c r="AT60">
        <v>89.303600614600001</v>
      </c>
      <c r="AU60">
        <v>110.578815494</v>
      </c>
      <c r="AV60">
        <v>124.017172249</v>
      </c>
      <c r="AW60">
        <v>121.75591439900001</v>
      </c>
      <c r="AX60">
        <v>101.250223527</v>
      </c>
      <c r="AY60">
        <v>102.263183662</v>
      </c>
      <c r="AZ60">
        <v>127.988492073</v>
      </c>
      <c r="BA60">
        <v>122.85223942499999</v>
      </c>
      <c r="BB60">
        <v>104.399712545</v>
      </c>
      <c r="BC60">
        <v>114.659010186</v>
      </c>
      <c r="BD60">
        <v>104.384597654</v>
      </c>
      <c r="BE60">
        <v>105.655430264</v>
      </c>
      <c r="BF60">
        <v>90.171870093300001</v>
      </c>
      <c r="BG60">
        <v>95.6501785735</v>
      </c>
      <c r="BH60">
        <v>100.852991854</v>
      </c>
      <c r="BI60">
        <v>103.57023231700001</v>
      </c>
      <c r="BJ60">
        <v>107.121735683</v>
      </c>
      <c r="BK60">
        <v>104.147072726</v>
      </c>
      <c r="BL60">
        <v>83.332695074599997</v>
      </c>
      <c r="BM60">
        <v>105.075826826</v>
      </c>
      <c r="BN60">
        <v>102.649581111</v>
      </c>
      <c r="BO60">
        <v>90.415910782699996</v>
      </c>
      <c r="BP60">
        <v>82.721460885900001</v>
      </c>
      <c r="BQ60">
        <v>94.081130356900005</v>
      </c>
      <c r="BR60">
        <v>110.768134569</v>
      </c>
      <c r="BS60">
        <v>111.503882796</v>
      </c>
      <c r="BT60">
        <v>103.94416616399999</v>
      </c>
      <c r="BU60">
        <v>99.011683372799993</v>
      </c>
      <c r="BV60">
        <v>83.248950531800006</v>
      </c>
      <c r="BW60">
        <v>101.89086151399999</v>
      </c>
      <c r="BX60">
        <v>71.515098736499993</v>
      </c>
      <c r="BY60">
        <v>93.441442782799996</v>
      </c>
      <c r="BZ60">
        <v>116.471845061</v>
      </c>
      <c r="CA60">
        <v>91.919561695100001</v>
      </c>
      <c r="CB60">
        <v>102.568778463</v>
      </c>
      <c r="CC60">
        <v>77.118782571300002</v>
      </c>
      <c r="CD60">
        <v>96.088664140500001</v>
      </c>
      <c r="CE60">
        <v>84.939103181700006</v>
      </c>
      <c r="CF60">
        <v>84.138549588299995</v>
      </c>
      <c r="CG60">
        <v>97.265703391599999</v>
      </c>
      <c r="CH60">
        <v>111.277427679</v>
      </c>
      <c r="CI60">
        <v>96.747859593699999</v>
      </c>
      <c r="CJ60">
        <v>110.759978292</v>
      </c>
      <c r="CK60">
        <v>93.541408285000003</v>
      </c>
      <c r="CL60">
        <v>83.925170189100001</v>
      </c>
      <c r="CM60">
        <v>86.308574605499999</v>
      </c>
      <c r="CN60">
        <v>108.793506824</v>
      </c>
      <c r="CO60">
        <v>144.520623091</v>
      </c>
      <c r="CP60">
        <v>82.226895739</v>
      </c>
      <c r="CQ60">
        <v>92.531100193300006</v>
      </c>
      <c r="CR60">
        <v>102.224531106</v>
      </c>
      <c r="CS60">
        <v>100.92459619500001</v>
      </c>
      <c r="CT60">
        <v>128.36056701000001</v>
      </c>
      <c r="CU60">
        <v>102.281898575</v>
      </c>
      <c r="CV60">
        <v>90.650936008000002</v>
      </c>
      <c r="CW60">
        <v>105.55181096699999</v>
      </c>
      <c r="CX60">
        <v>124.98086337300001</v>
      </c>
      <c r="CY60">
        <v>112.159051402</v>
      </c>
      <c r="CZ60">
        <v>115.969452352</v>
      </c>
      <c r="DA60">
        <v>127.393004667</v>
      </c>
      <c r="DB60">
        <v>78.842057471000004</v>
      </c>
      <c r="DC60">
        <v>105.33031611200001</v>
      </c>
      <c r="DD60">
        <v>93.259488634999997</v>
      </c>
      <c r="DE60">
        <v>96.073376567400004</v>
      </c>
      <c r="DF60">
        <v>81.365586246899994</v>
      </c>
      <c r="DG60">
        <v>84.325185016899994</v>
      </c>
      <c r="DH60">
        <v>99.703299835400003</v>
      </c>
    </row>
    <row r="61" spans="1:112" x14ac:dyDescent="0.25">
      <c r="A61" s="8">
        <f t="shared" si="0"/>
        <v>91.583440695481656</v>
      </c>
      <c r="B61" s="9">
        <f>AVERAGE($C$2:C61)</f>
        <v>4.5172504769040875</v>
      </c>
      <c r="C61" s="9">
        <f t="shared" si="1"/>
        <v>4.5244579808921621</v>
      </c>
      <c r="D61" s="6">
        <f>AVERAGE($G$2:G61)</f>
        <v>92.896617219883339</v>
      </c>
      <c r="E61" s="6">
        <f>AVERAGE($H$2:H61)</f>
        <v>91.819193904366685</v>
      </c>
      <c r="F61" s="6">
        <f>AVERAGE($M$2:M61)</f>
        <v>91.710522974878359</v>
      </c>
      <c r="G61" s="6" t="b">
        <f t="shared" si="2"/>
        <v>0</v>
      </c>
      <c r="H61" t="b">
        <f t="shared" si="3"/>
        <v>0</v>
      </c>
      <c r="I61" s="6">
        <f t="shared" si="4"/>
        <v>-0.10867092948832635</v>
      </c>
      <c r="J61" s="6">
        <f t="shared" si="5"/>
        <v>-1.1860942450049805</v>
      </c>
      <c r="K61">
        <v>59</v>
      </c>
      <c r="L61">
        <f>L60+Asian!dt</f>
        <v>0.5900000000000003</v>
      </c>
      <c r="M61">
        <v>92.245913228399999</v>
      </c>
      <c r="N61">
        <v>92.019887015799995</v>
      </c>
      <c r="O61">
        <v>105.993638809</v>
      </c>
      <c r="P61">
        <v>94.486100326799999</v>
      </c>
      <c r="Q61">
        <v>73.964113759200004</v>
      </c>
      <c r="R61">
        <v>88.640521751799994</v>
      </c>
      <c r="S61">
        <v>106.95423781</v>
      </c>
      <c r="T61">
        <v>75.503407978799999</v>
      </c>
      <c r="U61">
        <v>103.925678228</v>
      </c>
      <c r="V61">
        <v>115.350520972</v>
      </c>
      <c r="W61">
        <v>106.170932174</v>
      </c>
      <c r="X61">
        <v>109.679461124</v>
      </c>
      <c r="Y61">
        <v>92.361731897699997</v>
      </c>
      <c r="Z61">
        <v>112.318847733</v>
      </c>
      <c r="AA61">
        <v>105.12081552399999</v>
      </c>
      <c r="AB61">
        <v>110.42744170100001</v>
      </c>
      <c r="AC61">
        <v>77.064458624699995</v>
      </c>
      <c r="AD61">
        <v>102.46371359299999</v>
      </c>
      <c r="AE61">
        <v>144.51291008800001</v>
      </c>
      <c r="AF61">
        <v>129.627491077</v>
      </c>
      <c r="AG61">
        <v>108.401555891</v>
      </c>
      <c r="AH61">
        <v>123.006154951</v>
      </c>
      <c r="AI61">
        <v>89.421673322399997</v>
      </c>
      <c r="AJ61">
        <v>83.403782874300006</v>
      </c>
      <c r="AK61">
        <v>113.548090106</v>
      </c>
      <c r="AL61">
        <v>103.965917996</v>
      </c>
      <c r="AM61">
        <v>88.090606885200003</v>
      </c>
      <c r="AN61">
        <v>101.897151685</v>
      </c>
      <c r="AO61">
        <v>96.043136551999993</v>
      </c>
      <c r="AP61">
        <v>85.076330847700007</v>
      </c>
      <c r="AQ61">
        <v>120.579384953</v>
      </c>
      <c r="AR61">
        <v>96.769297645400002</v>
      </c>
      <c r="AS61">
        <v>130.94570653299999</v>
      </c>
      <c r="AT61">
        <v>87.706620564900007</v>
      </c>
      <c r="AU61">
        <v>109.363803953</v>
      </c>
      <c r="AV61">
        <v>124.732430154</v>
      </c>
      <c r="AW61">
        <v>119.979527557</v>
      </c>
      <c r="AX61">
        <v>105.312133854</v>
      </c>
      <c r="AY61">
        <v>102.192499095</v>
      </c>
      <c r="AZ61">
        <v>127.053092596</v>
      </c>
      <c r="BA61">
        <v>121.805596507</v>
      </c>
      <c r="BB61">
        <v>107.603810888</v>
      </c>
      <c r="BC61">
        <v>113.992061902</v>
      </c>
      <c r="BD61">
        <v>105.991097002</v>
      </c>
      <c r="BE61">
        <v>105.70124946200001</v>
      </c>
      <c r="BF61">
        <v>86.877302048700003</v>
      </c>
      <c r="BG61">
        <v>94.837502077099998</v>
      </c>
      <c r="BH61">
        <v>99.635420146900003</v>
      </c>
      <c r="BI61">
        <v>103.29463992700001</v>
      </c>
      <c r="BJ61">
        <v>107.642955129</v>
      </c>
      <c r="BK61">
        <v>104.812259438</v>
      </c>
      <c r="BL61">
        <v>85.490249369699995</v>
      </c>
      <c r="BM61">
        <v>105.64190394000001</v>
      </c>
      <c r="BN61">
        <v>103.876642246</v>
      </c>
      <c r="BO61">
        <v>90.862887026600006</v>
      </c>
      <c r="BP61">
        <v>82.640452667199995</v>
      </c>
      <c r="BQ61">
        <v>97.354150610199994</v>
      </c>
      <c r="BR61">
        <v>108.693072716</v>
      </c>
      <c r="BS61">
        <v>117.67163627399999</v>
      </c>
      <c r="BT61">
        <v>104.734194472</v>
      </c>
      <c r="BU61">
        <v>97.476704867099997</v>
      </c>
      <c r="BV61">
        <v>84.005270556900001</v>
      </c>
      <c r="BW61">
        <v>102.29471477</v>
      </c>
      <c r="BX61">
        <v>70.921506237100004</v>
      </c>
      <c r="BY61">
        <v>96.7673969027</v>
      </c>
      <c r="BZ61">
        <v>116.89647712999999</v>
      </c>
      <c r="CA61">
        <v>87.6580565963</v>
      </c>
      <c r="CB61">
        <v>102.165707055</v>
      </c>
      <c r="CC61">
        <v>79.092163686700005</v>
      </c>
      <c r="CD61">
        <v>95.576462574299995</v>
      </c>
      <c r="CE61">
        <v>83.674567236499996</v>
      </c>
      <c r="CF61">
        <v>83.509653933600006</v>
      </c>
      <c r="CG61">
        <v>95.641606724400006</v>
      </c>
      <c r="CH61">
        <v>117.319678024</v>
      </c>
      <c r="CI61">
        <v>94.991023734699993</v>
      </c>
      <c r="CJ61">
        <v>108.46662608299999</v>
      </c>
      <c r="CK61">
        <v>97.016147793299993</v>
      </c>
      <c r="CL61">
        <v>83.285446800700001</v>
      </c>
      <c r="CM61">
        <v>87.866089704700002</v>
      </c>
      <c r="CN61">
        <v>106.064395714</v>
      </c>
      <c r="CO61">
        <v>146.98310150399999</v>
      </c>
      <c r="CP61">
        <v>84.149372378099997</v>
      </c>
      <c r="CQ61">
        <v>93.479029813899999</v>
      </c>
      <c r="CR61">
        <v>101.740958236</v>
      </c>
      <c r="CS61">
        <v>98.596941924800007</v>
      </c>
      <c r="CT61">
        <v>133.94287718199999</v>
      </c>
      <c r="CU61">
        <v>103.59060579600001</v>
      </c>
      <c r="CV61">
        <v>89.390796256399994</v>
      </c>
      <c r="CW61">
        <v>105.89816526</v>
      </c>
      <c r="CX61">
        <v>126.15267059</v>
      </c>
      <c r="CY61">
        <v>111.454570418</v>
      </c>
      <c r="CZ61">
        <v>113.316223541</v>
      </c>
      <c r="DA61">
        <v>127.390416332</v>
      </c>
      <c r="DB61">
        <v>78.281567103300006</v>
      </c>
      <c r="DC61">
        <v>103.33782579299999</v>
      </c>
      <c r="DD61">
        <v>91.836243348400004</v>
      </c>
      <c r="DE61">
        <v>94.088988286900005</v>
      </c>
      <c r="DF61">
        <v>82.609442232700005</v>
      </c>
      <c r="DG61">
        <v>83.085854899099999</v>
      </c>
      <c r="DH61">
        <v>99.519233549600003</v>
      </c>
    </row>
    <row r="62" spans="1:112" x14ac:dyDescent="0.25">
      <c r="A62" s="8">
        <f t="shared" si="0"/>
        <v>91.59468800431101</v>
      </c>
      <c r="B62" s="9">
        <f>AVERAGE($C$2:C62)</f>
        <v>4.5173732787792167</v>
      </c>
      <c r="C62" s="9">
        <f t="shared" si="1"/>
        <v>4.5247413912869661</v>
      </c>
      <c r="D62" s="6">
        <f>AVERAGE($G$2:G62)</f>
        <v>92.807394814771428</v>
      </c>
      <c r="E62" s="6">
        <f>AVERAGE($H$2:H62)</f>
        <v>91.847498059350016</v>
      </c>
      <c r="F62" s="6">
        <f>AVERAGE($M$2:M62)</f>
        <v>91.719728506177077</v>
      </c>
      <c r="G62" s="6">
        <f t="shared" si="2"/>
        <v>92.272060384100001</v>
      </c>
      <c r="H62">
        <f t="shared" si="3"/>
        <v>92.272060384100001</v>
      </c>
      <c r="I62" s="6">
        <f t="shared" si="4"/>
        <v>-0.12776955317293925</v>
      </c>
      <c r="J62" s="6">
        <f t="shared" si="5"/>
        <v>-1.0876663085943505</v>
      </c>
      <c r="K62">
        <v>60</v>
      </c>
      <c r="L62">
        <f>L61+Asian!dt</f>
        <v>0.60000000000000031</v>
      </c>
      <c r="M62">
        <v>92.272060384100001</v>
      </c>
      <c r="N62">
        <v>93.374336592500001</v>
      </c>
      <c r="O62">
        <v>103.884652629</v>
      </c>
      <c r="P62">
        <v>95.710515592999997</v>
      </c>
      <c r="Q62">
        <v>72.207699820100004</v>
      </c>
      <c r="R62">
        <v>88.948510059699998</v>
      </c>
      <c r="S62">
        <v>107.73091675000001</v>
      </c>
      <c r="T62">
        <v>76.797223948099997</v>
      </c>
      <c r="U62">
        <v>102.747793225</v>
      </c>
      <c r="V62">
        <v>115.589395602</v>
      </c>
      <c r="W62">
        <v>106.751242249</v>
      </c>
      <c r="X62">
        <v>106.882660034</v>
      </c>
      <c r="Y62">
        <v>92.295603705700003</v>
      </c>
      <c r="Z62">
        <v>112.59952486900001</v>
      </c>
      <c r="AA62">
        <v>101.98349261600001</v>
      </c>
      <c r="AB62">
        <v>107.906460463</v>
      </c>
      <c r="AC62">
        <v>77.733439172700002</v>
      </c>
      <c r="AD62">
        <v>103.339201453</v>
      </c>
      <c r="AE62">
        <v>144.196670646</v>
      </c>
      <c r="AF62">
        <v>134.963037563</v>
      </c>
      <c r="AG62">
        <v>110.397112693</v>
      </c>
      <c r="AH62">
        <v>127.564324724</v>
      </c>
      <c r="AI62">
        <v>89.758651562200001</v>
      </c>
      <c r="AJ62">
        <v>82.2580999475</v>
      </c>
      <c r="AK62">
        <v>111.69576847899999</v>
      </c>
      <c r="AL62">
        <v>103.740498336</v>
      </c>
      <c r="AM62">
        <v>89.461892113499999</v>
      </c>
      <c r="AN62">
        <v>100.52490469599999</v>
      </c>
      <c r="AO62">
        <v>96.045419421199995</v>
      </c>
      <c r="AP62">
        <v>86.154026935199994</v>
      </c>
      <c r="AQ62">
        <v>120.35609266500001</v>
      </c>
      <c r="AR62">
        <v>99.799910917700004</v>
      </c>
      <c r="AS62">
        <v>130.79812083600001</v>
      </c>
      <c r="AT62">
        <v>87.271156163399993</v>
      </c>
      <c r="AU62">
        <v>107.56190983</v>
      </c>
      <c r="AV62">
        <v>124.933908831</v>
      </c>
      <c r="AW62">
        <v>116.15087248499999</v>
      </c>
      <c r="AX62">
        <v>103.600379387</v>
      </c>
      <c r="AY62">
        <v>96.860562747900005</v>
      </c>
      <c r="AZ62">
        <v>128.47271291300001</v>
      </c>
      <c r="BA62">
        <v>115.524851357</v>
      </c>
      <c r="BB62">
        <v>108.881920713</v>
      </c>
      <c r="BC62">
        <v>113.652922605</v>
      </c>
      <c r="BD62">
        <v>109.651969364</v>
      </c>
      <c r="BE62">
        <v>103.985632013</v>
      </c>
      <c r="BF62">
        <v>83.1022427475</v>
      </c>
      <c r="BG62">
        <v>90.402295238299999</v>
      </c>
      <c r="BH62">
        <v>102.65114347700001</v>
      </c>
      <c r="BI62">
        <v>107.171831849</v>
      </c>
      <c r="BJ62">
        <v>106.23322588800001</v>
      </c>
      <c r="BK62">
        <v>102.64564848000001</v>
      </c>
      <c r="BL62">
        <v>85.311303131399995</v>
      </c>
      <c r="BM62">
        <v>112.776266447</v>
      </c>
      <c r="BN62">
        <v>104.250816294</v>
      </c>
      <c r="BO62">
        <v>87.7481538527</v>
      </c>
      <c r="BP62">
        <v>80.591250172100004</v>
      </c>
      <c r="BQ62">
        <v>94.073568825500004</v>
      </c>
      <c r="BR62">
        <v>112.12079559599999</v>
      </c>
      <c r="BS62">
        <v>116.484972821</v>
      </c>
      <c r="BT62">
        <v>106.22066406499999</v>
      </c>
      <c r="BU62">
        <v>98.528854066199997</v>
      </c>
      <c r="BV62">
        <v>83.670597612899996</v>
      </c>
      <c r="BW62">
        <v>102.32423632</v>
      </c>
      <c r="BX62">
        <v>70.523554570100004</v>
      </c>
      <c r="BY62">
        <v>94.723179136699997</v>
      </c>
      <c r="BZ62">
        <v>115.031166348</v>
      </c>
      <c r="CA62">
        <v>87.939402356800002</v>
      </c>
      <c r="CB62">
        <v>103.809725622</v>
      </c>
      <c r="CC62">
        <v>78.033390674499998</v>
      </c>
      <c r="CD62">
        <v>96.956431068200004</v>
      </c>
      <c r="CE62">
        <v>81.613530568300007</v>
      </c>
      <c r="CF62">
        <v>82.330789899500004</v>
      </c>
      <c r="CG62">
        <v>91.7673780577</v>
      </c>
      <c r="CH62">
        <v>117.97272306000001</v>
      </c>
      <c r="CI62">
        <v>94.342572321299997</v>
      </c>
      <c r="CJ62">
        <v>109.52020733000001</v>
      </c>
      <c r="CK62">
        <v>94.686029391700004</v>
      </c>
      <c r="CL62">
        <v>81.730677304400004</v>
      </c>
      <c r="CM62">
        <v>88.317755850899999</v>
      </c>
      <c r="CN62">
        <v>106.824537267</v>
      </c>
      <c r="CO62">
        <v>147.009169267</v>
      </c>
      <c r="CP62">
        <v>86.668953010400003</v>
      </c>
      <c r="CQ62">
        <v>93.835064971400001</v>
      </c>
      <c r="CR62">
        <v>107.24734919799999</v>
      </c>
      <c r="CS62">
        <v>97.492159771800004</v>
      </c>
      <c r="CT62">
        <v>135.86442446300001</v>
      </c>
      <c r="CU62">
        <v>105.284414916</v>
      </c>
      <c r="CV62">
        <v>90.082024094600001</v>
      </c>
      <c r="CW62">
        <v>105.78435422699999</v>
      </c>
      <c r="CX62">
        <v>126.63514823600001</v>
      </c>
      <c r="CY62">
        <v>111.025587726</v>
      </c>
      <c r="CZ62">
        <v>111.386568322</v>
      </c>
      <c r="DA62">
        <v>126.515014605</v>
      </c>
      <c r="DB62">
        <v>78.422951116799993</v>
      </c>
      <c r="DC62">
        <v>103.888910921</v>
      </c>
      <c r="DD62">
        <v>91.528456794899995</v>
      </c>
      <c r="DE62">
        <v>94.585838637099997</v>
      </c>
      <c r="DF62">
        <v>80.503924605700007</v>
      </c>
      <c r="DG62">
        <v>83.626174321500002</v>
      </c>
      <c r="DH62">
        <v>100.36959903100001</v>
      </c>
    </row>
    <row r="63" spans="1:112" x14ac:dyDescent="0.25">
      <c r="A63" s="8">
        <f t="shared" si="0"/>
        <v>91.589935117984183</v>
      </c>
      <c r="B63" s="9">
        <f>AVERAGE($C$2:C63)</f>
        <v>4.5173213870183595</v>
      </c>
      <c r="C63" s="9">
        <f t="shared" si="1"/>
        <v>4.5141559896060119</v>
      </c>
      <c r="D63" s="6">
        <f>AVERAGE($G$2:G63)</f>
        <v>92.807394814771428</v>
      </c>
      <c r="E63" s="6">
        <f>AVERAGE($H$2:H63)</f>
        <v>91.847498059350016</v>
      </c>
      <c r="F63" s="6">
        <f>AVERAGE($M$2:M63)</f>
        <v>91.712966351953241</v>
      </c>
      <c r="G63" s="6" t="b">
        <f t="shared" si="2"/>
        <v>0</v>
      </c>
      <c r="H63" t="b">
        <f t="shared" si="3"/>
        <v>0</v>
      </c>
      <c r="I63" s="6">
        <f t="shared" si="4"/>
        <v>-0.13453170739677489</v>
      </c>
      <c r="J63" s="6">
        <f t="shared" si="5"/>
        <v>-1.0944284628181862</v>
      </c>
      <c r="K63">
        <v>61</v>
      </c>
      <c r="L63">
        <f>L62+Asian!dt</f>
        <v>0.61000000000000032</v>
      </c>
      <c r="M63">
        <v>91.300474944300007</v>
      </c>
      <c r="N63">
        <v>93.981020303799994</v>
      </c>
      <c r="O63">
        <v>100.940370583</v>
      </c>
      <c r="P63">
        <v>94.779122191900001</v>
      </c>
      <c r="Q63">
        <v>71.918785294499997</v>
      </c>
      <c r="R63">
        <v>88.229496322800003</v>
      </c>
      <c r="S63">
        <v>106.698697205</v>
      </c>
      <c r="T63">
        <v>74.964258796600006</v>
      </c>
      <c r="U63">
        <v>104.536076541</v>
      </c>
      <c r="V63">
        <v>117.480992837</v>
      </c>
      <c r="W63">
        <v>108.63321281899999</v>
      </c>
      <c r="X63">
        <v>108.333028644</v>
      </c>
      <c r="Y63">
        <v>88.0543329658</v>
      </c>
      <c r="Z63">
        <v>114.96773415600001</v>
      </c>
      <c r="AA63">
        <v>103.191857493</v>
      </c>
      <c r="AB63">
        <v>105.28894890700001</v>
      </c>
      <c r="AC63">
        <v>82.376099126499994</v>
      </c>
      <c r="AD63">
        <v>103.169631806</v>
      </c>
      <c r="AE63">
        <v>139.81026141800001</v>
      </c>
      <c r="AF63">
        <v>137.61347971199999</v>
      </c>
      <c r="AG63">
        <v>114.29561628099999</v>
      </c>
      <c r="AH63">
        <v>128.73319836900001</v>
      </c>
      <c r="AI63">
        <v>86.355209724700003</v>
      </c>
      <c r="AJ63">
        <v>82.948198058200006</v>
      </c>
      <c r="AK63">
        <v>113.90349908</v>
      </c>
      <c r="AL63">
        <v>105.50093113</v>
      </c>
      <c r="AM63">
        <v>92.586127226100004</v>
      </c>
      <c r="AN63">
        <v>97.108884814099994</v>
      </c>
      <c r="AO63">
        <v>94.995808328500004</v>
      </c>
      <c r="AP63">
        <v>84.639360363999998</v>
      </c>
      <c r="AQ63">
        <v>117.07930390200001</v>
      </c>
      <c r="AR63">
        <v>100.097253389</v>
      </c>
      <c r="AS63">
        <v>128.988683716</v>
      </c>
      <c r="AT63">
        <v>88.718268779799999</v>
      </c>
      <c r="AU63">
        <v>106.246068419</v>
      </c>
      <c r="AV63">
        <v>123.244684136</v>
      </c>
      <c r="AW63">
        <v>115.79519156000001</v>
      </c>
      <c r="AX63">
        <v>103.531867952</v>
      </c>
      <c r="AY63">
        <v>97.010141882499994</v>
      </c>
      <c r="AZ63">
        <v>131.88022601399999</v>
      </c>
      <c r="BA63">
        <v>113.607618102</v>
      </c>
      <c r="BB63">
        <v>110.44877126900001</v>
      </c>
      <c r="BC63">
        <v>114.01381869399999</v>
      </c>
      <c r="BD63">
        <v>111.528267515</v>
      </c>
      <c r="BE63">
        <v>104.884274033</v>
      </c>
      <c r="BF63">
        <v>83.067697164099997</v>
      </c>
      <c r="BG63">
        <v>90.2779463002</v>
      </c>
      <c r="BH63">
        <v>104.016485915</v>
      </c>
      <c r="BI63">
        <v>105.679969957</v>
      </c>
      <c r="BJ63">
        <v>104.94408303199999</v>
      </c>
      <c r="BK63">
        <v>103.038674169</v>
      </c>
      <c r="BL63">
        <v>84.116110231099995</v>
      </c>
      <c r="BM63">
        <v>112.94678487100001</v>
      </c>
      <c r="BN63">
        <v>109.245850293</v>
      </c>
      <c r="BO63">
        <v>89.956883628699998</v>
      </c>
      <c r="BP63">
        <v>78.701827997899997</v>
      </c>
      <c r="BQ63">
        <v>96.570417393900001</v>
      </c>
      <c r="BR63">
        <v>114.829507253</v>
      </c>
      <c r="BS63">
        <v>124.034638574</v>
      </c>
      <c r="BT63">
        <v>108.736478695</v>
      </c>
      <c r="BU63">
        <v>99.376812490999995</v>
      </c>
      <c r="BV63">
        <v>83.161563368200007</v>
      </c>
      <c r="BW63">
        <v>103.305738082</v>
      </c>
      <c r="BX63">
        <v>71.851956851899999</v>
      </c>
      <c r="BY63">
        <v>95.071693619499996</v>
      </c>
      <c r="BZ63">
        <v>114.966017529</v>
      </c>
      <c r="CA63">
        <v>86.696413728300001</v>
      </c>
      <c r="CB63">
        <v>98.313681887499996</v>
      </c>
      <c r="CC63">
        <v>78.9705204224</v>
      </c>
      <c r="CD63">
        <v>99.444930052499998</v>
      </c>
      <c r="CE63">
        <v>82.111458040000002</v>
      </c>
      <c r="CF63">
        <v>83.591740393899997</v>
      </c>
      <c r="CG63">
        <v>91.157816575200002</v>
      </c>
      <c r="CH63">
        <v>122.29894115499999</v>
      </c>
      <c r="CI63">
        <v>94.958365169800004</v>
      </c>
      <c r="CJ63">
        <v>109.75682915599999</v>
      </c>
      <c r="CK63">
        <v>96.417516337799995</v>
      </c>
      <c r="CL63">
        <v>85.124165704999996</v>
      </c>
      <c r="CM63">
        <v>90.569938440499996</v>
      </c>
      <c r="CN63">
        <v>107.751352285</v>
      </c>
      <c r="CO63">
        <v>148.60171054099999</v>
      </c>
      <c r="CP63">
        <v>86.366424973799994</v>
      </c>
      <c r="CQ63">
        <v>93.797405442900001</v>
      </c>
      <c r="CR63">
        <v>109.12421412</v>
      </c>
      <c r="CS63">
        <v>95.879184345499993</v>
      </c>
      <c r="CT63">
        <v>130.372616462</v>
      </c>
      <c r="CU63">
        <v>103.982916014</v>
      </c>
      <c r="CV63">
        <v>86.294667673399999</v>
      </c>
      <c r="CW63">
        <v>107.378794746</v>
      </c>
      <c r="CX63">
        <v>126.025653092</v>
      </c>
      <c r="CY63">
        <v>114.57196397</v>
      </c>
      <c r="CZ63">
        <v>110.95335526700001</v>
      </c>
      <c r="DA63">
        <v>124.71555496000001</v>
      </c>
      <c r="DB63">
        <v>78.139855927200003</v>
      </c>
      <c r="DC63">
        <v>103.34914338</v>
      </c>
      <c r="DD63">
        <v>94.542986592899993</v>
      </c>
      <c r="DE63">
        <v>94.659091779299999</v>
      </c>
      <c r="DF63">
        <v>80.521634181699994</v>
      </c>
      <c r="DG63">
        <v>85.190934063900002</v>
      </c>
      <c r="DH63">
        <v>102.20550586900001</v>
      </c>
    </row>
    <row r="64" spans="1:112" x14ac:dyDescent="0.25">
      <c r="A64" s="8">
        <f t="shared" si="0"/>
        <v>91.515645319672942</v>
      </c>
      <c r="B64" s="9">
        <f>AVERAGE($C$2:C64)</f>
        <v>4.5165099447650983</v>
      </c>
      <c r="C64" s="9">
        <f t="shared" si="1"/>
        <v>4.4662005250628809</v>
      </c>
      <c r="D64" s="6">
        <f>AVERAGE($G$2:G64)</f>
        <v>92.807394814771428</v>
      </c>
      <c r="E64" s="6">
        <f>AVERAGE($H$2:H64)</f>
        <v>91.847498059350016</v>
      </c>
      <c r="F64" s="6">
        <f>AVERAGE($M$2:M64)</f>
        <v>91.638561220607954</v>
      </c>
      <c r="G64" s="6" t="b">
        <f t="shared" si="2"/>
        <v>0</v>
      </c>
      <c r="H64" t="b">
        <f t="shared" si="3"/>
        <v>0</v>
      </c>
      <c r="I64" s="6">
        <f t="shared" si="4"/>
        <v>-0.20893683874206204</v>
      </c>
      <c r="J64" s="6">
        <f t="shared" si="5"/>
        <v>-1.1688335941634733</v>
      </c>
      <c r="K64">
        <v>62</v>
      </c>
      <c r="L64">
        <f>L63+Asian!dt</f>
        <v>0.62000000000000033</v>
      </c>
      <c r="M64">
        <v>87.025443077199995</v>
      </c>
      <c r="N64">
        <v>92.223463119599998</v>
      </c>
      <c r="O64">
        <v>100.260821355</v>
      </c>
      <c r="P64">
        <v>94.186743845099997</v>
      </c>
      <c r="Q64">
        <v>72.011443268600004</v>
      </c>
      <c r="R64">
        <v>87.408911097000001</v>
      </c>
      <c r="S64">
        <v>108.670766869</v>
      </c>
      <c r="T64">
        <v>76.661325062000003</v>
      </c>
      <c r="U64">
        <v>106.998377983</v>
      </c>
      <c r="V64">
        <v>117.407116548</v>
      </c>
      <c r="W64">
        <v>103.678401916</v>
      </c>
      <c r="X64">
        <v>108.38690902</v>
      </c>
      <c r="Y64">
        <v>88.424683602800002</v>
      </c>
      <c r="Z64">
        <v>112.385484714</v>
      </c>
      <c r="AA64">
        <v>105.685491601</v>
      </c>
      <c r="AB64">
        <v>108.442172644</v>
      </c>
      <c r="AC64">
        <v>83.869267986099999</v>
      </c>
      <c r="AD64">
        <v>99.407699990899999</v>
      </c>
      <c r="AE64">
        <v>140.05519759399999</v>
      </c>
      <c r="AF64">
        <v>141.32945283000001</v>
      </c>
      <c r="AG64">
        <v>115.60981723800001</v>
      </c>
      <c r="AH64">
        <v>127.017186752</v>
      </c>
      <c r="AI64">
        <v>84.883598711999994</v>
      </c>
      <c r="AJ64">
        <v>80.811835343599995</v>
      </c>
      <c r="AK64">
        <v>111.34439154</v>
      </c>
      <c r="AL64">
        <v>106.046601659</v>
      </c>
      <c r="AM64">
        <v>90.818998607699996</v>
      </c>
      <c r="AN64">
        <v>96.284484000399999</v>
      </c>
      <c r="AO64">
        <v>93.4824830437</v>
      </c>
      <c r="AP64">
        <v>82.909433822400004</v>
      </c>
      <c r="AQ64">
        <v>116.251359992</v>
      </c>
      <c r="AR64">
        <v>97.863184451799995</v>
      </c>
      <c r="AS64">
        <v>125.216079608</v>
      </c>
      <c r="AT64">
        <v>86.775327872299997</v>
      </c>
      <c r="AU64">
        <v>110.274059244</v>
      </c>
      <c r="AV64">
        <v>121.870490789</v>
      </c>
      <c r="AW64">
        <v>118.583644517</v>
      </c>
      <c r="AX64">
        <v>105.744757104</v>
      </c>
      <c r="AY64">
        <v>99.960451941900004</v>
      </c>
      <c r="AZ64">
        <v>130.744023371</v>
      </c>
      <c r="BA64">
        <v>115.77650182399999</v>
      </c>
      <c r="BB64">
        <v>108.8078163</v>
      </c>
      <c r="BC64">
        <v>118.697702994</v>
      </c>
      <c r="BD64">
        <v>112.16901415</v>
      </c>
      <c r="BE64">
        <v>103.322164406</v>
      </c>
      <c r="BF64">
        <v>84.634887603699994</v>
      </c>
      <c r="BG64">
        <v>95.280738322600001</v>
      </c>
      <c r="BH64">
        <v>103.146111049</v>
      </c>
      <c r="BI64">
        <v>106.970595933</v>
      </c>
      <c r="BJ64">
        <v>105.061483542</v>
      </c>
      <c r="BK64">
        <v>103.245763641</v>
      </c>
      <c r="BL64">
        <v>83.412157581200006</v>
      </c>
      <c r="BM64">
        <v>114.10294645800001</v>
      </c>
      <c r="BN64">
        <v>107.30097352200001</v>
      </c>
      <c r="BO64">
        <v>92.092016357800006</v>
      </c>
      <c r="BP64">
        <v>80.107449444799997</v>
      </c>
      <c r="BQ64">
        <v>99.825155163700003</v>
      </c>
      <c r="BR64">
        <v>113.08951814300001</v>
      </c>
      <c r="BS64">
        <v>123.026079779</v>
      </c>
      <c r="BT64">
        <v>108.449115017</v>
      </c>
      <c r="BU64">
        <v>98.779790633600001</v>
      </c>
      <c r="BV64">
        <v>83.2357257006</v>
      </c>
      <c r="BW64">
        <v>103.16756995999999</v>
      </c>
      <c r="BX64">
        <v>73.229183332999995</v>
      </c>
      <c r="BY64">
        <v>92.823755493600004</v>
      </c>
      <c r="BZ64">
        <v>117.515572807</v>
      </c>
      <c r="CA64">
        <v>88.190267649500001</v>
      </c>
      <c r="CB64">
        <v>96.500812360799998</v>
      </c>
      <c r="CC64">
        <v>76.721453584000002</v>
      </c>
      <c r="CD64">
        <v>98.149167278700006</v>
      </c>
      <c r="CE64">
        <v>82.979451240800003</v>
      </c>
      <c r="CF64">
        <v>85.276137198300006</v>
      </c>
      <c r="CG64">
        <v>93.252268760199996</v>
      </c>
      <c r="CH64">
        <v>127.581426329</v>
      </c>
      <c r="CI64">
        <v>96.845906360100003</v>
      </c>
      <c r="CJ64">
        <v>105.61235162200001</v>
      </c>
      <c r="CK64">
        <v>95.111778018999999</v>
      </c>
      <c r="CL64">
        <v>81.554639770500003</v>
      </c>
      <c r="CM64">
        <v>92.403151130099999</v>
      </c>
      <c r="CN64">
        <v>110.43206400299999</v>
      </c>
      <c r="CO64">
        <v>146.271603204</v>
      </c>
      <c r="CP64">
        <v>89.177341803600001</v>
      </c>
      <c r="CQ64">
        <v>92.522876819399997</v>
      </c>
      <c r="CR64">
        <v>110.538210744</v>
      </c>
      <c r="CS64">
        <v>96.392145535599994</v>
      </c>
      <c r="CT64">
        <v>134.5896458</v>
      </c>
      <c r="CU64">
        <v>106.218012249</v>
      </c>
      <c r="CV64">
        <v>84.554963325700001</v>
      </c>
      <c r="CW64">
        <v>105.006821968</v>
      </c>
      <c r="CX64">
        <v>125.638778624</v>
      </c>
      <c r="CY64">
        <v>114.056535729</v>
      </c>
      <c r="CZ64">
        <v>113.785399148</v>
      </c>
      <c r="DA64">
        <v>122.63015680700001</v>
      </c>
      <c r="DB64">
        <v>77.926664285200005</v>
      </c>
      <c r="DC64">
        <v>102.236637407</v>
      </c>
      <c r="DD64">
        <v>93.833777144600006</v>
      </c>
      <c r="DE64">
        <v>96.198323035100003</v>
      </c>
      <c r="DF64">
        <v>80.212297632800002</v>
      </c>
      <c r="DG64">
        <v>86.421286374299996</v>
      </c>
      <c r="DH64">
        <v>101.33121134700001</v>
      </c>
    </row>
    <row r="65" spans="1:112" x14ac:dyDescent="0.25">
      <c r="A65" s="8">
        <f t="shared" si="0"/>
        <v>91.476120241883876</v>
      </c>
      <c r="B65" s="9">
        <f>AVERAGE($C$2:C65)</f>
        <v>4.516077957257</v>
      </c>
      <c r="C65" s="9">
        <f t="shared" si="1"/>
        <v>4.4888627442468216</v>
      </c>
      <c r="D65" s="6">
        <f>AVERAGE($G$2:G65)</f>
        <v>92.807394814771428</v>
      </c>
      <c r="E65" s="6">
        <f>AVERAGE($H$2:H65)</f>
        <v>91.847498059350016</v>
      </c>
      <c r="F65" s="6">
        <f>AVERAGE($M$2:M65)</f>
        <v>91.597648539229709</v>
      </c>
      <c r="G65" s="6" t="b">
        <f t="shared" si="2"/>
        <v>0</v>
      </c>
      <c r="H65" t="b">
        <f t="shared" si="3"/>
        <v>0</v>
      </c>
      <c r="I65" s="6">
        <f t="shared" si="4"/>
        <v>-0.24984952012030703</v>
      </c>
      <c r="J65" s="6">
        <f t="shared" si="5"/>
        <v>-1.2097462755417183</v>
      </c>
      <c r="K65">
        <v>63</v>
      </c>
      <c r="L65">
        <f>L64+Asian!dt</f>
        <v>0.63000000000000034</v>
      </c>
      <c r="M65">
        <v>89.020149612400004</v>
      </c>
      <c r="N65">
        <v>94.574104270500001</v>
      </c>
      <c r="O65">
        <v>101.109225344</v>
      </c>
      <c r="P65">
        <v>95.540321726800002</v>
      </c>
      <c r="Q65">
        <v>71.493753185299994</v>
      </c>
      <c r="R65">
        <v>89.166916036700002</v>
      </c>
      <c r="S65">
        <v>103.525977326</v>
      </c>
      <c r="T65">
        <v>78.534085487699997</v>
      </c>
      <c r="U65">
        <v>104.63683373400001</v>
      </c>
      <c r="V65">
        <v>118.41609603400001</v>
      </c>
      <c r="W65">
        <v>106.578400782</v>
      </c>
      <c r="X65">
        <v>107.450694308</v>
      </c>
      <c r="Y65">
        <v>87.258361687900006</v>
      </c>
      <c r="Z65">
        <v>111.37008249599999</v>
      </c>
      <c r="AA65">
        <v>106.17767060200001</v>
      </c>
      <c r="AB65">
        <v>112.607667784</v>
      </c>
      <c r="AC65">
        <v>84.665483408599997</v>
      </c>
      <c r="AD65">
        <v>100.944797064</v>
      </c>
      <c r="AE65">
        <v>141.49939482900001</v>
      </c>
      <c r="AF65">
        <v>139.12065237100001</v>
      </c>
      <c r="AG65">
        <v>115.460177578</v>
      </c>
      <c r="AH65">
        <v>128.588277952</v>
      </c>
      <c r="AI65">
        <v>82.147269902100007</v>
      </c>
      <c r="AJ65">
        <v>82.161116537500007</v>
      </c>
      <c r="AK65">
        <v>111.476839007</v>
      </c>
      <c r="AL65">
        <v>105.801633917</v>
      </c>
      <c r="AM65">
        <v>86.354544707100004</v>
      </c>
      <c r="AN65">
        <v>98.192726493699993</v>
      </c>
      <c r="AO65">
        <v>95.214971037599994</v>
      </c>
      <c r="AP65">
        <v>84.579216507300004</v>
      </c>
      <c r="AQ65">
        <v>116.530593031</v>
      </c>
      <c r="AR65">
        <v>99.061094301599994</v>
      </c>
      <c r="AS65">
        <v>130.19267200300001</v>
      </c>
      <c r="AT65">
        <v>88.819281710799999</v>
      </c>
      <c r="AU65">
        <v>111.75414410899999</v>
      </c>
      <c r="AV65">
        <v>121.52576486700001</v>
      </c>
      <c r="AW65">
        <v>118.249252536</v>
      </c>
      <c r="AX65">
        <v>104.177265639</v>
      </c>
      <c r="AY65">
        <v>100.287428015</v>
      </c>
      <c r="AZ65">
        <v>129.55337788700001</v>
      </c>
      <c r="BA65">
        <v>116.556055628</v>
      </c>
      <c r="BB65">
        <v>110.860087904</v>
      </c>
      <c r="BC65">
        <v>115.69199802200001</v>
      </c>
      <c r="BD65">
        <v>113.387980877</v>
      </c>
      <c r="BE65">
        <v>104.73254233500001</v>
      </c>
      <c r="BF65">
        <v>84.385748152199994</v>
      </c>
      <c r="BG65">
        <v>94.101383247900003</v>
      </c>
      <c r="BH65">
        <v>103.710027341</v>
      </c>
      <c r="BI65">
        <v>108.70863316499999</v>
      </c>
      <c r="BJ65">
        <v>107.49873066400001</v>
      </c>
      <c r="BK65">
        <v>104.589502078</v>
      </c>
      <c r="BL65">
        <v>81.474054595300004</v>
      </c>
      <c r="BM65">
        <v>111.182287004</v>
      </c>
      <c r="BN65">
        <v>108.851578934</v>
      </c>
      <c r="BO65">
        <v>92.861071137099998</v>
      </c>
      <c r="BP65">
        <v>80.919921785499994</v>
      </c>
      <c r="BQ65">
        <v>97.831091570300003</v>
      </c>
      <c r="BR65">
        <v>113.220170521</v>
      </c>
      <c r="BS65">
        <v>121.23367068</v>
      </c>
      <c r="BT65">
        <v>107.624594637</v>
      </c>
      <c r="BU65">
        <v>97.797794090400004</v>
      </c>
      <c r="BV65">
        <v>83.525519254000002</v>
      </c>
      <c r="BW65">
        <v>103.163387016</v>
      </c>
      <c r="BX65">
        <v>70.338141358399994</v>
      </c>
      <c r="BY65">
        <v>92.022444659100003</v>
      </c>
      <c r="BZ65">
        <v>114.36866340500001</v>
      </c>
      <c r="CA65">
        <v>87.349154885499999</v>
      </c>
      <c r="CB65">
        <v>99.659384960099999</v>
      </c>
      <c r="CC65">
        <v>75.880613120600003</v>
      </c>
      <c r="CD65">
        <v>95.772769226899996</v>
      </c>
      <c r="CE65">
        <v>81.714714971800007</v>
      </c>
      <c r="CF65">
        <v>84.398424330300003</v>
      </c>
      <c r="CG65">
        <v>92.014050710700005</v>
      </c>
      <c r="CH65">
        <v>128.56758702400001</v>
      </c>
      <c r="CI65">
        <v>93.047857458899998</v>
      </c>
      <c r="CJ65">
        <v>104.767469827</v>
      </c>
      <c r="CK65">
        <v>93.7483585847</v>
      </c>
      <c r="CL65">
        <v>82.293967697599996</v>
      </c>
      <c r="CM65">
        <v>91.085282123799999</v>
      </c>
      <c r="CN65">
        <v>109.17064815800001</v>
      </c>
      <c r="CO65">
        <v>144.78773123600001</v>
      </c>
      <c r="CP65">
        <v>92.951297006800004</v>
      </c>
      <c r="CQ65">
        <v>88.755460849200006</v>
      </c>
      <c r="CR65">
        <v>110.652238139</v>
      </c>
      <c r="CS65">
        <v>97.509140224500001</v>
      </c>
      <c r="CT65">
        <v>134.207094971</v>
      </c>
      <c r="CU65">
        <v>107.437592861</v>
      </c>
      <c r="CV65">
        <v>82.286098099100002</v>
      </c>
      <c r="CW65">
        <v>102.92428386900001</v>
      </c>
      <c r="CX65">
        <v>124.30931433400001</v>
      </c>
      <c r="CY65">
        <v>113.939479263</v>
      </c>
      <c r="CZ65">
        <v>114.960308942</v>
      </c>
      <c r="DA65">
        <v>123.56211328000001</v>
      </c>
      <c r="DB65">
        <v>77.164250350200007</v>
      </c>
      <c r="DC65">
        <v>103.615517752</v>
      </c>
      <c r="DD65">
        <v>93.156824545600003</v>
      </c>
      <c r="DE65">
        <v>96.491231388499997</v>
      </c>
      <c r="DF65">
        <v>79.002902219000006</v>
      </c>
      <c r="DG65">
        <v>87.528611997699997</v>
      </c>
      <c r="DH65">
        <v>100.36814485399999</v>
      </c>
    </row>
    <row r="66" spans="1:112" x14ac:dyDescent="0.25">
      <c r="A66" s="8">
        <f t="shared" si="0"/>
        <v>91.436742732475025</v>
      </c>
      <c r="B66" s="9">
        <f>AVERAGE($C$2:C66)</f>
        <v>4.5156473969412643</v>
      </c>
      <c r="C66" s="9">
        <f t="shared" si="1"/>
        <v>4.4880915367342222</v>
      </c>
      <c r="D66" s="6">
        <f>AVERAGE($G$2:G66)</f>
        <v>92.807394814771428</v>
      </c>
      <c r="E66" s="6">
        <f>AVERAGE($H$2:H66)</f>
        <v>91.677146589405893</v>
      </c>
      <c r="F66" s="6">
        <f>AVERAGE($M$2:M66)</f>
        <v>91.556938916630784</v>
      </c>
      <c r="G66" s="6" t="b">
        <f t="shared" si="2"/>
        <v>0</v>
      </c>
      <c r="H66">
        <f t="shared" si="3"/>
        <v>88.951523070299999</v>
      </c>
      <c r="I66" s="6">
        <f t="shared" si="4"/>
        <v>-0.12020767277510913</v>
      </c>
      <c r="J66" s="6">
        <f t="shared" si="5"/>
        <v>-1.2504558981406433</v>
      </c>
      <c r="K66">
        <v>64</v>
      </c>
      <c r="L66">
        <f>L65+Asian!dt</f>
        <v>0.64000000000000035</v>
      </c>
      <c r="M66">
        <v>88.951523070299999</v>
      </c>
      <c r="N66">
        <v>98.826932329900004</v>
      </c>
      <c r="O66">
        <v>104.164965735</v>
      </c>
      <c r="P66">
        <v>99.462784806900004</v>
      </c>
      <c r="Q66">
        <v>71.506747069200003</v>
      </c>
      <c r="R66">
        <v>91.275577200900003</v>
      </c>
      <c r="S66">
        <v>102.72584346799999</v>
      </c>
      <c r="T66">
        <v>78.452258847300001</v>
      </c>
      <c r="U66">
        <v>102.419181768</v>
      </c>
      <c r="V66">
        <v>118.195985831</v>
      </c>
      <c r="W66">
        <v>105.97343065</v>
      </c>
      <c r="X66">
        <v>110.55670058299999</v>
      </c>
      <c r="Y66">
        <v>90.876848792000004</v>
      </c>
      <c r="Z66">
        <v>109.57701292</v>
      </c>
      <c r="AA66">
        <v>110.551607082</v>
      </c>
      <c r="AB66">
        <v>112.038845169</v>
      </c>
      <c r="AC66">
        <v>84.3240637918</v>
      </c>
      <c r="AD66">
        <v>101.30986400099999</v>
      </c>
      <c r="AE66">
        <v>139.49947072099999</v>
      </c>
      <c r="AF66">
        <v>139.405918738</v>
      </c>
      <c r="AG66">
        <v>115.30491666099999</v>
      </c>
      <c r="AH66">
        <v>123.84887123999999</v>
      </c>
      <c r="AI66">
        <v>80.137490582699996</v>
      </c>
      <c r="AJ66">
        <v>83.837530705600003</v>
      </c>
      <c r="AK66">
        <v>110.78407394200001</v>
      </c>
      <c r="AL66">
        <v>103.686550334</v>
      </c>
      <c r="AM66">
        <v>87.546409527600005</v>
      </c>
      <c r="AN66">
        <v>98.315888959999995</v>
      </c>
      <c r="AO66">
        <v>94.657956304500004</v>
      </c>
      <c r="AP66">
        <v>83.876762277200001</v>
      </c>
      <c r="AQ66">
        <v>117.460661676</v>
      </c>
      <c r="AR66">
        <v>96.878801923099999</v>
      </c>
      <c r="AS66">
        <v>127.96514565299999</v>
      </c>
      <c r="AT66">
        <v>88.175915266600001</v>
      </c>
      <c r="AU66">
        <v>114.658012586</v>
      </c>
      <c r="AV66">
        <v>125.305627044</v>
      </c>
      <c r="AW66">
        <v>114.416638105</v>
      </c>
      <c r="AX66">
        <v>104.104033996</v>
      </c>
      <c r="AY66">
        <v>97.035316074099995</v>
      </c>
      <c r="AZ66">
        <v>130.657225192</v>
      </c>
      <c r="BA66">
        <v>116.814762653</v>
      </c>
      <c r="BB66">
        <v>109.247604833</v>
      </c>
      <c r="BC66">
        <v>112.913217606</v>
      </c>
      <c r="BD66">
        <v>114.203724749</v>
      </c>
      <c r="BE66">
        <v>105.386171746</v>
      </c>
      <c r="BF66">
        <v>83.476198635299994</v>
      </c>
      <c r="BG66">
        <v>98.300390090500002</v>
      </c>
      <c r="BH66">
        <v>105.17876687899999</v>
      </c>
      <c r="BI66">
        <v>108.84617057</v>
      </c>
      <c r="BJ66">
        <v>109.288173122</v>
      </c>
      <c r="BK66">
        <v>104.62655928</v>
      </c>
      <c r="BL66">
        <v>80.478679081300001</v>
      </c>
      <c r="BM66">
        <v>113.035097988</v>
      </c>
      <c r="BN66">
        <v>109.471943775</v>
      </c>
      <c r="BO66">
        <v>91.367724926099996</v>
      </c>
      <c r="BP66">
        <v>80.5743472658</v>
      </c>
      <c r="BQ66">
        <v>97.455402561499994</v>
      </c>
      <c r="BR66">
        <v>111.065163216</v>
      </c>
      <c r="BS66">
        <v>119.414728543</v>
      </c>
      <c r="BT66">
        <v>109.819966404</v>
      </c>
      <c r="BU66">
        <v>97.054156851200005</v>
      </c>
      <c r="BV66">
        <v>84.620139027999997</v>
      </c>
      <c r="BW66">
        <v>103.56103071</v>
      </c>
      <c r="BX66">
        <v>70.782081165099996</v>
      </c>
      <c r="BY66">
        <v>92.542816374599994</v>
      </c>
      <c r="BZ66">
        <v>115.59133996600001</v>
      </c>
      <c r="CA66">
        <v>84.844699510799998</v>
      </c>
      <c r="CB66">
        <v>99.171491298899994</v>
      </c>
      <c r="CC66">
        <v>75.006780702300006</v>
      </c>
      <c r="CD66">
        <v>97.854866604799994</v>
      </c>
      <c r="CE66">
        <v>82.043256368599998</v>
      </c>
      <c r="CF66">
        <v>83.490189981499995</v>
      </c>
      <c r="CG66">
        <v>93.149696793499999</v>
      </c>
      <c r="CH66">
        <v>128.934137548</v>
      </c>
      <c r="CI66">
        <v>92.030260309499994</v>
      </c>
      <c r="CJ66">
        <v>105.411045293</v>
      </c>
      <c r="CK66">
        <v>92.822801006600002</v>
      </c>
      <c r="CL66">
        <v>81.464664435100005</v>
      </c>
      <c r="CM66">
        <v>88.729640111400002</v>
      </c>
      <c r="CN66">
        <v>106.130909772</v>
      </c>
      <c r="CO66">
        <v>143.74175010799999</v>
      </c>
      <c r="CP66">
        <v>90.802041991400003</v>
      </c>
      <c r="CQ66">
        <v>88.214887661099993</v>
      </c>
      <c r="CR66">
        <v>109.611883793</v>
      </c>
      <c r="CS66">
        <v>94.9180018168</v>
      </c>
      <c r="CT66">
        <v>131.57318827200001</v>
      </c>
      <c r="CU66">
        <v>105.80059728400001</v>
      </c>
      <c r="CV66">
        <v>83.368325075200005</v>
      </c>
      <c r="CW66">
        <v>102.506883801</v>
      </c>
      <c r="CX66">
        <v>122.00642006699999</v>
      </c>
      <c r="CY66">
        <v>113.152948478</v>
      </c>
      <c r="CZ66">
        <v>114.667177223</v>
      </c>
      <c r="DA66">
        <v>126.275223521</v>
      </c>
      <c r="DB66">
        <v>77.578297318599994</v>
      </c>
      <c r="DC66">
        <v>106.614386516</v>
      </c>
      <c r="DD66">
        <v>94.056532148299993</v>
      </c>
      <c r="DE66">
        <v>97.862476510700006</v>
      </c>
      <c r="DF66">
        <v>78.862132514899997</v>
      </c>
      <c r="DG66">
        <v>85.598928202099998</v>
      </c>
      <c r="DH66">
        <v>102.98429400000001</v>
      </c>
    </row>
    <row r="67" spans="1:112" x14ac:dyDescent="0.25">
      <c r="A67" s="8">
        <f t="shared" ref="A67:A102" si="6">EXP(B67)</f>
        <v>91.338522605824338</v>
      </c>
      <c r="B67" s="9">
        <f>AVERAGE($C$2:C67)</f>
        <v>4.5145726329580356</v>
      </c>
      <c r="C67" s="9">
        <f t="shared" ref="C67:C102" si="7">LN(M67)</f>
        <v>4.4447129740481257</v>
      </c>
      <c r="D67" s="6">
        <f>AVERAGE($G$2:G67)</f>
        <v>92.807394814771428</v>
      </c>
      <c r="E67" s="6">
        <f>AVERAGE($H$2:H67)</f>
        <v>91.677146589405893</v>
      </c>
      <c r="F67" s="6">
        <f>AVERAGE($M$2:M67)</f>
        <v>91.460249338659111</v>
      </c>
      <c r="G67" s="6" t="b">
        <f t="shared" ref="G67:G102" si="8">IF(MOD(K67,10), FALSE, M67)</f>
        <v>0</v>
      </c>
      <c r="H67" t="b">
        <f t="shared" ref="H67:H102" si="9">IF(MOD(K67,4), FALSE, M67)</f>
        <v>0</v>
      </c>
      <c r="I67" s="6">
        <f t="shared" ref="I67:I102" si="10">F67-E67</f>
        <v>-0.21689725074678279</v>
      </c>
      <c r="J67" s="6">
        <f t="shared" ref="J67:J102" si="11">F67-D67</f>
        <v>-1.3471454761123169</v>
      </c>
      <c r="K67">
        <v>65</v>
      </c>
      <c r="L67">
        <f>L66+Asian!dt</f>
        <v>0.65000000000000036</v>
      </c>
      <c r="M67">
        <v>85.175426770499996</v>
      </c>
      <c r="N67">
        <v>98.586250717300004</v>
      </c>
      <c r="O67">
        <v>103.66749011</v>
      </c>
      <c r="P67">
        <v>101.086619735</v>
      </c>
      <c r="Q67">
        <v>69.490657154999994</v>
      </c>
      <c r="R67">
        <v>94.731047054900003</v>
      </c>
      <c r="S67">
        <v>103.127084622</v>
      </c>
      <c r="T67">
        <v>78.8863827399</v>
      </c>
      <c r="U67">
        <v>104.749858644</v>
      </c>
      <c r="V67">
        <v>117.40749230500001</v>
      </c>
      <c r="W67">
        <v>110.90746701499999</v>
      </c>
      <c r="X67">
        <v>117.246705537</v>
      </c>
      <c r="Y67">
        <v>93.568144980499994</v>
      </c>
      <c r="Z67">
        <v>110.69316566800001</v>
      </c>
      <c r="AA67">
        <v>110.20067244000001</v>
      </c>
      <c r="AB67">
        <v>114.892259837</v>
      </c>
      <c r="AC67">
        <v>83.873886704399993</v>
      </c>
      <c r="AD67">
        <v>96.390257346799999</v>
      </c>
      <c r="AE67">
        <v>138.519338046</v>
      </c>
      <c r="AF67">
        <v>139.726040372</v>
      </c>
      <c r="AG67">
        <v>117.319936183</v>
      </c>
      <c r="AH67">
        <v>122.75936409800001</v>
      </c>
      <c r="AI67">
        <v>80.196507468299998</v>
      </c>
      <c r="AJ67">
        <v>85.605134507900004</v>
      </c>
      <c r="AK67">
        <v>110.89629083600001</v>
      </c>
      <c r="AL67">
        <v>101.705142353</v>
      </c>
      <c r="AM67">
        <v>87.013770757200007</v>
      </c>
      <c r="AN67">
        <v>98.502828826499993</v>
      </c>
      <c r="AO67">
        <v>97.7457570893</v>
      </c>
      <c r="AP67">
        <v>86.549053299500002</v>
      </c>
      <c r="AQ67">
        <v>115.71879865</v>
      </c>
      <c r="AR67">
        <v>98.485723445299996</v>
      </c>
      <c r="AS67">
        <v>130.556460039</v>
      </c>
      <c r="AT67">
        <v>86.754744437100001</v>
      </c>
      <c r="AU67">
        <v>113.75849807500001</v>
      </c>
      <c r="AV67">
        <v>125.32132319999999</v>
      </c>
      <c r="AW67">
        <v>114.52212892999999</v>
      </c>
      <c r="AX67">
        <v>102.770904599</v>
      </c>
      <c r="AY67">
        <v>97.875082258999996</v>
      </c>
      <c r="AZ67">
        <v>135.177135585</v>
      </c>
      <c r="BA67">
        <v>118.021032371</v>
      </c>
      <c r="BB67">
        <v>111.385557444</v>
      </c>
      <c r="BC67">
        <v>116.22126126000001</v>
      </c>
      <c r="BD67">
        <v>114.58425972800001</v>
      </c>
      <c r="BE67">
        <v>103.323879467</v>
      </c>
      <c r="BF67">
        <v>84.573605764999996</v>
      </c>
      <c r="BG67">
        <v>99.001128444100004</v>
      </c>
      <c r="BH67">
        <v>105.568430746</v>
      </c>
      <c r="BI67">
        <v>110.45462929599999</v>
      </c>
      <c r="BJ67">
        <v>110.951184412</v>
      </c>
      <c r="BK67">
        <v>101.623345249</v>
      </c>
      <c r="BL67">
        <v>80.948843706999995</v>
      </c>
      <c r="BM67">
        <v>113.77099191400001</v>
      </c>
      <c r="BN67">
        <v>109.901195168</v>
      </c>
      <c r="BO67">
        <v>88.466798553000004</v>
      </c>
      <c r="BP67">
        <v>81.035865319500004</v>
      </c>
      <c r="BQ67">
        <v>96.213248332999996</v>
      </c>
      <c r="BR67">
        <v>111.617509157</v>
      </c>
      <c r="BS67">
        <v>121.45414655800001</v>
      </c>
      <c r="BT67">
        <v>109.65084768200001</v>
      </c>
      <c r="BU67">
        <v>98.3647649798</v>
      </c>
      <c r="BV67">
        <v>85.2220570538</v>
      </c>
      <c r="BW67">
        <v>104.185971181</v>
      </c>
      <c r="BX67">
        <v>71.613217940499993</v>
      </c>
      <c r="BY67">
        <v>93.207417181899999</v>
      </c>
      <c r="BZ67">
        <v>110.244618234</v>
      </c>
      <c r="CA67">
        <v>86.138635120399996</v>
      </c>
      <c r="CB67">
        <v>100.035150284</v>
      </c>
      <c r="CC67">
        <v>72.916719315700007</v>
      </c>
      <c r="CD67">
        <v>94.132929490400002</v>
      </c>
      <c r="CE67">
        <v>79.7992983006</v>
      </c>
      <c r="CF67">
        <v>81.489480747100004</v>
      </c>
      <c r="CG67">
        <v>95.477872245200004</v>
      </c>
      <c r="CH67">
        <v>126.92184539100001</v>
      </c>
      <c r="CI67">
        <v>91.8344384074</v>
      </c>
      <c r="CJ67">
        <v>101.492079999</v>
      </c>
      <c r="CK67">
        <v>91.513359102799996</v>
      </c>
      <c r="CL67">
        <v>81.474319154400007</v>
      </c>
      <c r="CM67">
        <v>83.898804484199999</v>
      </c>
      <c r="CN67">
        <v>107.02417937600001</v>
      </c>
      <c r="CO67">
        <v>143.46095912499999</v>
      </c>
      <c r="CP67">
        <v>90.9559591915</v>
      </c>
      <c r="CQ67">
        <v>86.716479463799999</v>
      </c>
      <c r="CR67">
        <v>107.99146803399999</v>
      </c>
      <c r="CS67">
        <v>97.456499483000002</v>
      </c>
      <c r="CT67">
        <v>129.59981493199999</v>
      </c>
      <c r="CU67">
        <v>103.63815268899999</v>
      </c>
      <c r="CV67">
        <v>80.326857526300003</v>
      </c>
      <c r="CW67">
        <v>104.42512201700001</v>
      </c>
      <c r="CX67">
        <v>121.089451145</v>
      </c>
      <c r="CY67">
        <v>115.232613065</v>
      </c>
      <c r="CZ67">
        <v>112.956994266</v>
      </c>
      <c r="DA67">
        <v>126.96781697999999</v>
      </c>
      <c r="DB67">
        <v>77.972666808200003</v>
      </c>
      <c r="DC67">
        <v>107.22235940500001</v>
      </c>
      <c r="DD67">
        <v>95.491666947200002</v>
      </c>
      <c r="DE67">
        <v>97.882472086700005</v>
      </c>
      <c r="DF67">
        <v>77.474589798899999</v>
      </c>
      <c r="DG67">
        <v>83.982845691099996</v>
      </c>
      <c r="DH67">
        <v>100.47250927100001</v>
      </c>
    </row>
    <row r="68" spans="1:112" x14ac:dyDescent="0.25">
      <c r="A68" s="8">
        <f t="shared" si="6"/>
        <v>91.234471753242872</v>
      </c>
      <c r="B68" s="9">
        <f>AVERAGE($C$2:C68)</f>
        <v>4.5134328054144053</v>
      </c>
      <c r="C68" s="9">
        <f t="shared" si="7"/>
        <v>4.4382041875348577</v>
      </c>
      <c r="D68" s="6">
        <f>AVERAGE($G$2:G68)</f>
        <v>92.807394814771428</v>
      </c>
      <c r="E68" s="6">
        <f>AVERAGE($H$2:H68)</f>
        <v>91.677146589405893</v>
      </c>
      <c r="F68" s="6">
        <f>AVERAGE($M$2:M68)</f>
        <v>91.358198429010471</v>
      </c>
      <c r="G68" s="6" t="b">
        <f t="shared" si="8"/>
        <v>0</v>
      </c>
      <c r="H68" t="b">
        <f t="shared" si="9"/>
        <v>0</v>
      </c>
      <c r="I68" s="6">
        <f t="shared" si="10"/>
        <v>-0.31894816039542206</v>
      </c>
      <c r="J68" s="6">
        <f t="shared" si="11"/>
        <v>-1.4491963857609562</v>
      </c>
      <c r="K68">
        <v>66</v>
      </c>
      <c r="L68">
        <f>L67+Asian!dt</f>
        <v>0.66000000000000036</v>
      </c>
      <c r="M68">
        <v>84.622838392199995</v>
      </c>
      <c r="N68">
        <v>100.998421482</v>
      </c>
      <c r="O68">
        <v>102.283877542</v>
      </c>
      <c r="P68">
        <v>99.431384079400004</v>
      </c>
      <c r="Q68">
        <v>68.859063743299998</v>
      </c>
      <c r="R68">
        <v>94.262377968300001</v>
      </c>
      <c r="S68">
        <v>102.87303675699999</v>
      </c>
      <c r="T68">
        <v>81.852922485199997</v>
      </c>
      <c r="U68">
        <v>107.822674213</v>
      </c>
      <c r="V68">
        <v>119.373782562</v>
      </c>
      <c r="W68">
        <v>109.847432209</v>
      </c>
      <c r="X68">
        <v>118.30373694399999</v>
      </c>
      <c r="Y68">
        <v>92.135516644099994</v>
      </c>
      <c r="Z68">
        <v>107.98329187500001</v>
      </c>
      <c r="AA68">
        <v>111.23443848700001</v>
      </c>
      <c r="AB68">
        <v>115.974947132</v>
      </c>
      <c r="AC68">
        <v>83.846070383500006</v>
      </c>
      <c r="AD68">
        <v>93.669161365700006</v>
      </c>
      <c r="AE68">
        <v>134.94389287499999</v>
      </c>
      <c r="AF68">
        <v>144.59275686800001</v>
      </c>
      <c r="AG68">
        <v>115.09622171700001</v>
      </c>
      <c r="AH68">
        <v>120.123535823</v>
      </c>
      <c r="AI68">
        <v>77.535085697</v>
      </c>
      <c r="AJ68">
        <v>86.611745139899995</v>
      </c>
      <c r="AK68">
        <v>111.628662109</v>
      </c>
      <c r="AL68">
        <v>104.304629777</v>
      </c>
      <c r="AM68">
        <v>88.448575165799994</v>
      </c>
      <c r="AN68">
        <v>100.18821404800001</v>
      </c>
      <c r="AO68">
        <v>100.15889175</v>
      </c>
      <c r="AP68">
        <v>89.032094596099995</v>
      </c>
      <c r="AQ68">
        <v>116.58400094700001</v>
      </c>
      <c r="AR68">
        <v>99.469834052400003</v>
      </c>
      <c r="AS68">
        <v>132.54582180099999</v>
      </c>
      <c r="AT68">
        <v>86.122472161299996</v>
      </c>
      <c r="AU68">
        <v>116.606480357</v>
      </c>
      <c r="AV68">
        <v>129.28275240799999</v>
      </c>
      <c r="AW68">
        <v>108.72846532699999</v>
      </c>
      <c r="AX68">
        <v>104.12694153699999</v>
      </c>
      <c r="AY68">
        <v>96.259136401399999</v>
      </c>
      <c r="AZ68">
        <v>128.710572009</v>
      </c>
      <c r="BA68">
        <v>117.647322989</v>
      </c>
      <c r="BB68">
        <v>108.46401093999999</v>
      </c>
      <c r="BC68">
        <v>115.60250102099999</v>
      </c>
      <c r="BD68">
        <v>114.911181384</v>
      </c>
      <c r="BE68">
        <v>101.511273405</v>
      </c>
      <c r="BF68">
        <v>86.186366944100001</v>
      </c>
      <c r="BG68">
        <v>96.022030762399993</v>
      </c>
      <c r="BH68">
        <v>105.064399462</v>
      </c>
      <c r="BI68">
        <v>111.466397395</v>
      </c>
      <c r="BJ68">
        <v>110.242894377</v>
      </c>
      <c r="BK68">
        <v>100.81806275300001</v>
      </c>
      <c r="BL68">
        <v>82.600882751200004</v>
      </c>
      <c r="BM68">
        <v>114.91528998699999</v>
      </c>
      <c r="BN68">
        <v>110.77078934799999</v>
      </c>
      <c r="BO68">
        <v>86.821825334799996</v>
      </c>
      <c r="BP68">
        <v>76.929940608999999</v>
      </c>
      <c r="BQ68">
        <v>96.187718583500001</v>
      </c>
      <c r="BR68">
        <v>113.10351074899999</v>
      </c>
      <c r="BS68">
        <v>120.24786022000001</v>
      </c>
      <c r="BT68">
        <v>111.76012578700001</v>
      </c>
      <c r="BU68">
        <v>98.166306309700005</v>
      </c>
      <c r="BV68">
        <v>83.200893905599997</v>
      </c>
      <c r="BW68">
        <v>107.075917901</v>
      </c>
      <c r="BX68">
        <v>72.525690587100001</v>
      </c>
      <c r="BY68">
        <v>92.065843560000005</v>
      </c>
      <c r="BZ68">
        <v>112.619041713</v>
      </c>
      <c r="CA68">
        <v>86.281870637699996</v>
      </c>
      <c r="CB68">
        <v>96.981651015400004</v>
      </c>
      <c r="CC68">
        <v>72.774608735100003</v>
      </c>
      <c r="CD68">
        <v>97.255978074799998</v>
      </c>
      <c r="CE68">
        <v>82.118404057899994</v>
      </c>
      <c r="CF68">
        <v>81.655891630499994</v>
      </c>
      <c r="CG68">
        <v>98.741895429400003</v>
      </c>
      <c r="CH68">
        <v>131.73572784999999</v>
      </c>
      <c r="CI68">
        <v>92.407682239099998</v>
      </c>
      <c r="CJ68">
        <v>101.025007417</v>
      </c>
      <c r="CK68">
        <v>91.866811105599993</v>
      </c>
      <c r="CL68">
        <v>81.576823740999998</v>
      </c>
      <c r="CM68">
        <v>85.203685078999996</v>
      </c>
      <c r="CN68">
        <v>105.843037197</v>
      </c>
      <c r="CO68">
        <v>144.32250585700001</v>
      </c>
      <c r="CP68">
        <v>92.277954407600006</v>
      </c>
      <c r="CQ68">
        <v>86.381984089400007</v>
      </c>
      <c r="CR68">
        <v>105.533657058</v>
      </c>
      <c r="CS68">
        <v>98.657787223699998</v>
      </c>
      <c r="CT68">
        <v>129.574660368</v>
      </c>
      <c r="CU68">
        <v>103.91764791600001</v>
      </c>
      <c r="CV68">
        <v>79.623011424300003</v>
      </c>
      <c r="CW68">
        <v>106.60545464099999</v>
      </c>
      <c r="CX68">
        <v>121.001564542</v>
      </c>
      <c r="CY68">
        <v>114.80214555800001</v>
      </c>
      <c r="CZ68">
        <v>110.954191358</v>
      </c>
      <c r="DA68">
        <v>129.638106806</v>
      </c>
      <c r="DB68">
        <v>76.178705430899996</v>
      </c>
      <c r="DC68">
        <v>105.42833122499999</v>
      </c>
      <c r="DD68">
        <v>96.340625962499999</v>
      </c>
      <c r="DE68">
        <v>99.822556722300007</v>
      </c>
      <c r="DF68">
        <v>75.374105865499999</v>
      </c>
      <c r="DG68">
        <v>84.718860010100002</v>
      </c>
      <c r="DH68">
        <v>99.754327966899993</v>
      </c>
    </row>
    <row r="69" spans="1:112" x14ac:dyDescent="0.25">
      <c r="A69" s="8">
        <f t="shared" si="6"/>
        <v>91.071755683149377</v>
      </c>
      <c r="B69" s="9">
        <f>AVERAGE($C$2:C69)</f>
        <v>4.5116477197857909</v>
      </c>
      <c r="C69" s="9">
        <f t="shared" si="7"/>
        <v>4.3920469826686146</v>
      </c>
      <c r="D69" s="6">
        <f>AVERAGE($G$2:G69)</f>
        <v>92.807394814771428</v>
      </c>
      <c r="E69" s="6">
        <f>AVERAGE($H$2:H69)</f>
        <v>91.677146589405893</v>
      </c>
      <c r="F69" s="6">
        <f>AVERAGE($M$2:M69)</f>
        <v>91.203014004805894</v>
      </c>
      <c r="G69" s="6" t="b">
        <f t="shared" si="8"/>
        <v>0</v>
      </c>
      <c r="H69" t="b">
        <f t="shared" si="9"/>
        <v>0</v>
      </c>
      <c r="I69" s="6">
        <f t="shared" si="10"/>
        <v>-0.47413258459999952</v>
      </c>
      <c r="J69" s="6">
        <f t="shared" si="11"/>
        <v>-1.6043808099655337</v>
      </c>
      <c r="K69">
        <v>67</v>
      </c>
      <c r="L69">
        <f>L68+Asian!dt</f>
        <v>0.67000000000000037</v>
      </c>
      <c r="M69">
        <v>80.8056575831</v>
      </c>
      <c r="N69">
        <v>106.336803582</v>
      </c>
      <c r="O69">
        <v>101.65865272800001</v>
      </c>
      <c r="P69">
        <v>100.410912021</v>
      </c>
      <c r="Q69">
        <v>68.286528513299999</v>
      </c>
      <c r="R69">
        <v>94.496737353200004</v>
      </c>
      <c r="S69">
        <v>102.069763014</v>
      </c>
      <c r="T69">
        <v>84.443214726799994</v>
      </c>
      <c r="U69">
        <v>109.559324674</v>
      </c>
      <c r="V69">
        <v>118.83976742900001</v>
      </c>
      <c r="W69">
        <v>106.359242493</v>
      </c>
      <c r="X69">
        <v>119.69525585</v>
      </c>
      <c r="Y69">
        <v>91.330044801100001</v>
      </c>
      <c r="Z69">
        <v>105.878701294</v>
      </c>
      <c r="AA69">
        <v>106.379410471</v>
      </c>
      <c r="AB69">
        <v>117.132866269</v>
      </c>
      <c r="AC69">
        <v>81.597241889399996</v>
      </c>
      <c r="AD69">
        <v>96.819689969799995</v>
      </c>
      <c r="AE69">
        <v>135.317514536</v>
      </c>
      <c r="AF69">
        <v>148.56692637500001</v>
      </c>
      <c r="AG69">
        <v>113.177825431</v>
      </c>
      <c r="AH69">
        <v>119.08309133</v>
      </c>
      <c r="AI69">
        <v>79.275363683500004</v>
      </c>
      <c r="AJ69">
        <v>87.0964222761</v>
      </c>
      <c r="AK69">
        <v>108.08594018700001</v>
      </c>
      <c r="AL69">
        <v>102.808319469</v>
      </c>
      <c r="AM69">
        <v>89.972087186400003</v>
      </c>
      <c r="AN69">
        <v>98.828998148799997</v>
      </c>
      <c r="AO69">
        <v>95.481088567</v>
      </c>
      <c r="AP69">
        <v>88.918522823299995</v>
      </c>
      <c r="AQ69">
        <v>114.943560992</v>
      </c>
      <c r="AR69">
        <v>101.211832689</v>
      </c>
      <c r="AS69">
        <v>134.403382956</v>
      </c>
      <c r="AT69">
        <v>86.134390116899993</v>
      </c>
      <c r="AU69">
        <v>113.29067875299999</v>
      </c>
      <c r="AV69">
        <v>132.25626288000001</v>
      </c>
      <c r="AW69">
        <v>108.93244777699999</v>
      </c>
      <c r="AX69">
        <v>101.28840245000001</v>
      </c>
      <c r="AY69">
        <v>97.067800322500005</v>
      </c>
      <c r="AZ69">
        <v>125.222616429</v>
      </c>
      <c r="BA69">
        <v>118.87073989300001</v>
      </c>
      <c r="BB69">
        <v>107.434193537</v>
      </c>
      <c r="BC69">
        <v>114.890464427</v>
      </c>
      <c r="BD69">
        <v>113.41976547100001</v>
      </c>
      <c r="BE69">
        <v>101.980146264</v>
      </c>
      <c r="BF69">
        <v>87.187734333099996</v>
      </c>
      <c r="BG69">
        <v>93.076498335699995</v>
      </c>
      <c r="BH69">
        <v>104.639864987</v>
      </c>
      <c r="BI69">
        <v>107.35918545600001</v>
      </c>
      <c r="BJ69">
        <v>107.80795419099999</v>
      </c>
      <c r="BK69">
        <v>99.226339099699999</v>
      </c>
      <c r="BL69">
        <v>81.030021586800004</v>
      </c>
      <c r="BM69">
        <v>116.926086739</v>
      </c>
      <c r="BN69">
        <v>109.53015474</v>
      </c>
      <c r="BO69">
        <v>86.767752148599996</v>
      </c>
      <c r="BP69">
        <v>76.923339845399994</v>
      </c>
      <c r="BQ69">
        <v>92.945887651999996</v>
      </c>
      <c r="BR69">
        <v>112.114112775</v>
      </c>
      <c r="BS69">
        <v>123.384093706</v>
      </c>
      <c r="BT69">
        <v>113.838656986</v>
      </c>
      <c r="BU69">
        <v>96.804880720599996</v>
      </c>
      <c r="BV69">
        <v>83.773694000700004</v>
      </c>
      <c r="BW69">
        <v>109.46759848799999</v>
      </c>
      <c r="BX69">
        <v>72.205511663400003</v>
      </c>
      <c r="BY69">
        <v>93.151682569499997</v>
      </c>
      <c r="BZ69">
        <v>111.79100000699999</v>
      </c>
      <c r="CA69">
        <v>85.719029116100003</v>
      </c>
      <c r="CB69">
        <v>100.25029474999999</v>
      </c>
      <c r="CC69">
        <v>74.479793361500001</v>
      </c>
      <c r="CD69">
        <v>98.302179561700001</v>
      </c>
      <c r="CE69">
        <v>82.0889878893</v>
      </c>
      <c r="CF69">
        <v>82.162960938300003</v>
      </c>
      <c r="CG69">
        <v>99.733551372400001</v>
      </c>
      <c r="CH69">
        <v>137.015614696</v>
      </c>
      <c r="CI69">
        <v>91.387332260099996</v>
      </c>
      <c r="CJ69">
        <v>100.90822005699999</v>
      </c>
      <c r="CK69">
        <v>89.348903065499997</v>
      </c>
      <c r="CL69">
        <v>82.336237412900005</v>
      </c>
      <c r="CM69">
        <v>85.823369820099998</v>
      </c>
      <c r="CN69">
        <v>105.678735471</v>
      </c>
      <c r="CO69">
        <v>144.588099382</v>
      </c>
      <c r="CP69">
        <v>92.849814232699998</v>
      </c>
      <c r="CQ69">
        <v>85.083721297400004</v>
      </c>
      <c r="CR69">
        <v>106.176802862</v>
      </c>
      <c r="CS69">
        <v>97.598086311299994</v>
      </c>
      <c r="CT69">
        <v>127.56479905899999</v>
      </c>
      <c r="CU69">
        <v>106.546869582</v>
      </c>
      <c r="CV69">
        <v>79.549728376999994</v>
      </c>
      <c r="CW69">
        <v>109.254059634</v>
      </c>
      <c r="CX69">
        <v>121.636642055</v>
      </c>
      <c r="CY69">
        <v>118.16626447100001</v>
      </c>
      <c r="CZ69">
        <v>106.653756464</v>
      </c>
      <c r="DA69">
        <v>128.532298223</v>
      </c>
      <c r="DB69">
        <v>76.215078566700001</v>
      </c>
      <c r="DC69">
        <v>105.14374050799999</v>
      </c>
      <c r="DD69">
        <v>93.204122433699993</v>
      </c>
      <c r="DE69">
        <v>104.730336103</v>
      </c>
      <c r="DF69">
        <v>73.608711715599995</v>
      </c>
      <c r="DG69">
        <v>82.5506466816</v>
      </c>
      <c r="DH69">
        <v>98.321711798500004</v>
      </c>
    </row>
    <row r="70" spans="1:112" x14ac:dyDescent="0.25">
      <c r="A70" s="8">
        <f t="shared" si="6"/>
        <v>90.95078864118075</v>
      </c>
      <c r="B70" s="9">
        <f>AVERAGE($C$2:C70)</f>
        <v>4.5103185760775073</v>
      </c>
      <c r="C70" s="9">
        <f t="shared" si="7"/>
        <v>4.4199368039142746</v>
      </c>
      <c r="D70" s="6">
        <f>AVERAGE($G$2:G70)</f>
        <v>92.807394814771428</v>
      </c>
      <c r="E70" s="6">
        <f>AVERAGE($H$2:H70)</f>
        <v>91.200140343566687</v>
      </c>
      <c r="F70" s="6">
        <f>AVERAGE($M$2:M70)</f>
        <v>91.085449079581181</v>
      </c>
      <c r="G70" s="6" t="b">
        <f t="shared" si="8"/>
        <v>0</v>
      </c>
      <c r="H70">
        <f t="shared" si="9"/>
        <v>83.091034164299998</v>
      </c>
      <c r="I70" s="6">
        <f t="shared" si="10"/>
        <v>-0.114691263985506</v>
      </c>
      <c r="J70" s="6">
        <f t="shared" si="11"/>
        <v>-1.7219457351902463</v>
      </c>
      <c r="K70">
        <v>68</v>
      </c>
      <c r="L70">
        <f>L69+Asian!dt</f>
        <v>0.68000000000000038</v>
      </c>
      <c r="M70">
        <v>83.091034164299998</v>
      </c>
      <c r="N70">
        <v>109.598527077</v>
      </c>
      <c r="O70">
        <v>103.86381970799999</v>
      </c>
      <c r="P70">
        <v>97.5532192915</v>
      </c>
      <c r="Q70">
        <v>67.993355011000006</v>
      </c>
      <c r="R70">
        <v>95.918266731100005</v>
      </c>
      <c r="S70">
        <v>101.43361595499999</v>
      </c>
      <c r="T70">
        <v>84.221896355599995</v>
      </c>
      <c r="U70">
        <v>111.76985157</v>
      </c>
      <c r="V70">
        <v>120.896490206</v>
      </c>
      <c r="W70">
        <v>108.462323309</v>
      </c>
      <c r="X70">
        <v>124.432286496</v>
      </c>
      <c r="Y70">
        <v>90.456364735099996</v>
      </c>
      <c r="Z70">
        <v>102.97663649099999</v>
      </c>
      <c r="AA70">
        <v>104.716003363</v>
      </c>
      <c r="AB70">
        <v>116.968527575</v>
      </c>
      <c r="AC70">
        <v>80.595176765299996</v>
      </c>
      <c r="AD70">
        <v>100.140508823</v>
      </c>
      <c r="AE70">
        <v>133.56548601599999</v>
      </c>
      <c r="AF70">
        <v>150.138953469</v>
      </c>
      <c r="AG70">
        <v>113.464389228</v>
      </c>
      <c r="AH70">
        <v>118.08136548</v>
      </c>
      <c r="AI70">
        <v>80.018956534699996</v>
      </c>
      <c r="AJ70">
        <v>87.117716650199995</v>
      </c>
      <c r="AK70">
        <v>108.080688416</v>
      </c>
      <c r="AL70">
        <v>102.80530363299999</v>
      </c>
      <c r="AM70">
        <v>89.748050114799995</v>
      </c>
      <c r="AN70">
        <v>102.514278027</v>
      </c>
      <c r="AO70">
        <v>97.353909185999996</v>
      </c>
      <c r="AP70">
        <v>90.408035025100006</v>
      </c>
      <c r="AQ70">
        <v>115.910317929</v>
      </c>
      <c r="AR70">
        <v>101.352897642</v>
      </c>
      <c r="AS70">
        <v>138.13588169600001</v>
      </c>
      <c r="AT70">
        <v>84.273981402499999</v>
      </c>
      <c r="AU70">
        <v>110.60604835300001</v>
      </c>
      <c r="AV70">
        <v>131.50085062799999</v>
      </c>
      <c r="AW70">
        <v>112.855581081</v>
      </c>
      <c r="AX70">
        <v>98.426620053400001</v>
      </c>
      <c r="AY70">
        <v>97.770126347399994</v>
      </c>
      <c r="AZ70">
        <v>125.161613723</v>
      </c>
      <c r="BA70">
        <v>120.13531215499999</v>
      </c>
      <c r="BB70">
        <v>107.68692282400001</v>
      </c>
      <c r="BC70">
        <v>113.816096852</v>
      </c>
      <c r="BD70">
        <v>113.429093615</v>
      </c>
      <c r="BE70">
        <v>99.689926165900005</v>
      </c>
      <c r="BF70">
        <v>86.611975735599998</v>
      </c>
      <c r="BG70">
        <v>93.340166289500004</v>
      </c>
      <c r="BH70">
        <v>103.760955904</v>
      </c>
      <c r="BI70">
        <v>107.724972417</v>
      </c>
      <c r="BJ70">
        <v>108.74699087</v>
      </c>
      <c r="BK70">
        <v>100.177864988</v>
      </c>
      <c r="BL70">
        <v>80.235351170900003</v>
      </c>
      <c r="BM70">
        <v>118.10761483</v>
      </c>
      <c r="BN70">
        <v>112.332687804</v>
      </c>
      <c r="BO70">
        <v>85.584854981800007</v>
      </c>
      <c r="BP70">
        <v>75.689480008299995</v>
      </c>
      <c r="BQ70">
        <v>94.473496070300001</v>
      </c>
      <c r="BR70">
        <v>113.9754403</v>
      </c>
      <c r="BS70">
        <v>124.27737681399999</v>
      </c>
      <c r="BT70">
        <v>115.88494419600001</v>
      </c>
      <c r="BU70">
        <v>93.823371644999995</v>
      </c>
      <c r="BV70">
        <v>83.372363888199999</v>
      </c>
      <c r="BW70">
        <v>109.024197551</v>
      </c>
      <c r="BX70">
        <v>73.206142312899999</v>
      </c>
      <c r="BY70">
        <v>94.149270656699997</v>
      </c>
      <c r="BZ70">
        <v>112.02113556</v>
      </c>
      <c r="CA70">
        <v>87.710822066199995</v>
      </c>
      <c r="CB70">
        <v>101.678914642</v>
      </c>
      <c r="CC70">
        <v>73.872247172900003</v>
      </c>
      <c r="CD70">
        <v>101.225959257</v>
      </c>
      <c r="CE70">
        <v>82.737090078199998</v>
      </c>
      <c r="CF70">
        <v>80.679158274900004</v>
      </c>
      <c r="CG70">
        <v>99.618826114800001</v>
      </c>
      <c r="CH70">
        <v>135.37122722800001</v>
      </c>
      <c r="CI70">
        <v>91.388082792800006</v>
      </c>
      <c r="CJ70">
        <v>98.520698821600007</v>
      </c>
      <c r="CK70">
        <v>93.592468480500003</v>
      </c>
      <c r="CL70">
        <v>83.195028885799999</v>
      </c>
      <c r="CM70">
        <v>84.629948820400003</v>
      </c>
      <c r="CN70">
        <v>105.713012091</v>
      </c>
      <c r="CO70">
        <v>144.26440793899999</v>
      </c>
      <c r="CP70">
        <v>91.260289284400002</v>
      </c>
      <c r="CQ70">
        <v>88.049234953099997</v>
      </c>
      <c r="CR70">
        <v>106.151772698</v>
      </c>
      <c r="CS70">
        <v>96.707912756599995</v>
      </c>
      <c r="CT70">
        <v>125.34907228599999</v>
      </c>
      <c r="CU70">
        <v>108.16470117199999</v>
      </c>
      <c r="CV70">
        <v>81.989155423300005</v>
      </c>
      <c r="CW70">
        <v>109.88974741200001</v>
      </c>
      <c r="CX70">
        <v>123.049686157</v>
      </c>
      <c r="CY70">
        <v>121.484574137</v>
      </c>
      <c r="CZ70">
        <v>107.451420631</v>
      </c>
      <c r="DA70">
        <v>129.086563794</v>
      </c>
      <c r="DB70">
        <v>78.687468834300006</v>
      </c>
      <c r="DC70">
        <v>105.877053085</v>
      </c>
      <c r="DD70">
        <v>94.859589176</v>
      </c>
      <c r="DE70">
        <v>107.573716793</v>
      </c>
      <c r="DF70">
        <v>73.717041059699994</v>
      </c>
      <c r="DG70">
        <v>83.069072535399997</v>
      </c>
      <c r="DH70">
        <v>96.844537025799994</v>
      </c>
    </row>
    <row r="71" spans="1:112" x14ac:dyDescent="0.25">
      <c r="A71" s="8">
        <f t="shared" si="6"/>
        <v>90.826668129755461</v>
      </c>
      <c r="B71" s="9">
        <f>AVERAGE($C$2:C71)</f>
        <v>4.5089529443548502</v>
      </c>
      <c r="C71" s="9">
        <f t="shared" si="7"/>
        <v>4.4147243554914999</v>
      </c>
      <c r="D71" s="6">
        <f>AVERAGE($G$2:G71)</f>
        <v>92.807394814771428</v>
      </c>
      <c r="E71" s="6">
        <f>AVERAGE($H$2:H71)</f>
        <v>91.200140343566687</v>
      </c>
      <c r="F71" s="6">
        <f>AVERAGE($M$2:M71)</f>
        <v>90.965071996322877</v>
      </c>
      <c r="G71" s="6" t="b">
        <f t="shared" si="8"/>
        <v>0</v>
      </c>
      <c r="H71" t="b">
        <f t="shared" si="9"/>
        <v>0</v>
      </c>
      <c r="I71" s="6">
        <f t="shared" si="10"/>
        <v>-0.23506834724381065</v>
      </c>
      <c r="J71" s="6">
        <f t="shared" si="11"/>
        <v>-1.8423228184485509</v>
      </c>
      <c r="K71">
        <v>69</v>
      </c>
      <c r="L71">
        <f>L70+Asian!dt</f>
        <v>0.69000000000000039</v>
      </c>
      <c r="M71">
        <v>82.659053251499998</v>
      </c>
      <c r="N71">
        <v>111.968633936</v>
      </c>
      <c r="O71">
        <v>105.35707205</v>
      </c>
      <c r="P71">
        <v>97.990936762800004</v>
      </c>
      <c r="Q71">
        <v>67.518726847099998</v>
      </c>
      <c r="R71">
        <v>96.000579797499995</v>
      </c>
      <c r="S71">
        <v>103.751051366</v>
      </c>
      <c r="T71">
        <v>85.745622215099999</v>
      </c>
      <c r="U71">
        <v>114.50892471500001</v>
      </c>
      <c r="V71">
        <v>118.775206001</v>
      </c>
      <c r="W71">
        <v>108.149791744</v>
      </c>
      <c r="X71">
        <v>127.939749525</v>
      </c>
      <c r="Y71">
        <v>89.346245136099995</v>
      </c>
      <c r="Z71">
        <v>99.108929606000004</v>
      </c>
      <c r="AA71">
        <v>103.828863176</v>
      </c>
      <c r="AB71">
        <v>117.53895238699999</v>
      </c>
      <c r="AC71">
        <v>79.259711818499994</v>
      </c>
      <c r="AD71">
        <v>104.537628934</v>
      </c>
      <c r="AE71">
        <v>132.154996759</v>
      </c>
      <c r="AF71">
        <v>146.60274040799999</v>
      </c>
      <c r="AG71">
        <v>112.624112345</v>
      </c>
      <c r="AH71">
        <v>119.216083031</v>
      </c>
      <c r="AI71">
        <v>80.212620202799997</v>
      </c>
      <c r="AJ71">
        <v>88.894543116899996</v>
      </c>
      <c r="AK71">
        <v>105.606528627</v>
      </c>
      <c r="AL71">
        <v>103.15017466099999</v>
      </c>
      <c r="AM71">
        <v>90.164875029200005</v>
      </c>
      <c r="AN71">
        <v>98.313716773799996</v>
      </c>
      <c r="AO71">
        <v>97.959440037500002</v>
      </c>
      <c r="AP71">
        <v>91.049800340900006</v>
      </c>
      <c r="AQ71">
        <v>118.306494192</v>
      </c>
      <c r="AR71">
        <v>104.372232142</v>
      </c>
      <c r="AS71">
        <v>137.354019123</v>
      </c>
      <c r="AT71">
        <v>85.983469188000001</v>
      </c>
      <c r="AU71">
        <v>112.058957832</v>
      </c>
      <c r="AV71">
        <v>127.88092481</v>
      </c>
      <c r="AW71">
        <v>114.95339272699999</v>
      </c>
      <c r="AX71">
        <v>98.229385441700003</v>
      </c>
      <c r="AY71">
        <v>97.248415171700003</v>
      </c>
      <c r="AZ71">
        <v>128.03175582099999</v>
      </c>
      <c r="BA71">
        <v>122.894750765</v>
      </c>
      <c r="BB71">
        <v>107.997439973</v>
      </c>
      <c r="BC71">
        <v>111.26213815600001</v>
      </c>
      <c r="BD71">
        <v>120.719964835</v>
      </c>
      <c r="BE71">
        <v>97.610463706800005</v>
      </c>
      <c r="BF71">
        <v>88.757854244599997</v>
      </c>
      <c r="BG71">
        <v>95.433107700099995</v>
      </c>
      <c r="BH71">
        <v>107.111467496</v>
      </c>
      <c r="BI71">
        <v>105.44895357599999</v>
      </c>
      <c r="BJ71">
        <v>112.420614098</v>
      </c>
      <c r="BK71">
        <v>101.278818019</v>
      </c>
      <c r="BL71">
        <v>79.798744184399993</v>
      </c>
      <c r="BM71">
        <v>120.923140863</v>
      </c>
      <c r="BN71">
        <v>115.16248475499999</v>
      </c>
      <c r="BO71">
        <v>86.418405565599997</v>
      </c>
      <c r="BP71">
        <v>75.121261833299997</v>
      </c>
      <c r="BQ71">
        <v>96.746629619299995</v>
      </c>
      <c r="BR71">
        <v>112.52222877200001</v>
      </c>
      <c r="BS71">
        <v>126.846279267</v>
      </c>
      <c r="BT71">
        <v>116.691257552</v>
      </c>
      <c r="BU71">
        <v>94.732780040099996</v>
      </c>
      <c r="BV71">
        <v>86.107437816699999</v>
      </c>
      <c r="BW71">
        <v>105.434527289</v>
      </c>
      <c r="BX71">
        <v>73.708360924499999</v>
      </c>
      <c r="BY71">
        <v>94.873690584399995</v>
      </c>
      <c r="BZ71">
        <v>115.768678975</v>
      </c>
      <c r="CA71">
        <v>87.436413634900006</v>
      </c>
      <c r="CB71">
        <v>102.472815072</v>
      </c>
      <c r="CC71">
        <v>74.4788891412</v>
      </c>
      <c r="CD71">
        <v>99.773247061399999</v>
      </c>
      <c r="CE71">
        <v>78.611993942599995</v>
      </c>
      <c r="CF71">
        <v>77.946366886299998</v>
      </c>
      <c r="CG71">
        <v>99.552051315300005</v>
      </c>
      <c r="CH71">
        <v>134.78828930899999</v>
      </c>
      <c r="CI71">
        <v>89.460372092100002</v>
      </c>
      <c r="CJ71">
        <v>97.917225884299995</v>
      </c>
      <c r="CK71">
        <v>93.669405166700002</v>
      </c>
      <c r="CL71">
        <v>84.614207696899996</v>
      </c>
      <c r="CM71">
        <v>83.168847123700004</v>
      </c>
      <c r="CN71">
        <v>103.094289457</v>
      </c>
      <c r="CO71">
        <v>142.687509183</v>
      </c>
      <c r="CP71">
        <v>88.640894308300005</v>
      </c>
      <c r="CQ71">
        <v>89.441955685400004</v>
      </c>
      <c r="CR71">
        <v>107.832158585</v>
      </c>
      <c r="CS71">
        <v>94.691864297699993</v>
      </c>
      <c r="CT71">
        <v>125.184921692</v>
      </c>
      <c r="CU71">
        <v>111.437753433</v>
      </c>
      <c r="CV71">
        <v>82.563108024800002</v>
      </c>
      <c r="CW71">
        <v>104.651745138</v>
      </c>
      <c r="CX71">
        <v>126.53603434999999</v>
      </c>
      <c r="CY71">
        <v>120.562887089</v>
      </c>
      <c r="CZ71">
        <v>110.26271774999999</v>
      </c>
      <c r="DA71">
        <v>126.92234460500001</v>
      </c>
      <c r="DB71">
        <v>79.274679260599996</v>
      </c>
      <c r="DC71">
        <v>109.443316693</v>
      </c>
      <c r="DD71">
        <v>93.154699345300003</v>
      </c>
      <c r="DE71">
        <v>106.900862772</v>
      </c>
      <c r="DF71">
        <v>71.874755832399998</v>
      </c>
      <c r="DG71">
        <v>82.984883376900001</v>
      </c>
      <c r="DH71">
        <v>91.666990118900003</v>
      </c>
    </row>
    <row r="72" spans="1:112" x14ac:dyDescent="0.25">
      <c r="A72" s="8">
        <f t="shared" si="6"/>
        <v>90.708198768062076</v>
      </c>
      <c r="B72" s="9">
        <f>AVERAGE($C$2:C72)</f>
        <v>4.5076477473914682</v>
      </c>
      <c r="C72" s="9">
        <f t="shared" si="7"/>
        <v>4.416283959954753</v>
      </c>
      <c r="D72" s="6">
        <f>AVERAGE($G$2:G72)</f>
        <v>91.554979120512499</v>
      </c>
      <c r="E72" s="6">
        <f>AVERAGE($H$2:H72)</f>
        <v>91.200140343566687</v>
      </c>
      <c r="F72" s="6">
        <f>AVERAGE($M$2:M72)</f>
        <v>90.849902943708457</v>
      </c>
      <c r="G72" s="6">
        <f t="shared" si="8"/>
        <v>82.788069260699999</v>
      </c>
      <c r="H72" t="b">
        <f t="shared" si="9"/>
        <v>0</v>
      </c>
      <c r="I72" s="6">
        <f t="shared" si="10"/>
        <v>-0.35023739985822999</v>
      </c>
      <c r="J72" s="6">
        <f t="shared" si="11"/>
        <v>-0.70507617680404167</v>
      </c>
      <c r="K72">
        <v>70</v>
      </c>
      <c r="L72">
        <f>L71+Asian!dt</f>
        <v>0.7000000000000004</v>
      </c>
      <c r="M72">
        <v>82.788069260699999</v>
      </c>
      <c r="N72">
        <v>111.90969735900001</v>
      </c>
      <c r="O72">
        <v>106.527649913</v>
      </c>
      <c r="P72">
        <v>98.173697227800005</v>
      </c>
      <c r="Q72">
        <v>64.690890460899993</v>
      </c>
      <c r="R72">
        <v>97.412843024799997</v>
      </c>
      <c r="S72">
        <v>105.493542023</v>
      </c>
      <c r="T72">
        <v>87.491899048999997</v>
      </c>
      <c r="U72">
        <v>117.989124136</v>
      </c>
      <c r="V72">
        <v>119.863803721</v>
      </c>
      <c r="W72">
        <v>113.31809029</v>
      </c>
      <c r="X72">
        <v>129.236664303</v>
      </c>
      <c r="Y72">
        <v>91.513540875999993</v>
      </c>
      <c r="Z72">
        <v>98.925275908200007</v>
      </c>
      <c r="AA72">
        <v>105.486931509</v>
      </c>
      <c r="AB72">
        <v>115.212081979</v>
      </c>
      <c r="AC72">
        <v>79.507773927000002</v>
      </c>
      <c r="AD72">
        <v>105.556428904</v>
      </c>
      <c r="AE72">
        <v>135.14119289999999</v>
      </c>
      <c r="AF72">
        <v>146.20294894099999</v>
      </c>
      <c r="AG72">
        <v>108.936104982</v>
      </c>
      <c r="AH72">
        <v>117.36326091399999</v>
      </c>
      <c r="AI72">
        <v>80.471566099100002</v>
      </c>
      <c r="AJ72">
        <v>88.361058846199995</v>
      </c>
      <c r="AK72">
        <v>106.43110524799999</v>
      </c>
      <c r="AL72">
        <v>107.326505247</v>
      </c>
      <c r="AM72">
        <v>89.694755997800002</v>
      </c>
      <c r="AN72">
        <v>99.875186435399996</v>
      </c>
      <c r="AO72">
        <v>97.985259881000005</v>
      </c>
      <c r="AP72">
        <v>92.903610758300005</v>
      </c>
      <c r="AQ72">
        <v>115.917607656</v>
      </c>
      <c r="AR72">
        <v>105.934428324</v>
      </c>
      <c r="AS72">
        <v>139.28650087299999</v>
      </c>
      <c r="AT72">
        <v>86.549743202800002</v>
      </c>
      <c r="AU72">
        <v>112.425542893</v>
      </c>
      <c r="AV72">
        <v>127.49025385100001</v>
      </c>
      <c r="AW72">
        <v>116.64809378699999</v>
      </c>
      <c r="AX72">
        <v>96.450889376000006</v>
      </c>
      <c r="AY72">
        <v>99.821365076999996</v>
      </c>
      <c r="AZ72">
        <v>127.700582148</v>
      </c>
      <c r="BA72">
        <v>122.87581875399999</v>
      </c>
      <c r="BB72">
        <v>106.257347293</v>
      </c>
      <c r="BC72">
        <v>113.441685358</v>
      </c>
      <c r="BD72">
        <v>122.596775904</v>
      </c>
      <c r="BE72">
        <v>97.241641680499995</v>
      </c>
      <c r="BF72">
        <v>87.946862451399994</v>
      </c>
      <c r="BG72">
        <v>98.037490374499995</v>
      </c>
      <c r="BH72">
        <v>108.071101121</v>
      </c>
      <c r="BI72">
        <v>108.826394006</v>
      </c>
      <c r="BJ72">
        <v>112.65752379</v>
      </c>
      <c r="BK72">
        <v>100.587717678</v>
      </c>
      <c r="BL72">
        <v>78.392812018300006</v>
      </c>
      <c r="BM72">
        <v>121.661549112</v>
      </c>
      <c r="BN72">
        <v>113.667201162</v>
      </c>
      <c r="BO72">
        <v>86.153568485400001</v>
      </c>
      <c r="BP72">
        <v>75.952087352099994</v>
      </c>
      <c r="BQ72">
        <v>96.649006739000001</v>
      </c>
      <c r="BR72">
        <v>110.93269764</v>
      </c>
      <c r="BS72">
        <v>125.532585412</v>
      </c>
      <c r="BT72">
        <v>120.224559368</v>
      </c>
      <c r="BU72">
        <v>95.003210077299997</v>
      </c>
      <c r="BV72">
        <v>85.550642461600006</v>
      </c>
      <c r="BW72">
        <v>107.34331985199999</v>
      </c>
      <c r="BX72">
        <v>72.710062734100006</v>
      </c>
      <c r="BY72">
        <v>94.3433367242</v>
      </c>
      <c r="BZ72">
        <v>121.81266414300001</v>
      </c>
      <c r="CA72">
        <v>87.6854664544</v>
      </c>
      <c r="CB72">
        <v>103.945551026</v>
      </c>
      <c r="CC72">
        <v>75.912464844699997</v>
      </c>
      <c r="CD72">
        <v>102.590748387</v>
      </c>
      <c r="CE72">
        <v>77.212591180800004</v>
      </c>
      <c r="CF72">
        <v>79.302236901599997</v>
      </c>
      <c r="CG72">
        <v>100.42499971300001</v>
      </c>
      <c r="CH72">
        <v>135.71039111100001</v>
      </c>
      <c r="CI72">
        <v>89.589292138600001</v>
      </c>
      <c r="CJ72">
        <v>98.710523019999997</v>
      </c>
      <c r="CK72">
        <v>92.274718322400005</v>
      </c>
      <c r="CL72">
        <v>84.327989991899997</v>
      </c>
      <c r="CM72">
        <v>83.285946965099996</v>
      </c>
      <c r="CN72">
        <v>100.86897522700001</v>
      </c>
      <c r="CO72">
        <v>148.93704639699999</v>
      </c>
      <c r="CP72">
        <v>89.842498290400002</v>
      </c>
      <c r="CQ72">
        <v>91.285318442399998</v>
      </c>
      <c r="CR72">
        <v>104.622408612</v>
      </c>
      <c r="CS72">
        <v>98.288117487600005</v>
      </c>
      <c r="CT72">
        <v>124.802959124</v>
      </c>
      <c r="CU72">
        <v>112.509318595</v>
      </c>
      <c r="CV72">
        <v>83.152838257799999</v>
      </c>
      <c r="CW72">
        <v>104.99648626</v>
      </c>
      <c r="CX72">
        <v>125.913776548</v>
      </c>
      <c r="CY72">
        <v>122.73898326699999</v>
      </c>
      <c r="CZ72">
        <v>110.054042291</v>
      </c>
      <c r="DA72">
        <v>127.55152694900001</v>
      </c>
      <c r="DB72">
        <v>77.247090766100001</v>
      </c>
      <c r="DC72">
        <v>112.892556793</v>
      </c>
      <c r="DD72">
        <v>95.905349666299998</v>
      </c>
      <c r="DE72">
        <v>110.687349213</v>
      </c>
      <c r="DF72">
        <v>74.772762395499996</v>
      </c>
      <c r="DG72">
        <v>84.278237233300004</v>
      </c>
      <c r="DH72">
        <v>91.350321966500005</v>
      </c>
    </row>
    <row r="73" spans="1:112" x14ac:dyDescent="0.25">
      <c r="A73" s="8">
        <f t="shared" si="6"/>
        <v>90.623321664425788</v>
      </c>
      <c r="B73" s="9">
        <f>AVERAGE($C$2:C73)</f>
        <v>4.5067115934383928</v>
      </c>
      <c r="C73" s="9">
        <f t="shared" si="7"/>
        <v>4.4402446627700005</v>
      </c>
      <c r="D73" s="6">
        <f>AVERAGE($G$2:G73)</f>
        <v>91.554979120512499</v>
      </c>
      <c r="E73" s="6">
        <f>AVERAGE($H$2:H73)</f>
        <v>91.200140343566687</v>
      </c>
      <c r="F73" s="6">
        <f>AVERAGE($M$2:M73)</f>
        <v>90.765816590093067</v>
      </c>
      <c r="G73" s="6" t="b">
        <f t="shared" si="8"/>
        <v>0</v>
      </c>
      <c r="H73" t="b">
        <f t="shared" si="9"/>
        <v>0</v>
      </c>
      <c r="I73" s="6">
        <f t="shared" si="10"/>
        <v>-0.4343237534736204</v>
      </c>
      <c r="J73" s="6">
        <f t="shared" si="11"/>
        <v>-0.78916253041943207</v>
      </c>
      <c r="K73">
        <v>71</v>
      </c>
      <c r="L73">
        <f>L72+Asian!dt</f>
        <v>0.71000000000000041</v>
      </c>
      <c r="M73">
        <v>84.795685483400007</v>
      </c>
      <c r="N73">
        <v>112.380870547</v>
      </c>
      <c r="O73">
        <v>107.945050606</v>
      </c>
      <c r="P73">
        <v>98.570275555799995</v>
      </c>
      <c r="Q73">
        <v>63.561444686800002</v>
      </c>
      <c r="R73">
        <v>96.617541706300003</v>
      </c>
      <c r="S73">
        <v>100.955306738</v>
      </c>
      <c r="T73">
        <v>86.7271143201</v>
      </c>
      <c r="U73">
        <v>117.955871047</v>
      </c>
      <c r="V73">
        <v>122.62862060499999</v>
      </c>
      <c r="W73">
        <v>111.831538147</v>
      </c>
      <c r="X73">
        <v>128.81161216699999</v>
      </c>
      <c r="Y73">
        <v>90.532540951300007</v>
      </c>
      <c r="Z73">
        <v>99.018344397500002</v>
      </c>
      <c r="AA73">
        <v>108.921988777</v>
      </c>
      <c r="AB73">
        <v>115.304510174</v>
      </c>
      <c r="AC73">
        <v>79.860159953299998</v>
      </c>
      <c r="AD73">
        <v>106.71023689800001</v>
      </c>
      <c r="AE73">
        <v>136.45499821499999</v>
      </c>
      <c r="AF73">
        <v>143.165087481</v>
      </c>
      <c r="AG73">
        <v>108.118153083</v>
      </c>
      <c r="AH73">
        <v>116.40520723900001</v>
      </c>
      <c r="AI73">
        <v>82.400295533100007</v>
      </c>
      <c r="AJ73">
        <v>85.733367892299995</v>
      </c>
      <c r="AK73">
        <v>104.47598370199999</v>
      </c>
      <c r="AL73">
        <v>108.349661266</v>
      </c>
      <c r="AM73">
        <v>90.622659068499999</v>
      </c>
      <c r="AN73">
        <v>100.278241525</v>
      </c>
      <c r="AO73">
        <v>99.702200712800007</v>
      </c>
      <c r="AP73">
        <v>92.120951794500002</v>
      </c>
      <c r="AQ73">
        <v>117.05567067299999</v>
      </c>
      <c r="AR73">
        <v>105.38322682499999</v>
      </c>
      <c r="AS73">
        <v>139.055435018</v>
      </c>
      <c r="AT73">
        <v>87.656177630100004</v>
      </c>
      <c r="AU73">
        <v>115.330852495</v>
      </c>
      <c r="AV73">
        <v>124.285289542</v>
      </c>
      <c r="AW73">
        <v>113.13411505000001</v>
      </c>
      <c r="AX73">
        <v>96.926041671899995</v>
      </c>
      <c r="AY73">
        <v>99.409374592600003</v>
      </c>
      <c r="AZ73">
        <v>122.747527445</v>
      </c>
      <c r="BA73">
        <v>126.463835081</v>
      </c>
      <c r="BB73">
        <v>109.211802179</v>
      </c>
      <c r="BC73">
        <v>112.474263694</v>
      </c>
      <c r="BD73">
        <v>119.34448257</v>
      </c>
      <c r="BE73">
        <v>96.4025113852</v>
      </c>
      <c r="BF73">
        <v>88.061790128300004</v>
      </c>
      <c r="BG73">
        <v>100.07687633499999</v>
      </c>
      <c r="BH73">
        <v>109.78461146399999</v>
      </c>
      <c r="BI73">
        <v>107.83443793000001</v>
      </c>
      <c r="BJ73">
        <v>115.622729144</v>
      </c>
      <c r="BK73">
        <v>97.295269525999998</v>
      </c>
      <c r="BL73">
        <v>77.591716172299996</v>
      </c>
      <c r="BM73">
        <v>120.209982821</v>
      </c>
      <c r="BN73">
        <v>112.960865735</v>
      </c>
      <c r="BO73">
        <v>85.740459098499997</v>
      </c>
      <c r="BP73">
        <v>77.9841450049</v>
      </c>
      <c r="BQ73">
        <v>92.784250472099998</v>
      </c>
      <c r="BR73">
        <v>112.614582263</v>
      </c>
      <c r="BS73">
        <v>125.840752694</v>
      </c>
      <c r="BT73">
        <v>115.48199788700001</v>
      </c>
      <c r="BU73">
        <v>96.628740875899993</v>
      </c>
      <c r="BV73">
        <v>84.292751480199996</v>
      </c>
      <c r="BW73">
        <v>105.957940818</v>
      </c>
      <c r="BX73">
        <v>74.433646426799996</v>
      </c>
      <c r="BY73">
        <v>93.906960401500001</v>
      </c>
      <c r="BZ73">
        <v>118.29963777099999</v>
      </c>
      <c r="CA73">
        <v>85.898209514200005</v>
      </c>
      <c r="CB73">
        <v>100.345225719</v>
      </c>
      <c r="CC73">
        <v>74.7828645166</v>
      </c>
      <c r="CD73">
        <v>102.374084813</v>
      </c>
      <c r="CE73">
        <v>76.9327171682</v>
      </c>
      <c r="CF73">
        <v>82.239896748600003</v>
      </c>
      <c r="CG73">
        <v>103.05179273500001</v>
      </c>
      <c r="CH73">
        <v>136.43942424900001</v>
      </c>
      <c r="CI73">
        <v>87.095308218</v>
      </c>
      <c r="CJ73">
        <v>97.189633402300004</v>
      </c>
      <c r="CK73">
        <v>91.898552379999998</v>
      </c>
      <c r="CL73">
        <v>82.953890041700006</v>
      </c>
      <c r="CM73">
        <v>86.1609915194</v>
      </c>
      <c r="CN73">
        <v>98.4960157788</v>
      </c>
      <c r="CO73">
        <v>151.26946209900001</v>
      </c>
      <c r="CP73">
        <v>89.1449278029</v>
      </c>
      <c r="CQ73">
        <v>88.457310838799998</v>
      </c>
      <c r="CR73">
        <v>108.12529521499999</v>
      </c>
      <c r="CS73">
        <v>98.385203993499999</v>
      </c>
      <c r="CT73">
        <v>126.528522154</v>
      </c>
      <c r="CU73">
        <v>113.622091998</v>
      </c>
      <c r="CV73">
        <v>85.976215207400003</v>
      </c>
      <c r="CW73">
        <v>105.57756116199999</v>
      </c>
      <c r="CX73">
        <v>129.27684941300001</v>
      </c>
      <c r="CY73">
        <v>123.807297863</v>
      </c>
      <c r="CZ73">
        <v>105.987737658</v>
      </c>
      <c r="DA73">
        <v>122.09482236700001</v>
      </c>
      <c r="DB73">
        <v>75.451760268100003</v>
      </c>
      <c r="DC73">
        <v>111.511816643</v>
      </c>
      <c r="DD73">
        <v>95.121939227400006</v>
      </c>
      <c r="DE73">
        <v>106.91664395399999</v>
      </c>
      <c r="DF73">
        <v>75.315713468599995</v>
      </c>
      <c r="DG73">
        <v>82.261947768599995</v>
      </c>
      <c r="DH73">
        <v>90.864677017800005</v>
      </c>
    </row>
    <row r="74" spans="1:112" x14ac:dyDescent="0.25">
      <c r="A74" s="8">
        <f t="shared" si="6"/>
        <v>90.561914737161516</v>
      </c>
      <c r="B74" s="9">
        <f>AVERAGE($C$2:C74)</f>
        <v>4.5060337575304015</v>
      </c>
      <c r="C74" s="9">
        <f t="shared" si="7"/>
        <v>4.4572295721550121</v>
      </c>
      <c r="D74" s="6">
        <f>AVERAGE($G$2:G74)</f>
        <v>91.554979120512499</v>
      </c>
      <c r="E74" s="6">
        <f>AVERAGE($H$2:H74)</f>
        <v>90.939513656752638</v>
      </c>
      <c r="F74" s="6">
        <f>AVERAGE($M$2:M74)</f>
        <v>90.703931887408231</v>
      </c>
      <c r="G74" s="6" t="b">
        <f t="shared" si="8"/>
        <v>0</v>
      </c>
      <c r="H74">
        <f t="shared" si="9"/>
        <v>86.248233294100004</v>
      </c>
      <c r="I74" s="6">
        <f t="shared" si="10"/>
        <v>-0.23558176934440667</v>
      </c>
      <c r="J74" s="6">
        <f t="shared" si="11"/>
        <v>-0.85104723310426778</v>
      </c>
      <c r="K74">
        <v>72</v>
      </c>
      <c r="L74">
        <f>L73+Asian!dt</f>
        <v>0.72000000000000042</v>
      </c>
      <c r="M74">
        <v>86.248233294100004</v>
      </c>
      <c r="N74">
        <v>110.089021786</v>
      </c>
      <c r="O74">
        <v>109.923188952</v>
      </c>
      <c r="P74">
        <v>98.299834930800003</v>
      </c>
      <c r="Q74">
        <v>67.110183634699993</v>
      </c>
      <c r="R74">
        <v>96.862978962200003</v>
      </c>
      <c r="S74">
        <v>102.355396472</v>
      </c>
      <c r="T74">
        <v>87.760626400800007</v>
      </c>
      <c r="U74">
        <v>118.78941335</v>
      </c>
      <c r="V74">
        <v>131.36112816599999</v>
      </c>
      <c r="W74">
        <v>109.74160546500001</v>
      </c>
      <c r="X74">
        <v>132.869563535</v>
      </c>
      <c r="Y74">
        <v>92.3106491928</v>
      </c>
      <c r="Z74">
        <v>99.421212774099999</v>
      </c>
      <c r="AA74">
        <v>109.13567039</v>
      </c>
      <c r="AB74">
        <v>112.30828434199999</v>
      </c>
      <c r="AC74">
        <v>79.362134117799997</v>
      </c>
      <c r="AD74">
        <v>110.245694435</v>
      </c>
      <c r="AE74">
        <v>134.796532805</v>
      </c>
      <c r="AF74">
        <v>141.74674050499999</v>
      </c>
      <c r="AG74">
        <v>107.703337073</v>
      </c>
      <c r="AH74">
        <v>117.971509363</v>
      </c>
      <c r="AI74">
        <v>82.660995636899997</v>
      </c>
      <c r="AJ74">
        <v>84.730591283699994</v>
      </c>
      <c r="AK74">
        <v>100.51134077099999</v>
      </c>
      <c r="AL74">
        <v>110.464811885</v>
      </c>
      <c r="AM74">
        <v>91.006897428299993</v>
      </c>
      <c r="AN74">
        <v>97.970594915299998</v>
      </c>
      <c r="AO74">
        <v>97.720583508999994</v>
      </c>
      <c r="AP74">
        <v>91.499065358099998</v>
      </c>
      <c r="AQ74">
        <v>115.714897513</v>
      </c>
      <c r="AR74">
        <v>104.90911314</v>
      </c>
      <c r="AS74">
        <v>140.59599149900001</v>
      </c>
      <c r="AT74">
        <v>85.133586332099995</v>
      </c>
      <c r="AU74">
        <v>120.349048815</v>
      </c>
      <c r="AV74">
        <v>122.371080439</v>
      </c>
      <c r="AW74">
        <v>112.796854911</v>
      </c>
      <c r="AX74">
        <v>95.932448606700007</v>
      </c>
      <c r="AY74">
        <v>98.316522091400003</v>
      </c>
      <c r="AZ74">
        <v>123.757302548</v>
      </c>
      <c r="BA74">
        <v>124.93241746699999</v>
      </c>
      <c r="BB74">
        <v>107.358050026</v>
      </c>
      <c r="BC74">
        <v>113.078652729</v>
      </c>
      <c r="BD74">
        <v>119.650759693</v>
      </c>
      <c r="BE74">
        <v>93.7336685187</v>
      </c>
      <c r="BF74">
        <v>91.281866132999994</v>
      </c>
      <c r="BG74">
        <v>97.732090935900004</v>
      </c>
      <c r="BH74">
        <v>108.74032465000001</v>
      </c>
      <c r="BI74">
        <v>107.451636659</v>
      </c>
      <c r="BJ74">
        <v>117.242695723</v>
      </c>
      <c r="BK74">
        <v>97.972062193699998</v>
      </c>
      <c r="BL74">
        <v>76.278890060500004</v>
      </c>
      <c r="BM74">
        <v>120.37292524599999</v>
      </c>
      <c r="BN74">
        <v>114.16153488099999</v>
      </c>
      <c r="BO74">
        <v>84.507605611599999</v>
      </c>
      <c r="BP74">
        <v>78.443877777599994</v>
      </c>
      <c r="BQ74">
        <v>93.416428728699998</v>
      </c>
      <c r="BR74">
        <v>112.44449398099999</v>
      </c>
      <c r="BS74">
        <v>121.631753133</v>
      </c>
      <c r="BT74">
        <v>117.512945389</v>
      </c>
      <c r="BU74">
        <v>95.866791491599997</v>
      </c>
      <c r="BV74">
        <v>83.130662379100002</v>
      </c>
      <c r="BW74">
        <v>105.247631559</v>
      </c>
      <c r="BX74">
        <v>74.158473348800001</v>
      </c>
      <c r="BY74">
        <v>92.617039097100005</v>
      </c>
      <c r="BZ74">
        <v>120.915141123</v>
      </c>
      <c r="CA74">
        <v>86.888194540699999</v>
      </c>
      <c r="CB74">
        <v>96.935502882799994</v>
      </c>
      <c r="CC74">
        <v>75.9448510836</v>
      </c>
      <c r="CD74">
        <v>104.624266189</v>
      </c>
      <c r="CE74">
        <v>75.3256021495</v>
      </c>
      <c r="CF74">
        <v>79.840848125999997</v>
      </c>
      <c r="CG74">
        <v>100.125975541</v>
      </c>
      <c r="CH74">
        <v>130.561715389</v>
      </c>
      <c r="CI74">
        <v>88.990985026000004</v>
      </c>
      <c r="CJ74">
        <v>96.599907904299997</v>
      </c>
      <c r="CK74">
        <v>93.752067808600003</v>
      </c>
      <c r="CL74">
        <v>82.391496642199996</v>
      </c>
      <c r="CM74">
        <v>84.570991111799998</v>
      </c>
      <c r="CN74">
        <v>95.390061718799998</v>
      </c>
      <c r="CO74">
        <v>147.93492206400001</v>
      </c>
      <c r="CP74">
        <v>87.989039074900006</v>
      </c>
      <c r="CQ74">
        <v>88.066225631600005</v>
      </c>
      <c r="CR74">
        <v>103.183617572</v>
      </c>
      <c r="CS74">
        <v>98.600232970999997</v>
      </c>
      <c r="CT74">
        <v>126.93961591599999</v>
      </c>
      <c r="CU74">
        <v>115.463228339</v>
      </c>
      <c r="CV74">
        <v>80.128627958600006</v>
      </c>
      <c r="CW74">
        <v>107.370356284</v>
      </c>
      <c r="CX74">
        <v>130.648877481</v>
      </c>
      <c r="CY74">
        <v>121.59902732099999</v>
      </c>
      <c r="CZ74">
        <v>107.574211748</v>
      </c>
      <c r="DA74">
        <v>125.103110409</v>
      </c>
      <c r="DB74">
        <v>75.938501197099995</v>
      </c>
      <c r="DC74">
        <v>109.757164413</v>
      </c>
      <c r="DD74">
        <v>97.6906808122</v>
      </c>
      <c r="DE74">
        <v>104.04143356100001</v>
      </c>
      <c r="DF74">
        <v>76.701475108500006</v>
      </c>
      <c r="DG74">
        <v>84.576175002200003</v>
      </c>
      <c r="DH74">
        <v>90.873401658600002</v>
      </c>
    </row>
    <row r="75" spans="1:112" x14ac:dyDescent="0.25">
      <c r="A75" s="8">
        <f t="shared" si="6"/>
        <v>90.522782982657233</v>
      </c>
      <c r="B75" s="9">
        <f>AVERAGE($C$2:C75)</f>
        <v>4.5056015646879786</v>
      </c>
      <c r="C75" s="9">
        <f t="shared" si="7"/>
        <v>4.4740514871910806</v>
      </c>
      <c r="D75" s="6">
        <f>AVERAGE($G$2:G75)</f>
        <v>91.554979120512499</v>
      </c>
      <c r="E75" s="6">
        <f>AVERAGE($H$2:H75)</f>
        <v>90.939513656752638</v>
      </c>
      <c r="F75" s="6">
        <f>AVERAGE($M$2:M75)</f>
        <v>90.663491802275686</v>
      </c>
      <c r="G75" s="6" t="b">
        <f t="shared" si="8"/>
        <v>0</v>
      </c>
      <c r="H75" t="b">
        <f t="shared" si="9"/>
        <v>0</v>
      </c>
      <c r="I75" s="6">
        <f t="shared" si="10"/>
        <v>-0.27602185447695149</v>
      </c>
      <c r="J75" s="6">
        <f t="shared" si="11"/>
        <v>-0.8914873182368126</v>
      </c>
      <c r="K75">
        <v>73</v>
      </c>
      <c r="L75">
        <f>L74+Asian!dt</f>
        <v>0.73000000000000043</v>
      </c>
      <c r="M75">
        <v>87.7113655876</v>
      </c>
      <c r="N75">
        <v>107.852235486</v>
      </c>
      <c r="O75">
        <v>111.04528132599999</v>
      </c>
      <c r="P75">
        <v>98.983432360600005</v>
      </c>
      <c r="Q75">
        <v>67.261343339800007</v>
      </c>
      <c r="R75">
        <v>97.270261633600001</v>
      </c>
      <c r="S75">
        <v>102.47700257299999</v>
      </c>
      <c r="T75">
        <v>88.740772699499999</v>
      </c>
      <c r="U75">
        <v>117.928865945</v>
      </c>
      <c r="V75">
        <v>129.145548332</v>
      </c>
      <c r="W75">
        <v>109.153850636</v>
      </c>
      <c r="X75">
        <v>135.159209828</v>
      </c>
      <c r="Y75">
        <v>92.212242578399994</v>
      </c>
      <c r="Z75">
        <v>99.358765996900004</v>
      </c>
      <c r="AA75">
        <v>107.23635658000001</v>
      </c>
      <c r="AB75">
        <v>112.322954037</v>
      </c>
      <c r="AC75">
        <v>82.143453387099996</v>
      </c>
      <c r="AD75">
        <v>108.560354198</v>
      </c>
      <c r="AE75">
        <v>138.476749074</v>
      </c>
      <c r="AF75">
        <v>142.873321774</v>
      </c>
      <c r="AG75">
        <v>103.310302151</v>
      </c>
      <c r="AH75">
        <v>122.158142316</v>
      </c>
      <c r="AI75">
        <v>80.691212375299997</v>
      </c>
      <c r="AJ75">
        <v>83.967913543500003</v>
      </c>
      <c r="AK75">
        <v>97.564396889400001</v>
      </c>
      <c r="AL75">
        <v>110.849304424</v>
      </c>
      <c r="AM75">
        <v>91.443360280600004</v>
      </c>
      <c r="AN75">
        <v>96.3905283438</v>
      </c>
      <c r="AO75">
        <v>98.558464212700002</v>
      </c>
      <c r="AP75">
        <v>93.853161068700004</v>
      </c>
      <c r="AQ75">
        <v>116.749764337</v>
      </c>
      <c r="AR75">
        <v>103.63133339399999</v>
      </c>
      <c r="AS75">
        <v>136.06551018100001</v>
      </c>
      <c r="AT75">
        <v>89.286689878600001</v>
      </c>
      <c r="AU75">
        <v>118.674952105</v>
      </c>
      <c r="AV75">
        <v>123.091165223</v>
      </c>
      <c r="AW75">
        <v>112.238859515</v>
      </c>
      <c r="AX75">
        <v>100.34030845700001</v>
      </c>
      <c r="AY75">
        <v>96.880726788999993</v>
      </c>
      <c r="AZ75">
        <v>124.09342580800001</v>
      </c>
      <c r="BA75">
        <v>123.516268668</v>
      </c>
      <c r="BB75">
        <v>105.051743622</v>
      </c>
      <c r="BC75">
        <v>114.080760641</v>
      </c>
      <c r="BD75">
        <v>119.22210778900001</v>
      </c>
      <c r="BE75">
        <v>96.678967972600006</v>
      </c>
      <c r="BF75">
        <v>87.248381484199996</v>
      </c>
      <c r="BG75">
        <v>96.728921309599997</v>
      </c>
      <c r="BH75">
        <v>110.711522824</v>
      </c>
      <c r="BI75">
        <v>107.207167407</v>
      </c>
      <c r="BJ75">
        <v>117.300082403</v>
      </c>
      <c r="BK75">
        <v>97.134247750399993</v>
      </c>
      <c r="BL75">
        <v>76.9541182273</v>
      </c>
      <c r="BM75">
        <v>122.189329104</v>
      </c>
      <c r="BN75">
        <v>110.80570001700001</v>
      </c>
      <c r="BO75">
        <v>85.237248103200002</v>
      </c>
      <c r="BP75">
        <v>76.433223549700003</v>
      </c>
      <c r="BQ75">
        <v>94.973471483699996</v>
      </c>
      <c r="BR75">
        <v>115.237369419</v>
      </c>
      <c r="BS75">
        <v>118.20366074499999</v>
      </c>
      <c r="BT75">
        <v>116.572079153</v>
      </c>
      <c r="BU75">
        <v>91.744023164799998</v>
      </c>
      <c r="BV75">
        <v>82.321172356700004</v>
      </c>
      <c r="BW75">
        <v>108.824803436</v>
      </c>
      <c r="BX75">
        <v>74.497318677199999</v>
      </c>
      <c r="BY75">
        <v>88.350362984499995</v>
      </c>
      <c r="BZ75">
        <v>124.92394370700001</v>
      </c>
      <c r="CA75">
        <v>87.395820435700003</v>
      </c>
      <c r="CB75">
        <v>101.06938301</v>
      </c>
      <c r="CC75">
        <v>74.248120061799995</v>
      </c>
      <c r="CD75">
        <v>105.092176837</v>
      </c>
      <c r="CE75">
        <v>76.377822253199994</v>
      </c>
      <c r="CF75">
        <v>78.601942500000007</v>
      </c>
      <c r="CG75">
        <v>102.651438493</v>
      </c>
      <c r="CH75">
        <v>123.568666358</v>
      </c>
      <c r="CI75">
        <v>91.190437342199999</v>
      </c>
      <c r="CJ75">
        <v>97.373485780999999</v>
      </c>
      <c r="CK75">
        <v>94.564000716699994</v>
      </c>
      <c r="CL75">
        <v>82.925055507699994</v>
      </c>
      <c r="CM75">
        <v>85.375093942899994</v>
      </c>
      <c r="CN75">
        <v>97.359323909599993</v>
      </c>
      <c r="CO75">
        <v>147.57454998700001</v>
      </c>
      <c r="CP75">
        <v>87.353527836699996</v>
      </c>
      <c r="CQ75">
        <v>86.035904485200007</v>
      </c>
      <c r="CR75">
        <v>99.524737622700002</v>
      </c>
      <c r="CS75">
        <v>97.971528940599995</v>
      </c>
      <c r="CT75">
        <v>126.58246040900001</v>
      </c>
      <c r="CU75">
        <v>112.85073964599999</v>
      </c>
      <c r="CV75">
        <v>83.8412968632</v>
      </c>
      <c r="CW75">
        <v>103.583938231</v>
      </c>
      <c r="CX75">
        <v>129.38961720899999</v>
      </c>
      <c r="CY75">
        <v>122.07377142199999</v>
      </c>
      <c r="CZ75">
        <v>108.709220735</v>
      </c>
      <c r="DA75">
        <v>126.51278610599999</v>
      </c>
      <c r="DB75">
        <v>78.403106891799993</v>
      </c>
      <c r="DC75">
        <v>111.631511053</v>
      </c>
      <c r="DD75">
        <v>98.779941557800001</v>
      </c>
      <c r="DE75">
        <v>103.434288678</v>
      </c>
      <c r="DF75">
        <v>77.904125629999996</v>
      </c>
      <c r="DG75">
        <v>83.937985927200003</v>
      </c>
      <c r="DH75">
        <v>90.505370663799994</v>
      </c>
    </row>
    <row r="76" spans="1:112" x14ac:dyDescent="0.25">
      <c r="A76" s="8">
        <f t="shared" si="6"/>
        <v>90.490289384056723</v>
      </c>
      <c r="B76" s="9">
        <f>AVERAGE($C$2:C76)</f>
        <v>4.5052425453251814</v>
      </c>
      <c r="C76" s="9">
        <f t="shared" si="7"/>
        <v>4.4786751124782676</v>
      </c>
      <c r="D76" s="6">
        <f>AVERAGE($G$2:G76)</f>
        <v>91.554979120512499</v>
      </c>
      <c r="E76" s="6">
        <f>AVERAGE($H$2:H76)</f>
        <v>90.939513656752638</v>
      </c>
      <c r="F76" s="6">
        <f>AVERAGE($M$2:M76)</f>
        <v>90.629549899112007</v>
      </c>
      <c r="G76" s="6" t="b">
        <f t="shared" si="8"/>
        <v>0</v>
      </c>
      <c r="H76" t="b">
        <f t="shared" si="9"/>
        <v>0</v>
      </c>
      <c r="I76" s="6">
        <f t="shared" si="10"/>
        <v>-0.30996375764063089</v>
      </c>
      <c r="J76" s="6">
        <f t="shared" si="11"/>
        <v>-0.925429221400492</v>
      </c>
      <c r="K76">
        <v>74</v>
      </c>
      <c r="L76">
        <f>L75+Asian!dt</f>
        <v>0.74000000000000044</v>
      </c>
      <c r="M76">
        <v>88.117849065000001</v>
      </c>
      <c r="N76">
        <v>109.943420203</v>
      </c>
      <c r="O76">
        <v>108.679759761</v>
      </c>
      <c r="P76">
        <v>97.375873330499999</v>
      </c>
      <c r="Q76">
        <v>66.154527398599996</v>
      </c>
      <c r="R76">
        <v>96.078974513199995</v>
      </c>
      <c r="S76">
        <v>103.260576331</v>
      </c>
      <c r="T76">
        <v>88.711532648299993</v>
      </c>
      <c r="U76">
        <v>118.902210466</v>
      </c>
      <c r="V76">
        <v>128.30201077000001</v>
      </c>
      <c r="W76">
        <v>108.91173193900001</v>
      </c>
      <c r="X76">
        <v>133.799088549</v>
      </c>
      <c r="Y76">
        <v>93.130636604700001</v>
      </c>
      <c r="Z76">
        <v>99.515605788000002</v>
      </c>
      <c r="AA76">
        <v>107.764273989</v>
      </c>
      <c r="AB76">
        <v>111.666019769</v>
      </c>
      <c r="AC76">
        <v>83.383234872100005</v>
      </c>
      <c r="AD76">
        <v>107.833947141</v>
      </c>
      <c r="AE76">
        <v>136.677074799</v>
      </c>
      <c r="AF76">
        <v>139.39877881499999</v>
      </c>
      <c r="AG76">
        <v>106.280669789</v>
      </c>
      <c r="AH76">
        <v>116.44930094</v>
      </c>
      <c r="AI76">
        <v>81.691173710300006</v>
      </c>
      <c r="AJ76">
        <v>86.741183727000006</v>
      </c>
      <c r="AK76">
        <v>97.4642743207</v>
      </c>
      <c r="AL76">
        <v>110.57697738500001</v>
      </c>
      <c r="AM76">
        <v>93.659787334699999</v>
      </c>
      <c r="AN76">
        <v>95.058357932299998</v>
      </c>
      <c r="AO76">
        <v>100.232126299</v>
      </c>
      <c r="AP76">
        <v>95.456065562700005</v>
      </c>
      <c r="AQ76">
        <v>114.66399520900001</v>
      </c>
      <c r="AR76">
        <v>102.457490445</v>
      </c>
      <c r="AS76">
        <v>137.52737390499999</v>
      </c>
      <c r="AT76">
        <v>89.765944444699997</v>
      </c>
      <c r="AU76">
        <v>121.95311683600001</v>
      </c>
      <c r="AV76">
        <v>127.210361197</v>
      </c>
      <c r="AW76">
        <v>115.58217171</v>
      </c>
      <c r="AX76">
        <v>100.043113769</v>
      </c>
      <c r="AY76">
        <v>95.536399329299996</v>
      </c>
      <c r="AZ76">
        <v>120.64860269499999</v>
      </c>
      <c r="BA76">
        <v>124.19492259</v>
      </c>
      <c r="BB76">
        <v>107.79568944499999</v>
      </c>
      <c r="BC76">
        <v>113.23193013300001</v>
      </c>
      <c r="BD76">
        <v>118.73657492</v>
      </c>
      <c r="BE76">
        <v>97.419427517000003</v>
      </c>
      <c r="BF76">
        <v>85.475351196099993</v>
      </c>
      <c r="BG76">
        <v>95.630541471800001</v>
      </c>
      <c r="BH76">
        <v>111.40421803300001</v>
      </c>
      <c r="BI76">
        <v>110.188758517</v>
      </c>
      <c r="BJ76">
        <v>116.60461324800001</v>
      </c>
      <c r="BK76">
        <v>99.851360706799994</v>
      </c>
      <c r="BL76">
        <v>75.752480173799995</v>
      </c>
      <c r="BM76">
        <v>120.332139927</v>
      </c>
      <c r="BN76">
        <v>110.81950364799999</v>
      </c>
      <c r="BO76">
        <v>85.014900086300003</v>
      </c>
      <c r="BP76">
        <v>77.958755344300002</v>
      </c>
      <c r="BQ76">
        <v>98.927162770799995</v>
      </c>
      <c r="BR76">
        <v>112.438296003</v>
      </c>
      <c r="BS76">
        <v>116.949193631</v>
      </c>
      <c r="BT76">
        <v>119.572105831</v>
      </c>
      <c r="BU76">
        <v>91.660831540199993</v>
      </c>
      <c r="BV76">
        <v>81.370464265099997</v>
      </c>
      <c r="BW76">
        <v>107.639908178</v>
      </c>
      <c r="BX76">
        <v>73.208550334700007</v>
      </c>
      <c r="BY76">
        <v>87.140919282799999</v>
      </c>
      <c r="BZ76">
        <v>124.49193323900001</v>
      </c>
      <c r="CA76">
        <v>86.559929477599994</v>
      </c>
      <c r="CB76">
        <v>102.12988478699999</v>
      </c>
      <c r="CC76">
        <v>71.897269718199993</v>
      </c>
      <c r="CD76">
        <v>108.716255288</v>
      </c>
      <c r="CE76">
        <v>77.987866551600007</v>
      </c>
      <c r="CF76">
        <v>78.728738768499994</v>
      </c>
      <c r="CG76">
        <v>105.99364767199999</v>
      </c>
      <c r="CH76">
        <v>123.901704854</v>
      </c>
      <c r="CI76">
        <v>91.604889349600001</v>
      </c>
      <c r="CJ76">
        <v>99.787986051600001</v>
      </c>
      <c r="CK76">
        <v>96.206218926999995</v>
      </c>
      <c r="CL76">
        <v>84.978418693999998</v>
      </c>
      <c r="CM76">
        <v>86.568815420899995</v>
      </c>
      <c r="CN76">
        <v>100.217767442</v>
      </c>
      <c r="CO76">
        <v>144.842427413</v>
      </c>
      <c r="CP76">
        <v>86.497750118400006</v>
      </c>
      <c r="CQ76">
        <v>85.423827956300002</v>
      </c>
      <c r="CR76">
        <v>97.516076877399996</v>
      </c>
      <c r="CS76">
        <v>97.086122491099999</v>
      </c>
      <c r="CT76">
        <v>126.279525701</v>
      </c>
      <c r="CU76">
        <v>110.279267448</v>
      </c>
      <c r="CV76">
        <v>84.874238704600003</v>
      </c>
      <c r="CW76">
        <v>102.872370331</v>
      </c>
      <c r="CX76">
        <v>132.05054393699999</v>
      </c>
      <c r="CY76">
        <v>121.62331019200001</v>
      </c>
      <c r="CZ76">
        <v>106.74793216400001</v>
      </c>
      <c r="DA76">
        <v>129.108659004</v>
      </c>
      <c r="DB76">
        <v>79.659889223500002</v>
      </c>
      <c r="DC76">
        <v>109.831993248</v>
      </c>
      <c r="DD76">
        <v>99.102689172500007</v>
      </c>
      <c r="DE76">
        <v>106.050266167</v>
      </c>
      <c r="DF76">
        <v>78.389096820199995</v>
      </c>
      <c r="DG76">
        <v>85.7983965297</v>
      </c>
      <c r="DH76">
        <v>89.736481341399994</v>
      </c>
    </row>
    <row r="77" spans="1:112" x14ac:dyDescent="0.25">
      <c r="A77" s="8">
        <f t="shared" si="6"/>
        <v>90.454961226800009</v>
      </c>
      <c r="B77" s="9">
        <f>AVERAGE($C$2:C77)</f>
        <v>4.5048520608268445</v>
      </c>
      <c r="C77" s="9">
        <f t="shared" si="7"/>
        <v>4.4755657234515454</v>
      </c>
      <c r="D77" s="6">
        <f>AVERAGE($G$2:G77)</f>
        <v>91.554979120512499</v>
      </c>
      <c r="E77" s="6">
        <f>AVERAGE($H$2:H77)</f>
        <v>90.939513656752638</v>
      </c>
      <c r="F77" s="6">
        <f>AVERAGE($M$2:M77)</f>
        <v>90.592901636305271</v>
      </c>
      <c r="G77" s="6" t="b">
        <f t="shared" si="8"/>
        <v>0</v>
      </c>
      <c r="H77" t="b">
        <f t="shared" si="9"/>
        <v>0</v>
      </c>
      <c r="I77" s="6">
        <f t="shared" si="10"/>
        <v>-0.34661202044736683</v>
      </c>
      <c r="J77" s="6">
        <f t="shared" si="11"/>
        <v>-0.96207748420722794</v>
      </c>
      <c r="K77">
        <v>75</v>
      </c>
      <c r="L77">
        <f>L76+Asian!dt</f>
        <v>0.75000000000000044</v>
      </c>
      <c r="M77">
        <v>87.844281925800004</v>
      </c>
      <c r="N77">
        <v>108.23731839200001</v>
      </c>
      <c r="O77">
        <v>107.077337521</v>
      </c>
      <c r="P77">
        <v>96.062702529800006</v>
      </c>
      <c r="Q77">
        <v>65.871322636900004</v>
      </c>
      <c r="R77">
        <v>94.890611275099999</v>
      </c>
      <c r="S77">
        <v>101.313951493</v>
      </c>
      <c r="T77">
        <v>89.939178971100006</v>
      </c>
      <c r="U77">
        <v>116.427084029</v>
      </c>
      <c r="V77">
        <v>125.76355044899999</v>
      </c>
      <c r="W77">
        <v>108.01872214700001</v>
      </c>
      <c r="X77">
        <v>136.43131453199999</v>
      </c>
      <c r="Y77">
        <v>91.4455802242</v>
      </c>
      <c r="Z77">
        <v>97.106522988099996</v>
      </c>
      <c r="AA77">
        <v>108.31435277</v>
      </c>
      <c r="AB77">
        <v>112.728249019</v>
      </c>
      <c r="AC77">
        <v>85.578828206500006</v>
      </c>
      <c r="AD77">
        <v>104.185986805</v>
      </c>
      <c r="AE77">
        <v>137.16170428199999</v>
      </c>
      <c r="AF77">
        <v>140.37774384400001</v>
      </c>
      <c r="AG77">
        <v>104.47674207599999</v>
      </c>
      <c r="AH77">
        <v>112.395474682</v>
      </c>
      <c r="AI77">
        <v>84.537539912100002</v>
      </c>
      <c r="AJ77">
        <v>85.817373330300001</v>
      </c>
      <c r="AK77">
        <v>96.653841581799995</v>
      </c>
      <c r="AL77">
        <v>110.652060715</v>
      </c>
      <c r="AM77">
        <v>93.698615562300006</v>
      </c>
      <c r="AN77">
        <v>98.569595319000001</v>
      </c>
      <c r="AO77">
        <v>103.132700466</v>
      </c>
      <c r="AP77">
        <v>94.102394241699997</v>
      </c>
      <c r="AQ77">
        <v>116.576731008</v>
      </c>
      <c r="AR77">
        <v>101.978842402</v>
      </c>
      <c r="AS77">
        <v>137.552888104</v>
      </c>
      <c r="AT77">
        <v>91.433483840899996</v>
      </c>
      <c r="AU77">
        <v>120.81104618400001</v>
      </c>
      <c r="AV77">
        <v>129.24464791299999</v>
      </c>
      <c r="AW77">
        <v>116.138880071</v>
      </c>
      <c r="AX77">
        <v>102.644281857</v>
      </c>
      <c r="AY77">
        <v>92.243804480199998</v>
      </c>
      <c r="AZ77">
        <v>121.010886576</v>
      </c>
      <c r="BA77">
        <v>124.441140182</v>
      </c>
      <c r="BB77">
        <v>108.098989921</v>
      </c>
      <c r="BC77">
        <v>117.059763643</v>
      </c>
      <c r="BD77">
        <v>117.024880659</v>
      </c>
      <c r="BE77">
        <v>97.239909067499994</v>
      </c>
      <c r="BF77">
        <v>86.798250675000006</v>
      </c>
      <c r="BG77">
        <v>93.943103509300002</v>
      </c>
      <c r="BH77">
        <v>107.543809568</v>
      </c>
      <c r="BI77">
        <v>107.269586545</v>
      </c>
      <c r="BJ77">
        <v>116.342021299</v>
      </c>
      <c r="BK77">
        <v>99.3116915361</v>
      </c>
      <c r="BL77">
        <v>73.676050786900007</v>
      </c>
      <c r="BM77">
        <v>122.063286784</v>
      </c>
      <c r="BN77">
        <v>112.233491035</v>
      </c>
      <c r="BO77">
        <v>84.228721421800003</v>
      </c>
      <c r="BP77">
        <v>78.2312138578</v>
      </c>
      <c r="BQ77">
        <v>99.641459047799998</v>
      </c>
      <c r="BR77">
        <v>111.61601329299999</v>
      </c>
      <c r="BS77">
        <v>114.995092179</v>
      </c>
      <c r="BT77">
        <v>125.73022264399999</v>
      </c>
      <c r="BU77">
        <v>90.188453264700001</v>
      </c>
      <c r="BV77">
        <v>85.425820822999995</v>
      </c>
      <c r="BW77">
        <v>110.27607352299999</v>
      </c>
      <c r="BX77">
        <v>69.973165651499997</v>
      </c>
      <c r="BY77">
        <v>84.8713600464</v>
      </c>
      <c r="BZ77">
        <v>123.090036833</v>
      </c>
      <c r="CA77">
        <v>89.228167688599996</v>
      </c>
      <c r="CB77">
        <v>101.80672901699999</v>
      </c>
      <c r="CC77">
        <v>72.678722362800002</v>
      </c>
      <c r="CD77">
        <v>109.265927456</v>
      </c>
      <c r="CE77">
        <v>76.412604404700005</v>
      </c>
      <c r="CF77">
        <v>80.5335477279</v>
      </c>
      <c r="CG77">
        <v>102.984235117</v>
      </c>
      <c r="CH77">
        <v>121.95787098</v>
      </c>
      <c r="CI77">
        <v>91.055580351900005</v>
      </c>
      <c r="CJ77">
        <v>101.88807593</v>
      </c>
      <c r="CK77">
        <v>98.216548245400006</v>
      </c>
      <c r="CL77">
        <v>86.640600660000004</v>
      </c>
      <c r="CM77">
        <v>86.140638402500002</v>
      </c>
      <c r="CN77">
        <v>96.777419481300001</v>
      </c>
      <c r="CO77">
        <v>141.88350034300001</v>
      </c>
      <c r="CP77">
        <v>88.129879743900005</v>
      </c>
      <c r="CQ77">
        <v>87.269822050000002</v>
      </c>
      <c r="CR77">
        <v>94.612205144300006</v>
      </c>
      <c r="CS77">
        <v>98.1565651847</v>
      </c>
      <c r="CT77">
        <v>128.695412205</v>
      </c>
      <c r="CU77">
        <v>110.84829396000001</v>
      </c>
      <c r="CV77">
        <v>84.9317875861</v>
      </c>
      <c r="CW77">
        <v>103.604589738</v>
      </c>
      <c r="CX77">
        <v>136.153698109</v>
      </c>
      <c r="CY77">
        <v>120.830776026</v>
      </c>
      <c r="CZ77">
        <v>107.97614978999999</v>
      </c>
      <c r="DA77">
        <v>128.95622304700001</v>
      </c>
      <c r="DB77">
        <v>78.514218518199996</v>
      </c>
      <c r="DC77">
        <v>107.038566911</v>
      </c>
      <c r="DD77">
        <v>102.339644666</v>
      </c>
      <c r="DE77">
        <v>107.938214536</v>
      </c>
      <c r="DF77">
        <v>79.813348118600004</v>
      </c>
      <c r="DG77">
        <v>87.780682325000001</v>
      </c>
      <c r="DH77">
        <v>89.798373274499994</v>
      </c>
    </row>
    <row r="78" spans="1:112" x14ac:dyDescent="0.25">
      <c r="A78" s="8">
        <f t="shared" si="6"/>
        <v>90.397349630051366</v>
      </c>
      <c r="B78" s="9">
        <f>AVERAGE($C$2:C78)</f>
        <v>4.5042149487166983</v>
      </c>
      <c r="C78" s="9">
        <f t="shared" si="7"/>
        <v>4.455794428345607</v>
      </c>
      <c r="D78" s="6">
        <f>AVERAGE($G$2:G78)</f>
        <v>91.554979120512499</v>
      </c>
      <c r="E78" s="6">
        <f>AVERAGE($H$2:H78)</f>
        <v>90.698765146595008</v>
      </c>
      <c r="F78" s="6">
        <f>AVERAGE($M$2:M78)</f>
        <v>90.534871010555861</v>
      </c>
      <c r="G78" s="6" t="b">
        <f t="shared" si="8"/>
        <v>0</v>
      </c>
      <c r="H78">
        <f t="shared" si="9"/>
        <v>86.124543453599998</v>
      </c>
      <c r="I78" s="6">
        <f t="shared" si="10"/>
        <v>-0.16389413603914704</v>
      </c>
      <c r="J78" s="6">
        <f t="shared" si="11"/>
        <v>-1.020108109956638</v>
      </c>
      <c r="K78">
        <v>76</v>
      </c>
      <c r="L78">
        <f>L77+Asian!dt</f>
        <v>0.76000000000000045</v>
      </c>
      <c r="M78">
        <v>86.124543453599998</v>
      </c>
      <c r="N78">
        <v>106.93428756599999</v>
      </c>
      <c r="O78">
        <v>107.869604784</v>
      </c>
      <c r="P78">
        <v>99.402117292</v>
      </c>
      <c r="Q78">
        <v>64.6644464253</v>
      </c>
      <c r="R78">
        <v>94.572437902800004</v>
      </c>
      <c r="S78">
        <v>100.062049425</v>
      </c>
      <c r="T78">
        <v>90.099622207500005</v>
      </c>
      <c r="U78">
        <v>116.285114436</v>
      </c>
      <c r="V78">
        <v>124.22464517100001</v>
      </c>
      <c r="W78">
        <v>110.670975654</v>
      </c>
      <c r="X78">
        <v>137.37775871400001</v>
      </c>
      <c r="Y78">
        <v>91.527126593700004</v>
      </c>
      <c r="Z78">
        <v>96.902658937599995</v>
      </c>
      <c r="AA78">
        <v>109.267721188</v>
      </c>
      <c r="AB78">
        <v>111.180644349</v>
      </c>
      <c r="AC78">
        <v>85.180451136499997</v>
      </c>
      <c r="AD78">
        <v>104.350775091</v>
      </c>
      <c r="AE78">
        <v>136.39182829999999</v>
      </c>
      <c r="AF78">
        <v>138.89503708300001</v>
      </c>
      <c r="AG78">
        <v>104.843761814</v>
      </c>
      <c r="AH78">
        <v>112.60357776799999</v>
      </c>
      <c r="AI78">
        <v>83.362313819600004</v>
      </c>
      <c r="AJ78">
        <v>85.087921015500001</v>
      </c>
      <c r="AK78">
        <v>98.103123349800001</v>
      </c>
      <c r="AL78">
        <v>112.983574078</v>
      </c>
      <c r="AM78">
        <v>95.188347901200004</v>
      </c>
      <c r="AN78">
        <v>97.553106732499998</v>
      </c>
      <c r="AO78">
        <v>104.596200473</v>
      </c>
      <c r="AP78">
        <v>94.1322585745</v>
      </c>
      <c r="AQ78">
        <v>113.611704942</v>
      </c>
      <c r="AR78">
        <v>101.315243385</v>
      </c>
      <c r="AS78">
        <v>137.54677595000001</v>
      </c>
      <c r="AT78">
        <v>90.481539023500005</v>
      </c>
      <c r="AU78">
        <v>122.289894797</v>
      </c>
      <c r="AV78">
        <v>126.137820926</v>
      </c>
      <c r="AW78">
        <v>114.034883697</v>
      </c>
      <c r="AX78">
        <v>100.923875948</v>
      </c>
      <c r="AY78">
        <v>92.369902663900007</v>
      </c>
      <c r="AZ78">
        <v>121.13590921399999</v>
      </c>
      <c r="BA78">
        <v>123.67633168099999</v>
      </c>
      <c r="BB78">
        <v>107.799858591</v>
      </c>
      <c r="BC78">
        <v>114.94642858</v>
      </c>
      <c r="BD78">
        <v>115.734222061</v>
      </c>
      <c r="BE78">
        <v>95.752961385600003</v>
      </c>
      <c r="BF78">
        <v>86.834078332999994</v>
      </c>
      <c r="BG78">
        <v>91.194048050099994</v>
      </c>
      <c r="BH78">
        <v>105.596892744</v>
      </c>
      <c r="BI78">
        <v>103.066070157</v>
      </c>
      <c r="BJ78">
        <v>116.938924597</v>
      </c>
      <c r="BK78">
        <v>102.975736039</v>
      </c>
      <c r="BL78">
        <v>74.919357875900005</v>
      </c>
      <c r="BM78">
        <v>125.35081606999999</v>
      </c>
      <c r="BN78">
        <v>115.055983912</v>
      </c>
      <c r="BO78">
        <v>85.190608681900002</v>
      </c>
      <c r="BP78">
        <v>78.448773061200001</v>
      </c>
      <c r="BQ78">
        <v>99.063497440999996</v>
      </c>
      <c r="BR78">
        <v>110.667342605</v>
      </c>
      <c r="BS78">
        <v>114.605132541</v>
      </c>
      <c r="BT78">
        <v>123.06188518099999</v>
      </c>
      <c r="BU78">
        <v>89.821843802399997</v>
      </c>
      <c r="BV78">
        <v>86.572483430000005</v>
      </c>
      <c r="BW78">
        <v>111.739842212</v>
      </c>
      <c r="BX78">
        <v>69.322683614400006</v>
      </c>
      <c r="BY78">
        <v>83.579421938699994</v>
      </c>
      <c r="BZ78">
        <v>127.871819401</v>
      </c>
      <c r="CA78">
        <v>89.893093658699996</v>
      </c>
      <c r="CB78">
        <v>101.666108803</v>
      </c>
      <c r="CC78">
        <v>71.544120094299998</v>
      </c>
      <c r="CD78">
        <v>110.334443318</v>
      </c>
      <c r="CE78">
        <v>76.783185779999997</v>
      </c>
      <c r="CF78">
        <v>79.7833521644</v>
      </c>
      <c r="CG78">
        <v>106.363080068</v>
      </c>
      <c r="CH78">
        <v>122.461263844</v>
      </c>
      <c r="CI78">
        <v>89.720191957400004</v>
      </c>
      <c r="CJ78">
        <v>104.734160557</v>
      </c>
      <c r="CK78">
        <v>99.622680810099993</v>
      </c>
      <c r="CL78">
        <v>86.123778319400003</v>
      </c>
      <c r="CM78">
        <v>84.956681290199995</v>
      </c>
      <c r="CN78">
        <v>96.683677045500005</v>
      </c>
      <c r="CO78">
        <v>142.42494384700001</v>
      </c>
      <c r="CP78">
        <v>89.587729941000006</v>
      </c>
      <c r="CQ78">
        <v>85.548754813900004</v>
      </c>
      <c r="CR78">
        <v>94.580517705600002</v>
      </c>
      <c r="CS78">
        <v>97.107116791600006</v>
      </c>
      <c r="CT78">
        <v>127.117338499</v>
      </c>
      <c r="CU78">
        <v>113.192362444</v>
      </c>
      <c r="CV78">
        <v>84.756489559399995</v>
      </c>
      <c r="CW78">
        <v>103.08243137300001</v>
      </c>
      <c r="CX78">
        <v>140.600602915</v>
      </c>
      <c r="CY78">
        <v>127.910629261</v>
      </c>
      <c r="CZ78">
        <v>105.480046794</v>
      </c>
      <c r="DA78">
        <v>123.07414066</v>
      </c>
      <c r="DB78">
        <v>75.929061076300002</v>
      </c>
      <c r="DC78">
        <v>107.935878844</v>
      </c>
      <c r="DD78">
        <v>100.545500566</v>
      </c>
      <c r="DE78">
        <v>106.940393333</v>
      </c>
      <c r="DF78">
        <v>81.116651810799993</v>
      </c>
      <c r="DG78">
        <v>84.650051792400006</v>
      </c>
      <c r="DH78">
        <v>89.423349682600005</v>
      </c>
    </row>
    <row r="79" spans="1:112" x14ac:dyDescent="0.25">
      <c r="A79" s="8">
        <f t="shared" si="6"/>
        <v>90.289992514953951</v>
      </c>
      <c r="B79" s="9">
        <f>AVERAGE($C$2:C79)</f>
        <v>4.5030266294193284</v>
      </c>
      <c r="C79" s="9">
        <f t="shared" si="7"/>
        <v>4.4115260435218193</v>
      </c>
      <c r="D79" s="6">
        <f>AVERAGE($G$2:G79)</f>
        <v>91.554979120512499</v>
      </c>
      <c r="E79" s="6">
        <f>AVERAGE($H$2:H79)</f>
        <v>90.698765146595008</v>
      </c>
      <c r="F79" s="6">
        <f>AVERAGE($M$2:M79)</f>
        <v>90.430515050544884</v>
      </c>
      <c r="G79" s="6" t="b">
        <f t="shared" si="8"/>
        <v>0</v>
      </c>
      <c r="H79" t="b">
        <f t="shared" si="9"/>
        <v>0</v>
      </c>
      <c r="I79" s="6">
        <f t="shared" si="10"/>
        <v>-0.2682500960501244</v>
      </c>
      <c r="J79" s="6">
        <f t="shared" si="11"/>
        <v>-1.1244640699676154</v>
      </c>
      <c r="K79">
        <v>77</v>
      </c>
      <c r="L79">
        <f>L78+Asian!dt</f>
        <v>0.77000000000000046</v>
      </c>
      <c r="M79">
        <v>82.395106129699997</v>
      </c>
      <c r="N79">
        <v>105.96971487</v>
      </c>
      <c r="O79">
        <v>103.74815716099999</v>
      </c>
      <c r="P79">
        <v>102.714054463</v>
      </c>
      <c r="Q79">
        <v>67.233361612400003</v>
      </c>
      <c r="R79">
        <v>96.399001993799999</v>
      </c>
      <c r="S79">
        <v>99.1960355569</v>
      </c>
      <c r="T79">
        <v>86.996464597300005</v>
      </c>
      <c r="U79">
        <v>118.49419107999999</v>
      </c>
      <c r="V79">
        <v>124.306999737</v>
      </c>
      <c r="W79">
        <v>113.05955157699999</v>
      </c>
      <c r="X79">
        <v>136.35683913700001</v>
      </c>
      <c r="Y79">
        <v>90.908583029799999</v>
      </c>
      <c r="Z79">
        <v>96.047043200100006</v>
      </c>
      <c r="AA79">
        <v>104.169677372</v>
      </c>
      <c r="AB79">
        <v>111.824385991</v>
      </c>
      <c r="AC79">
        <v>80.606675897700001</v>
      </c>
      <c r="AD79">
        <v>103.061807931</v>
      </c>
      <c r="AE79">
        <v>135.26655337700001</v>
      </c>
      <c r="AF79">
        <v>136.716416436</v>
      </c>
      <c r="AG79">
        <v>109.634310818</v>
      </c>
      <c r="AH79">
        <v>113.25234908900001</v>
      </c>
      <c r="AI79">
        <v>84.323929573900003</v>
      </c>
      <c r="AJ79">
        <v>86.545969855199999</v>
      </c>
      <c r="AK79">
        <v>99.049961248900004</v>
      </c>
      <c r="AL79">
        <v>116.47280957700001</v>
      </c>
      <c r="AM79">
        <v>97.431822811900005</v>
      </c>
      <c r="AN79">
        <v>96.455045860699997</v>
      </c>
      <c r="AO79">
        <v>103.498644207</v>
      </c>
      <c r="AP79">
        <v>97.158064046000007</v>
      </c>
      <c r="AQ79">
        <v>112.899083296</v>
      </c>
      <c r="AR79">
        <v>104.272452825</v>
      </c>
      <c r="AS79">
        <v>140.17268206700001</v>
      </c>
      <c r="AT79">
        <v>92.925970640499997</v>
      </c>
      <c r="AU79">
        <v>123.672850462</v>
      </c>
      <c r="AV79">
        <v>122.134526521</v>
      </c>
      <c r="AW79">
        <v>113.105308331</v>
      </c>
      <c r="AX79">
        <v>101.21387916499999</v>
      </c>
      <c r="AY79">
        <v>92.1972418804</v>
      </c>
      <c r="AZ79">
        <v>120.27487405799999</v>
      </c>
      <c r="BA79">
        <v>126.092987841</v>
      </c>
      <c r="BB79">
        <v>103.693176263</v>
      </c>
      <c r="BC79">
        <v>116.933077873</v>
      </c>
      <c r="BD79">
        <v>120.202852537</v>
      </c>
      <c r="BE79">
        <v>97.424418542400005</v>
      </c>
      <c r="BF79">
        <v>86.390749997599997</v>
      </c>
      <c r="BG79">
        <v>88.657201360200006</v>
      </c>
      <c r="BH79">
        <v>112.834025207</v>
      </c>
      <c r="BI79">
        <v>100.121154957</v>
      </c>
      <c r="BJ79">
        <v>119.380745405</v>
      </c>
      <c r="BK79">
        <v>105.05559762</v>
      </c>
      <c r="BL79">
        <v>73.655067601200003</v>
      </c>
      <c r="BM79">
        <v>122.088038916</v>
      </c>
      <c r="BN79">
        <v>117.138719005</v>
      </c>
      <c r="BO79">
        <v>87.5210147879</v>
      </c>
      <c r="BP79">
        <v>78.132777374599996</v>
      </c>
      <c r="BQ79">
        <v>100.58507994599999</v>
      </c>
      <c r="BR79">
        <v>111.416411266</v>
      </c>
      <c r="BS79">
        <v>113.70085074399999</v>
      </c>
      <c r="BT79">
        <v>121.713746294</v>
      </c>
      <c r="BU79">
        <v>88.301722471800005</v>
      </c>
      <c r="BV79">
        <v>85.774944503599997</v>
      </c>
      <c r="BW79">
        <v>112.21801664500001</v>
      </c>
      <c r="BX79">
        <v>69.936592876700004</v>
      </c>
      <c r="BY79">
        <v>86.554512033199998</v>
      </c>
      <c r="BZ79">
        <v>126.96514002000001</v>
      </c>
      <c r="CA79">
        <v>91.377507386800005</v>
      </c>
      <c r="CB79">
        <v>101.09481859100001</v>
      </c>
      <c r="CC79">
        <v>70.367421125999996</v>
      </c>
      <c r="CD79">
        <v>108.101339525</v>
      </c>
      <c r="CE79">
        <v>80.705858593599999</v>
      </c>
      <c r="CF79">
        <v>79.615163737700001</v>
      </c>
      <c r="CG79">
        <v>103.728802281</v>
      </c>
      <c r="CH79">
        <v>123.612245926</v>
      </c>
      <c r="CI79">
        <v>88.179942453799995</v>
      </c>
      <c r="CJ79">
        <v>105.765157812</v>
      </c>
      <c r="CK79">
        <v>100.795781745</v>
      </c>
      <c r="CL79">
        <v>86.671813809400007</v>
      </c>
      <c r="CM79">
        <v>83.661000772099996</v>
      </c>
      <c r="CN79">
        <v>99.452163397500001</v>
      </c>
      <c r="CO79">
        <v>144.289094199</v>
      </c>
      <c r="CP79">
        <v>87.077846192500004</v>
      </c>
      <c r="CQ79">
        <v>84.885721664800002</v>
      </c>
      <c r="CR79">
        <v>94.236927084800001</v>
      </c>
      <c r="CS79">
        <v>97.792584266099993</v>
      </c>
      <c r="CT79">
        <v>132.87070736300001</v>
      </c>
      <c r="CU79">
        <v>115.111216349</v>
      </c>
      <c r="CV79">
        <v>82.343007631999996</v>
      </c>
      <c r="CW79">
        <v>102.391312094</v>
      </c>
      <c r="CX79">
        <v>134.90872112100001</v>
      </c>
      <c r="CY79">
        <v>126.376894053</v>
      </c>
      <c r="CZ79">
        <v>105.774820757</v>
      </c>
      <c r="DA79">
        <v>122.312176806</v>
      </c>
      <c r="DB79">
        <v>73.754552213599993</v>
      </c>
      <c r="DC79">
        <v>109.449924966</v>
      </c>
      <c r="DD79">
        <v>101.74271400799999</v>
      </c>
      <c r="DE79">
        <v>106.30442566000001</v>
      </c>
      <c r="DF79">
        <v>79.052620246900005</v>
      </c>
      <c r="DG79">
        <v>85.988169311799993</v>
      </c>
      <c r="DH79">
        <v>92.27370234</v>
      </c>
    </row>
    <row r="80" spans="1:112" x14ac:dyDescent="0.25">
      <c r="A80" s="8">
        <f t="shared" si="6"/>
        <v>90.152003551473982</v>
      </c>
      <c r="B80" s="9">
        <f>AVERAGE($C$2:C80)</f>
        <v>4.5014971740443368</v>
      </c>
      <c r="C80" s="9">
        <f t="shared" si="7"/>
        <v>4.3821996547950368</v>
      </c>
      <c r="D80" s="6">
        <f>AVERAGE($G$2:G80)</f>
        <v>91.554979120512499</v>
      </c>
      <c r="E80" s="6">
        <f>AVERAGE($H$2:H80)</f>
        <v>90.698765146595008</v>
      </c>
      <c r="F80" s="6">
        <f>AVERAGE($M$2:M80)</f>
        <v>90.298658439869627</v>
      </c>
      <c r="G80" s="6" t="b">
        <f t="shared" si="8"/>
        <v>0</v>
      </c>
      <c r="H80" t="b">
        <f t="shared" si="9"/>
        <v>0</v>
      </c>
      <c r="I80" s="6">
        <f t="shared" si="10"/>
        <v>-0.4001067067253814</v>
      </c>
      <c r="J80" s="6">
        <f t="shared" si="11"/>
        <v>-1.2563206806428724</v>
      </c>
      <c r="K80">
        <v>78</v>
      </c>
      <c r="L80">
        <f>L79+Asian!dt</f>
        <v>0.78000000000000047</v>
      </c>
      <c r="M80">
        <v>80.013842807200007</v>
      </c>
      <c r="N80">
        <v>107.06250350000001</v>
      </c>
      <c r="O80">
        <v>104.56685241700001</v>
      </c>
      <c r="P80">
        <v>99.206199032800001</v>
      </c>
      <c r="Q80">
        <v>66.316139176899995</v>
      </c>
      <c r="R80">
        <v>96.898546519099995</v>
      </c>
      <c r="S80">
        <v>100.215337558</v>
      </c>
      <c r="T80">
        <v>90.294133693199996</v>
      </c>
      <c r="U80">
        <v>117.76187723300001</v>
      </c>
      <c r="V80">
        <v>127.36110688300001</v>
      </c>
      <c r="W80">
        <v>113.43045152000001</v>
      </c>
      <c r="X80">
        <v>134.015180593</v>
      </c>
      <c r="Y80">
        <v>90.240121510099996</v>
      </c>
      <c r="Z80">
        <v>97.883721121999997</v>
      </c>
      <c r="AA80">
        <v>102.94302664200001</v>
      </c>
      <c r="AB80">
        <v>113.42367305800001</v>
      </c>
      <c r="AC80">
        <v>83.2118414758</v>
      </c>
      <c r="AD80">
        <v>99.429022650600004</v>
      </c>
      <c r="AE80">
        <v>137.18934552499999</v>
      </c>
      <c r="AF80">
        <v>136.80877756199999</v>
      </c>
      <c r="AG80">
        <v>110.985421102</v>
      </c>
      <c r="AH80">
        <v>114.794393082</v>
      </c>
      <c r="AI80">
        <v>86.130367944400007</v>
      </c>
      <c r="AJ80">
        <v>88.995179834699996</v>
      </c>
      <c r="AK80">
        <v>96.866038507799999</v>
      </c>
      <c r="AL80">
        <v>121.174090479</v>
      </c>
      <c r="AM80">
        <v>98.626080642800005</v>
      </c>
      <c r="AN80">
        <v>97.943360914699994</v>
      </c>
      <c r="AO80">
        <v>101.63446631399999</v>
      </c>
      <c r="AP80">
        <v>97.601760397600003</v>
      </c>
      <c r="AQ80">
        <v>113.22593026</v>
      </c>
      <c r="AR80">
        <v>106.303554289</v>
      </c>
      <c r="AS80">
        <v>135.30050895900001</v>
      </c>
      <c r="AT80">
        <v>91.747379115599998</v>
      </c>
      <c r="AU80">
        <v>124.44422257799999</v>
      </c>
      <c r="AV80">
        <v>124.67729777300001</v>
      </c>
      <c r="AW80">
        <v>114.589740002</v>
      </c>
      <c r="AX80">
        <v>99.184885176999998</v>
      </c>
      <c r="AY80">
        <v>90.588538083900005</v>
      </c>
      <c r="AZ80">
        <v>126.769850973</v>
      </c>
      <c r="BA80">
        <v>126.130169513</v>
      </c>
      <c r="BB80">
        <v>99.954839274999998</v>
      </c>
      <c r="BC80">
        <v>114.566373314</v>
      </c>
      <c r="BD80">
        <v>119.53234797</v>
      </c>
      <c r="BE80">
        <v>97.215250520699996</v>
      </c>
      <c r="BF80">
        <v>85.665059410400005</v>
      </c>
      <c r="BG80">
        <v>84.315323496999994</v>
      </c>
      <c r="BH80">
        <v>112.93775792300001</v>
      </c>
      <c r="BI80">
        <v>98.182358080100002</v>
      </c>
      <c r="BJ80">
        <v>117.67370392700001</v>
      </c>
      <c r="BK80">
        <v>104.78520016100001</v>
      </c>
      <c r="BL80">
        <v>75.703577622799997</v>
      </c>
      <c r="BM80">
        <v>125.721067991</v>
      </c>
      <c r="BN80">
        <v>119.785236668</v>
      </c>
      <c r="BO80">
        <v>87.071026756400002</v>
      </c>
      <c r="BP80">
        <v>78.292684011199995</v>
      </c>
      <c r="BQ80">
        <v>99.056204629600003</v>
      </c>
      <c r="BR80">
        <v>108.985578694</v>
      </c>
      <c r="BS80">
        <v>112.359445072</v>
      </c>
      <c r="BT80">
        <v>124.765540595</v>
      </c>
      <c r="BU80">
        <v>87.262045133200004</v>
      </c>
      <c r="BV80">
        <v>85.9126068331</v>
      </c>
      <c r="BW80">
        <v>111.655279171</v>
      </c>
      <c r="BX80">
        <v>71.304361378899998</v>
      </c>
      <c r="BY80">
        <v>84.153147856800004</v>
      </c>
      <c r="BZ80">
        <v>127.625123618</v>
      </c>
      <c r="CA80">
        <v>90.536658005000007</v>
      </c>
      <c r="CB80">
        <v>98.136744904300002</v>
      </c>
      <c r="CC80">
        <v>73.585052086800005</v>
      </c>
      <c r="CD80">
        <v>110.344487141</v>
      </c>
      <c r="CE80">
        <v>80.917968186600007</v>
      </c>
      <c r="CF80">
        <v>77.816624768300002</v>
      </c>
      <c r="CG80">
        <v>103.162972818</v>
      </c>
      <c r="CH80">
        <v>121.744538761</v>
      </c>
      <c r="CI80">
        <v>87.1967164199</v>
      </c>
      <c r="CJ80">
        <v>103.876922196</v>
      </c>
      <c r="CK80">
        <v>103.775512714</v>
      </c>
      <c r="CL80">
        <v>86.595728254799994</v>
      </c>
      <c r="CM80">
        <v>82.342707837000006</v>
      </c>
      <c r="CN80">
        <v>99.494825477000006</v>
      </c>
      <c r="CO80">
        <v>148.43751311299999</v>
      </c>
      <c r="CP80">
        <v>86.381627979800001</v>
      </c>
      <c r="CQ80">
        <v>83.285844733800005</v>
      </c>
      <c r="CR80">
        <v>94.700449624900003</v>
      </c>
      <c r="CS80">
        <v>95.382383803699994</v>
      </c>
      <c r="CT80">
        <v>129.14503260800001</v>
      </c>
      <c r="CU80">
        <v>115.845442917</v>
      </c>
      <c r="CV80">
        <v>79.383530560400004</v>
      </c>
      <c r="CW80">
        <v>105.95304704599999</v>
      </c>
      <c r="CX80">
        <v>134.198377249</v>
      </c>
      <c r="CY80">
        <v>123.976685641</v>
      </c>
      <c r="CZ80">
        <v>106.092988326</v>
      </c>
      <c r="DA80">
        <v>117.838690251</v>
      </c>
      <c r="DB80">
        <v>74.283867497399996</v>
      </c>
      <c r="DC80">
        <v>108.552428572</v>
      </c>
      <c r="DD80">
        <v>99.104884191400004</v>
      </c>
      <c r="DE80">
        <v>106.590470724</v>
      </c>
      <c r="DF80">
        <v>79.547239678500006</v>
      </c>
      <c r="DG80">
        <v>85.653322639699994</v>
      </c>
      <c r="DH80">
        <v>90.242423382499993</v>
      </c>
    </row>
    <row r="81" spans="1:112" x14ac:dyDescent="0.25">
      <c r="A81" s="8">
        <f t="shared" si="6"/>
        <v>90.039034333436405</v>
      </c>
      <c r="B81" s="9">
        <f>AVERAGE($C$2:C81)</f>
        <v>4.5002432911191406</v>
      </c>
      <c r="C81" s="9">
        <f t="shared" si="7"/>
        <v>4.4011865400286068</v>
      </c>
      <c r="D81" s="6">
        <f>AVERAGE($G$2:G81)</f>
        <v>91.554979120512499</v>
      </c>
      <c r="E81" s="6">
        <f>AVERAGE($H$2:H81)</f>
        <v>90.698765146595008</v>
      </c>
      <c r="F81" s="6">
        <f>AVERAGE($M$2:M81)</f>
        <v>90.189269843622512</v>
      </c>
      <c r="G81" s="6" t="b">
        <f t="shared" si="8"/>
        <v>0</v>
      </c>
      <c r="H81" t="b">
        <f t="shared" si="9"/>
        <v>0</v>
      </c>
      <c r="I81" s="6">
        <f t="shared" si="10"/>
        <v>-0.50949530297249623</v>
      </c>
      <c r="J81" s="6">
        <f t="shared" si="11"/>
        <v>-1.3657092768899872</v>
      </c>
      <c r="K81">
        <v>79</v>
      </c>
      <c r="L81">
        <f>L80+Asian!dt</f>
        <v>0.79000000000000048</v>
      </c>
      <c r="M81">
        <v>81.547570740099999</v>
      </c>
      <c r="N81">
        <v>108.623645915</v>
      </c>
      <c r="O81">
        <v>104.259955191</v>
      </c>
      <c r="P81">
        <v>100.80519227800001</v>
      </c>
      <c r="Q81">
        <v>65.433387607300006</v>
      </c>
      <c r="R81">
        <v>96.598861731100001</v>
      </c>
      <c r="S81">
        <v>101.825609161</v>
      </c>
      <c r="T81">
        <v>90.397866950999997</v>
      </c>
      <c r="U81">
        <v>115.377388372</v>
      </c>
      <c r="V81">
        <v>130.130961762</v>
      </c>
      <c r="W81">
        <v>113.730048651</v>
      </c>
      <c r="X81">
        <v>139.13799308599999</v>
      </c>
      <c r="Y81">
        <v>89.015289640000006</v>
      </c>
      <c r="Z81">
        <v>101.94412888399999</v>
      </c>
      <c r="AA81">
        <v>103.803062771</v>
      </c>
      <c r="AB81">
        <v>112.52701023500001</v>
      </c>
      <c r="AC81">
        <v>82.6439734657</v>
      </c>
      <c r="AD81">
        <v>96.944266042600006</v>
      </c>
      <c r="AE81">
        <v>138.48824872500001</v>
      </c>
      <c r="AF81">
        <v>134.07078036300001</v>
      </c>
      <c r="AG81">
        <v>113.263309295</v>
      </c>
      <c r="AH81">
        <v>117.051155854</v>
      </c>
      <c r="AI81">
        <v>84.190630999000007</v>
      </c>
      <c r="AJ81">
        <v>92.595069563099997</v>
      </c>
      <c r="AK81">
        <v>95.044146594099999</v>
      </c>
      <c r="AL81">
        <v>121.247608001</v>
      </c>
      <c r="AM81">
        <v>100.060969687</v>
      </c>
      <c r="AN81">
        <v>100.446176272</v>
      </c>
      <c r="AO81">
        <v>100.400183786</v>
      </c>
      <c r="AP81">
        <v>100.951369355</v>
      </c>
      <c r="AQ81">
        <v>117.702031039</v>
      </c>
      <c r="AR81">
        <v>103.946363409</v>
      </c>
      <c r="AS81">
        <v>133.49244327900001</v>
      </c>
      <c r="AT81">
        <v>91.963456279499994</v>
      </c>
      <c r="AU81">
        <v>122.430663486</v>
      </c>
      <c r="AV81">
        <v>124.03468175499999</v>
      </c>
      <c r="AW81">
        <v>114.200411824</v>
      </c>
      <c r="AX81">
        <v>97.806465259500001</v>
      </c>
      <c r="AY81">
        <v>90.262914938400002</v>
      </c>
      <c r="AZ81">
        <v>126.580873485</v>
      </c>
      <c r="BA81">
        <v>128.27603720299999</v>
      </c>
      <c r="BB81">
        <v>103.319308866</v>
      </c>
      <c r="BC81">
        <v>115.829662326</v>
      </c>
      <c r="BD81">
        <v>125.125737191</v>
      </c>
      <c r="BE81">
        <v>99.465497328300003</v>
      </c>
      <c r="BF81">
        <v>82.4182896242</v>
      </c>
      <c r="BG81">
        <v>85.309740833500001</v>
      </c>
      <c r="BH81">
        <v>110.00746095700001</v>
      </c>
      <c r="BI81">
        <v>99.070215227600002</v>
      </c>
      <c r="BJ81">
        <v>115.578586722</v>
      </c>
      <c r="BK81">
        <v>108.641448423</v>
      </c>
      <c r="BL81">
        <v>75.176393378</v>
      </c>
      <c r="BM81">
        <v>123.74218089199999</v>
      </c>
      <c r="BN81">
        <v>118.83386743</v>
      </c>
      <c r="BO81">
        <v>85.624092850099998</v>
      </c>
      <c r="BP81">
        <v>77.196375701500003</v>
      </c>
      <c r="BQ81">
        <v>96.957309723400002</v>
      </c>
      <c r="BR81">
        <v>113.987086589</v>
      </c>
      <c r="BS81">
        <v>114.697462231</v>
      </c>
      <c r="BT81">
        <v>121.12823584</v>
      </c>
      <c r="BU81">
        <v>85.848617654999998</v>
      </c>
      <c r="BV81">
        <v>86.687606029099996</v>
      </c>
      <c r="BW81">
        <v>113.256321692</v>
      </c>
      <c r="BX81">
        <v>71.961454368299997</v>
      </c>
      <c r="BY81">
        <v>83.2996595149</v>
      </c>
      <c r="BZ81">
        <v>128.48063082799999</v>
      </c>
      <c r="CA81">
        <v>87.629791812700006</v>
      </c>
      <c r="CB81">
        <v>95.802506096299993</v>
      </c>
      <c r="CC81">
        <v>74.685674790799993</v>
      </c>
      <c r="CD81">
        <v>110.04597466200001</v>
      </c>
      <c r="CE81">
        <v>78.864751384900003</v>
      </c>
      <c r="CF81">
        <v>76.319117473299997</v>
      </c>
      <c r="CG81">
        <v>104.870611661</v>
      </c>
      <c r="CH81">
        <v>123.205736347</v>
      </c>
      <c r="CI81">
        <v>87.811102713500006</v>
      </c>
      <c r="CJ81">
        <v>103.636130615</v>
      </c>
      <c r="CK81">
        <v>101.58362392799999</v>
      </c>
      <c r="CL81">
        <v>86.738070570999994</v>
      </c>
      <c r="CM81">
        <v>84.353127527699996</v>
      </c>
      <c r="CN81">
        <v>101.354786417</v>
      </c>
      <c r="CO81">
        <v>146.32178677300001</v>
      </c>
      <c r="CP81">
        <v>83.8632859362</v>
      </c>
      <c r="CQ81">
        <v>82.030031079799997</v>
      </c>
      <c r="CR81">
        <v>96.276251963799993</v>
      </c>
      <c r="CS81">
        <v>94.502335611500001</v>
      </c>
      <c r="CT81">
        <v>127.94517438299999</v>
      </c>
      <c r="CU81">
        <v>117.054302429</v>
      </c>
      <c r="CV81">
        <v>80.047003110600002</v>
      </c>
      <c r="CW81">
        <v>107.561620225</v>
      </c>
      <c r="CX81">
        <v>131.29536332800001</v>
      </c>
      <c r="CY81">
        <v>118.603107893</v>
      </c>
      <c r="CZ81">
        <v>105.49708908700001</v>
      </c>
      <c r="DA81">
        <v>118.842284961</v>
      </c>
      <c r="DB81">
        <v>72.644740043400006</v>
      </c>
      <c r="DC81">
        <v>109.312975407</v>
      </c>
      <c r="DD81">
        <v>101.941572353</v>
      </c>
      <c r="DE81">
        <v>106.397712433</v>
      </c>
      <c r="DF81">
        <v>80.365406523399997</v>
      </c>
      <c r="DG81">
        <v>86.196299740000001</v>
      </c>
      <c r="DH81">
        <v>87.201763771100005</v>
      </c>
    </row>
    <row r="82" spans="1:112" x14ac:dyDescent="0.25">
      <c r="A82" s="8">
        <f t="shared" si="6"/>
        <v>89.927775135117884</v>
      </c>
      <c r="B82" s="9">
        <f>AVERAGE($C$2:C82)</f>
        <v>4.4990068496572801</v>
      </c>
      <c r="C82" s="9">
        <f t="shared" si="7"/>
        <v>4.4000915327084451</v>
      </c>
      <c r="D82" s="6">
        <f>AVERAGE($G$2:G82)</f>
        <v>90.433128598766672</v>
      </c>
      <c r="E82" s="6">
        <f>AVERAGE($H$2:H82)</f>
        <v>90.258744159842863</v>
      </c>
      <c r="F82" s="6">
        <f>AVERAGE($M$2:M82)</f>
        <v>90.081480394007414</v>
      </c>
      <c r="G82" s="6">
        <f t="shared" si="8"/>
        <v>81.458324424799997</v>
      </c>
      <c r="H82">
        <f t="shared" si="9"/>
        <v>81.458324424799997</v>
      </c>
      <c r="I82" s="6">
        <f t="shared" si="10"/>
        <v>-0.17726376583544834</v>
      </c>
      <c r="J82" s="6">
        <f t="shared" si="11"/>
        <v>-0.35164820475925751</v>
      </c>
      <c r="K82">
        <v>80</v>
      </c>
      <c r="L82">
        <f>L81+Asian!dt</f>
        <v>0.80000000000000049</v>
      </c>
      <c r="M82">
        <v>81.458324424799997</v>
      </c>
      <c r="N82">
        <v>108.85445649</v>
      </c>
      <c r="O82">
        <v>105.288487315</v>
      </c>
      <c r="P82">
        <v>99.000092838800001</v>
      </c>
      <c r="Q82">
        <v>66.280530464799995</v>
      </c>
      <c r="R82">
        <v>97.366314187499995</v>
      </c>
      <c r="S82">
        <v>102.538239929</v>
      </c>
      <c r="T82">
        <v>89.083207731900004</v>
      </c>
      <c r="U82">
        <v>112.767565621</v>
      </c>
      <c r="V82">
        <v>133.33627982900001</v>
      </c>
      <c r="W82">
        <v>110.509236719</v>
      </c>
      <c r="X82">
        <v>135.87774365199999</v>
      </c>
      <c r="Y82">
        <v>91.1176638954</v>
      </c>
      <c r="Z82">
        <v>102.817832501</v>
      </c>
      <c r="AA82">
        <v>103.223903445</v>
      </c>
      <c r="AB82">
        <v>111.419671386</v>
      </c>
      <c r="AC82">
        <v>84.331753986600006</v>
      </c>
      <c r="AD82">
        <v>96.390224416500004</v>
      </c>
      <c r="AE82">
        <v>138.84025333100001</v>
      </c>
      <c r="AF82">
        <v>132.49331966099999</v>
      </c>
      <c r="AG82">
        <v>117.80471058099999</v>
      </c>
      <c r="AH82">
        <v>116.45349446199999</v>
      </c>
      <c r="AI82">
        <v>86.375639619500006</v>
      </c>
      <c r="AJ82">
        <v>91.554576851299998</v>
      </c>
      <c r="AK82">
        <v>93.5546713297</v>
      </c>
      <c r="AL82">
        <v>120.18059007799999</v>
      </c>
      <c r="AM82">
        <v>103.28660683699999</v>
      </c>
      <c r="AN82">
        <v>103.427414881</v>
      </c>
      <c r="AO82">
        <v>101.765134542</v>
      </c>
      <c r="AP82">
        <v>102.37588812200001</v>
      </c>
      <c r="AQ82">
        <v>116.783268947</v>
      </c>
      <c r="AR82">
        <v>102.07808433300001</v>
      </c>
      <c r="AS82">
        <v>133.26276147999999</v>
      </c>
      <c r="AT82">
        <v>94.270540199199999</v>
      </c>
      <c r="AU82">
        <v>119.271591028</v>
      </c>
      <c r="AV82">
        <v>122.397261828</v>
      </c>
      <c r="AW82">
        <v>109.978997995</v>
      </c>
      <c r="AX82">
        <v>94.918894998599995</v>
      </c>
      <c r="AY82">
        <v>89.336467241500003</v>
      </c>
      <c r="AZ82">
        <v>129.45822938500001</v>
      </c>
      <c r="BA82">
        <v>126.742018049</v>
      </c>
      <c r="BB82">
        <v>103.075376117</v>
      </c>
      <c r="BC82">
        <v>111.539944787</v>
      </c>
      <c r="BD82">
        <v>121.400146374</v>
      </c>
      <c r="BE82">
        <v>97.962982788800005</v>
      </c>
      <c r="BF82">
        <v>82.163068808000006</v>
      </c>
      <c r="BG82">
        <v>85.671710101299993</v>
      </c>
      <c r="BH82">
        <v>110.336168191</v>
      </c>
      <c r="BI82">
        <v>101.68188645799999</v>
      </c>
      <c r="BJ82">
        <v>116.182374889</v>
      </c>
      <c r="BK82">
        <v>110.724130661</v>
      </c>
      <c r="BL82">
        <v>74.243706660800001</v>
      </c>
      <c r="BM82">
        <v>122.63691187400001</v>
      </c>
      <c r="BN82">
        <v>117.758561806</v>
      </c>
      <c r="BO82">
        <v>88.292642861299996</v>
      </c>
      <c r="BP82">
        <v>75.539933103400003</v>
      </c>
      <c r="BQ82">
        <v>100.218687558</v>
      </c>
      <c r="BR82">
        <v>115.81171623500001</v>
      </c>
      <c r="BS82">
        <v>115.719139156</v>
      </c>
      <c r="BT82">
        <v>123.185102722</v>
      </c>
      <c r="BU82">
        <v>85.115071826499999</v>
      </c>
      <c r="BV82">
        <v>88.367985252699995</v>
      </c>
      <c r="BW82">
        <v>111.388237178</v>
      </c>
      <c r="BX82">
        <v>73.452453234900005</v>
      </c>
      <c r="BY82">
        <v>81.058934247300002</v>
      </c>
      <c r="BZ82">
        <v>130.83252905000001</v>
      </c>
      <c r="CA82">
        <v>82.979356528400004</v>
      </c>
      <c r="CB82">
        <v>93.081805283099996</v>
      </c>
      <c r="CC82">
        <v>73.459586777599995</v>
      </c>
      <c r="CD82">
        <v>107.94471428</v>
      </c>
      <c r="CE82">
        <v>77.877430206200003</v>
      </c>
      <c r="CF82">
        <v>75.9320737595</v>
      </c>
      <c r="CG82">
        <v>104.846979803</v>
      </c>
      <c r="CH82">
        <v>119.49812941099999</v>
      </c>
      <c r="CI82">
        <v>87.259561406000003</v>
      </c>
      <c r="CJ82">
        <v>104.183490271</v>
      </c>
      <c r="CK82">
        <v>99.6336550555</v>
      </c>
      <c r="CL82">
        <v>86.741227327600001</v>
      </c>
      <c r="CM82">
        <v>85.858625660399994</v>
      </c>
      <c r="CN82">
        <v>106.182825299</v>
      </c>
      <c r="CO82">
        <v>145.700266183</v>
      </c>
      <c r="CP82">
        <v>84.009453746299997</v>
      </c>
      <c r="CQ82">
        <v>82.547926426999993</v>
      </c>
      <c r="CR82">
        <v>94.937900760700003</v>
      </c>
      <c r="CS82">
        <v>94.839661320100006</v>
      </c>
      <c r="CT82">
        <v>130.70915275900001</v>
      </c>
      <c r="CU82">
        <v>117.85320811</v>
      </c>
      <c r="CV82">
        <v>81.079633537099994</v>
      </c>
      <c r="CW82">
        <v>108.163217514</v>
      </c>
      <c r="CX82">
        <v>128.842107341</v>
      </c>
      <c r="CY82">
        <v>122.24908952</v>
      </c>
      <c r="CZ82">
        <v>106.439637385</v>
      </c>
      <c r="DA82">
        <v>119.32266713</v>
      </c>
      <c r="DB82">
        <v>72.741670155799994</v>
      </c>
      <c r="DC82">
        <v>109.665492034</v>
      </c>
      <c r="DD82">
        <v>99.789614542500004</v>
      </c>
      <c r="DE82">
        <v>107.75381654500001</v>
      </c>
      <c r="DF82">
        <v>79.207128687299999</v>
      </c>
      <c r="DG82">
        <v>84.563792756599995</v>
      </c>
      <c r="DH82">
        <v>89.367795889700005</v>
      </c>
    </row>
    <row r="83" spans="1:112" x14ac:dyDescent="0.25">
      <c r="A83" s="8">
        <f t="shared" si="6"/>
        <v>89.86389966290804</v>
      </c>
      <c r="B83" s="9">
        <f>AVERAGE($C$2:C83)</f>
        <v>4.4982962997948457</v>
      </c>
      <c r="C83" s="9">
        <f t="shared" si="7"/>
        <v>4.4407417609376392</v>
      </c>
      <c r="D83" s="6">
        <f>AVERAGE($G$2:G83)</f>
        <v>90.433128598766672</v>
      </c>
      <c r="E83" s="6">
        <f>AVERAGE($H$2:H83)</f>
        <v>90.258744159842863</v>
      </c>
      <c r="F83" s="6">
        <f>AVERAGE($M$2:M83)</f>
        <v>90.017533654346352</v>
      </c>
      <c r="G83" s="6" t="b">
        <f t="shared" si="8"/>
        <v>0</v>
      </c>
      <c r="H83" t="b">
        <f t="shared" si="9"/>
        <v>0</v>
      </c>
      <c r="I83" s="6">
        <f t="shared" si="10"/>
        <v>-0.24121050549651102</v>
      </c>
      <c r="J83" s="6">
        <f t="shared" si="11"/>
        <v>-0.41559494442032019</v>
      </c>
      <c r="K83">
        <v>81</v>
      </c>
      <c r="L83">
        <f>L82+Asian!dt</f>
        <v>0.8100000000000005</v>
      </c>
      <c r="M83">
        <v>84.837847741800005</v>
      </c>
      <c r="N83">
        <v>103.62063929200001</v>
      </c>
      <c r="O83">
        <v>105.09249456000001</v>
      </c>
      <c r="P83">
        <v>102.802344271</v>
      </c>
      <c r="Q83">
        <v>64.730203500499996</v>
      </c>
      <c r="R83">
        <v>95.875713265000002</v>
      </c>
      <c r="S83">
        <v>101.27849998799999</v>
      </c>
      <c r="T83">
        <v>87.872289031600005</v>
      </c>
      <c r="U83">
        <v>112.35775638299999</v>
      </c>
      <c r="V83">
        <v>133.99150248399999</v>
      </c>
      <c r="W83">
        <v>113.853232181</v>
      </c>
      <c r="X83">
        <v>137.078643183</v>
      </c>
      <c r="Y83">
        <v>93.382570866600005</v>
      </c>
      <c r="Z83">
        <v>101.457898093</v>
      </c>
      <c r="AA83">
        <v>101.753827186</v>
      </c>
      <c r="AB83">
        <v>109.69210325500001</v>
      </c>
      <c r="AC83">
        <v>86.937444769500004</v>
      </c>
      <c r="AD83">
        <v>94.843079341199996</v>
      </c>
      <c r="AE83">
        <v>136.57438559900001</v>
      </c>
      <c r="AF83">
        <v>135.07021673700001</v>
      </c>
      <c r="AG83">
        <v>121.21006600600001</v>
      </c>
      <c r="AH83">
        <v>116.781213755</v>
      </c>
      <c r="AI83">
        <v>84.388693014699996</v>
      </c>
      <c r="AJ83">
        <v>89.416926106800005</v>
      </c>
      <c r="AK83">
        <v>93.967342673700003</v>
      </c>
      <c r="AL83">
        <v>118.534690899</v>
      </c>
      <c r="AM83">
        <v>106.307238273</v>
      </c>
      <c r="AN83">
        <v>101.706275562</v>
      </c>
      <c r="AO83">
        <v>101.32462933399999</v>
      </c>
      <c r="AP83">
        <v>100.26150027200001</v>
      </c>
      <c r="AQ83">
        <v>117.253101521</v>
      </c>
      <c r="AR83">
        <v>100.411709661</v>
      </c>
      <c r="AS83">
        <v>130.73966307500001</v>
      </c>
      <c r="AT83">
        <v>91.952109990099999</v>
      </c>
      <c r="AU83">
        <v>121.17301361299999</v>
      </c>
      <c r="AV83">
        <v>117.887456597</v>
      </c>
      <c r="AW83">
        <v>110.69486308</v>
      </c>
      <c r="AX83">
        <v>97.158855364999994</v>
      </c>
      <c r="AY83">
        <v>87.091765808600002</v>
      </c>
      <c r="AZ83">
        <v>127.36577105400001</v>
      </c>
      <c r="BA83">
        <v>124.30998449099999</v>
      </c>
      <c r="BB83">
        <v>105.200637262</v>
      </c>
      <c r="BC83">
        <v>111.219131398</v>
      </c>
      <c r="BD83">
        <v>122.698666035</v>
      </c>
      <c r="BE83">
        <v>96.964345273399999</v>
      </c>
      <c r="BF83">
        <v>82.742425715300001</v>
      </c>
      <c r="BG83">
        <v>87.300098210100003</v>
      </c>
      <c r="BH83">
        <v>114.45419317299999</v>
      </c>
      <c r="BI83">
        <v>101.83557804900001</v>
      </c>
      <c r="BJ83">
        <v>115.82614802400001</v>
      </c>
      <c r="BK83">
        <v>110.428903504</v>
      </c>
      <c r="BL83">
        <v>73.271175251399995</v>
      </c>
      <c r="BM83">
        <v>123.599200216</v>
      </c>
      <c r="BN83">
        <v>115.19903804499999</v>
      </c>
      <c r="BO83">
        <v>89.2767559686</v>
      </c>
      <c r="BP83">
        <v>77.116228386100005</v>
      </c>
      <c r="BQ83">
        <v>99.087576388399995</v>
      </c>
      <c r="BR83">
        <v>116.749116196</v>
      </c>
      <c r="BS83">
        <v>113.93186941800001</v>
      </c>
      <c r="BT83">
        <v>126.978729345</v>
      </c>
      <c r="BU83">
        <v>83.885039887199994</v>
      </c>
      <c r="BV83">
        <v>89.857797005699993</v>
      </c>
      <c r="BW83">
        <v>113.49744193799999</v>
      </c>
      <c r="BX83">
        <v>74.200291251099998</v>
      </c>
      <c r="BY83">
        <v>82.759146167899999</v>
      </c>
      <c r="BZ83">
        <v>128.56101941899999</v>
      </c>
      <c r="CA83">
        <v>80.723653893199995</v>
      </c>
      <c r="CB83">
        <v>93.4501018208</v>
      </c>
      <c r="CC83">
        <v>74.209240066600003</v>
      </c>
      <c r="CD83">
        <v>103.757294113</v>
      </c>
      <c r="CE83">
        <v>77.963016091599997</v>
      </c>
      <c r="CF83">
        <v>75.735500752299998</v>
      </c>
      <c r="CG83">
        <v>104.23969713300001</v>
      </c>
      <c r="CH83">
        <v>121.551314197</v>
      </c>
      <c r="CI83">
        <v>86.559669330700004</v>
      </c>
      <c r="CJ83">
        <v>101.454746755</v>
      </c>
      <c r="CK83">
        <v>101.238553168</v>
      </c>
      <c r="CL83">
        <v>85.295160227099998</v>
      </c>
      <c r="CM83">
        <v>86.207459603100006</v>
      </c>
      <c r="CN83">
        <v>104.08893118100001</v>
      </c>
      <c r="CO83">
        <v>146.39323177700001</v>
      </c>
      <c r="CP83">
        <v>84.893667685699995</v>
      </c>
      <c r="CQ83">
        <v>82.9242841322</v>
      </c>
      <c r="CR83">
        <v>95.461219409799995</v>
      </c>
      <c r="CS83">
        <v>94.137417135999996</v>
      </c>
      <c r="CT83">
        <v>129.090910318</v>
      </c>
      <c r="CU83">
        <v>113.334451074</v>
      </c>
      <c r="CV83">
        <v>81.108128330599996</v>
      </c>
      <c r="CW83">
        <v>109.05873355200001</v>
      </c>
      <c r="CX83">
        <v>127.206287737</v>
      </c>
      <c r="CY83">
        <v>126.77309940400001</v>
      </c>
      <c r="CZ83">
        <v>106.389605077</v>
      </c>
      <c r="DA83">
        <v>116.610268328</v>
      </c>
      <c r="DB83">
        <v>75.140380255500006</v>
      </c>
      <c r="DC83">
        <v>107.798235865</v>
      </c>
      <c r="DD83">
        <v>103.138523792</v>
      </c>
      <c r="DE83">
        <v>105.388297732</v>
      </c>
      <c r="DF83">
        <v>80.131045048700003</v>
      </c>
      <c r="DG83">
        <v>83.8006076283</v>
      </c>
      <c r="DH83">
        <v>88.431989670700005</v>
      </c>
    </row>
    <row r="84" spans="1:112" x14ac:dyDescent="0.25">
      <c r="A84" s="8">
        <f t="shared" si="6"/>
        <v>89.78306967415368</v>
      </c>
      <c r="B84" s="9">
        <f>AVERAGE($C$2:C84)</f>
        <v>4.4973964238380493</v>
      </c>
      <c r="C84" s="9">
        <f t="shared" si="7"/>
        <v>4.4236065953807762</v>
      </c>
      <c r="D84" s="6">
        <f>AVERAGE($G$2:G84)</f>
        <v>90.433128598766672</v>
      </c>
      <c r="E84" s="6">
        <f>AVERAGE($H$2:H84)</f>
        <v>90.258744159842863</v>
      </c>
      <c r="F84" s="6">
        <f>AVERAGE($M$2:M84)</f>
        <v>89.93776241906869</v>
      </c>
      <c r="G84" s="6" t="b">
        <f t="shared" si="8"/>
        <v>0</v>
      </c>
      <c r="H84" t="b">
        <f t="shared" si="9"/>
        <v>0</v>
      </c>
      <c r="I84" s="6">
        <f t="shared" si="10"/>
        <v>-0.32098174077417241</v>
      </c>
      <c r="J84" s="6">
        <f t="shared" si="11"/>
        <v>-0.49536617969798158</v>
      </c>
      <c r="K84">
        <v>82</v>
      </c>
      <c r="L84">
        <f>L83+Asian!dt</f>
        <v>0.82000000000000051</v>
      </c>
      <c r="M84">
        <v>83.396521126300001</v>
      </c>
      <c r="N84">
        <v>105.25490106300001</v>
      </c>
      <c r="O84">
        <v>104.487644011</v>
      </c>
      <c r="P84">
        <v>100.065887226</v>
      </c>
      <c r="Q84">
        <v>66.390462619000004</v>
      </c>
      <c r="R84">
        <v>94.482218359800001</v>
      </c>
      <c r="S84">
        <v>102.809953118</v>
      </c>
      <c r="T84">
        <v>87.620635219500002</v>
      </c>
      <c r="U84">
        <v>112.27806890399999</v>
      </c>
      <c r="V84">
        <v>136.78162998799999</v>
      </c>
      <c r="W84">
        <v>110.72972585700001</v>
      </c>
      <c r="X84">
        <v>141.16402595</v>
      </c>
      <c r="Y84">
        <v>95.0040003923</v>
      </c>
      <c r="Z84">
        <v>101.332764195</v>
      </c>
      <c r="AA84">
        <v>99.825071210600001</v>
      </c>
      <c r="AB84">
        <v>108.079737315</v>
      </c>
      <c r="AC84">
        <v>86.445698918199994</v>
      </c>
      <c r="AD84">
        <v>97.015272919099999</v>
      </c>
      <c r="AE84">
        <v>133.96549606100001</v>
      </c>
      <c r="AF84">
        <v>137.306655337</v>
      </c>
      <c r="AG84">
        <v>122.412466932</v>
      </c>
      <c r="AH84">
        <v>119.747902352</v>
      </c>
      <c r="AI84">
        <v>81.648310589700003</v>
      </c>
      <c r="AJ84">
        <v>92.043396937400004</v>
      </c>
      <c r="AK84">
        <v>92.963576801499997</v>
      </c>
      <c r="AL84">
        <v>116.18704885699999</v>
      </c>
      <c r="AM84">
        <v>107.69517342499999</v>
      </c>
      <c r="AN84">
        <v>101.800340155</v>
      </c>
      <c r="AO84">
        <v>103.28143281</v>
      </c>
      <c r="AP84">
        <v>98.935966819399994</v>
      </c>
      <c r="AQ84">
        <v>113.612674615</v>
      </c>
      <c r="AR84">
        <v>99.644112938600003</v>
      </c>
      <c r="AS84">
        <v>130.42336487399999</v>
      </c>
      <c r="AT84">
        <v>90.7834530457</v>
      </c>
      <c r="AU84">
        <v>123.45635195</v>
      </c>
      <c r="AV84">
        <v>115.283499283</v>
      </c>
      <c r="AW84">
        <v>110.41987116599999</v>
      </c>
      <c r="AX84">
        <v>97.133505008699998</v>
      </c>
      <c r="AY84">
        <v>86.099216704200003</v>
      </c>
      <c r="AZ84">
        <v>126.48301096100001</v>
      </c>
      <c r="BA84">
        <v>124.36867709000001</v>
      </c>
      <c r="BB84">
        <v>104.11421586900001</v>
      </c>
      <c r="BC84">
        <v>111.457458875</v>
      </c>
      <c r="BD84">
        <v>125.06348815</v>
      </c>
      <c r="BE84">
        <v>95.477455715100007</v>
      </c>
      <c r="BF84">
        <v>82.300209455900003</v>
      </c>
      <c r="BG84">
        <v>89.623855431500004</v>
      </c>
      <c r="BH84">
        <v>118.82568044</v>
      </c>
      <c r="BI84">
        <v>102.07605504</v>
      </c>
      <c r="BJ84">
        <v>113.18241934</v>
      </c>
      <c r="BK84">
        <v>108.508192454</v>
      </c>
      <c r="BL84">
        <v>74.810946186899997</v>
      </c>
      <c r="BM84">
        <v>123.130293841</v>
      </c>
      <c r="BN84">
        <v>115.72463202500001</v>
      </c>
      <c r="BO84">
        <v>89.246868541200001</v>
      </c>
      <c r="BP84">
        <v>77.243964991400006</v>
      </c>
      <c r="BQ84">
        <v>98.9976156468</v>
      </c>
      <c r="BR84">
        <v>118.536232613</v>
      </c>
      <c r="BS84">
        <v>112.664377753</v>
      </c>
      <c r="BT84">
        <v>128.61587252999999</v>
      </c>
      <c r="BU84">
        <v>85.147545585000003</v>
      </c>
      <c r="BV84">
        <v>93.835325211699995</v>
      </c>
      <c r="BW84">
        <v>113.058460999</v>
      </c>
      <c r="BX84">
        <v>73.774111221499993</v>
      </c>
      <c r="BY84">
        <v>82.616163306399997</v>
      </c>
      <c r="BZ84">
        <v>131.95575943599999</v>
      </c>
      <c r="CA84">
        <v>79.513875526899994</v>
      </c>
      <c r="CB84">
        <v>91.118148936400004</v>
      </c>
      <c r="CC84">
        <v>73.599813763300006</v>
      </c>
      <c r="CD84">
        <v>102.873265205</v>
      </c>
      <c r="CE84">
        <v>79.2799682797</v>
      </c>
      <c r="CF84">
        <v>72.554951054300005</v>
      </c>
      <c r="CG84">
        <v>105.80335321</v>
      </c>
      <c r="CH84">
        <v>123.027472292</v>
      </c>
      <c r="CI84">
        <v>89.118281063799998</v>
      </c>
      <c r="CJ84">
        <v>101.060300747</v>
      </c>
      <c r="CK84">
        <v>101.633797347</v>
      </c>
      <c r="CL84">
        <v>88.660540496699994</v>
      </c>
      <c r="CM84">
        <v>85.313393156100005</v>
      </c>
      <c r="CN84">
        <v>101.610167887</v>
      </c>
      <c r="CO84">
        <v>144.85616896299999</v>
      </c>
      <c r="CP84">
        <v>84.953773170000005</v>
      </c>
      <c r="CQ84">
        <v>82.088608020999999</v>
      </c>
      <c r="CR84">
        <v>92.752998175499997</v>
      </c>
      <c r="CS84">
        <v>93.575435580000004</v>
      </c>
      <c r="CT84">
        <v>127.24104542000001</v>
      </c>
      <c r="CU84">
        <v>114.610562878</v>
      </c>
      <c r="CV84">
        <v>82.021406537499999</v>
      </c>
      <c r="CW84">
        <v>106.06553025700001</v>
      </c>
      <c r="CX84">
        <v>126.853063769</v>
      </c>
      <c r="CY84">
        <v>125.27613670700001</v>
      </c>
      <c r="CZ84">
        <v>104.641809104</v>
      </c>
      <c r="DA84">
        <v>117.269524878</v>
      </c>
      <c r="DB84">
        <v>76.173287851699996</v>
      </c>
      <c r="DC84">
        <v>110.849993539</v>
      </c>
      <c r="DD84">
        <v>106.21651070199999</v>
      </c>
      <c r="DE84">
        <v>108.21617683300001</v>
      </c>
      <c r="DF84">
        <v>81.721738587499999</v>
      </c>
      <c r="DG84">
        <v>84.921264581700001</v>
      </c>
      <c r="DH84">
        <v>86.705658738699995</v>
      </c>
    </row>
    <row r="85" spans="1:112" x14ac:dyDescent="0.25">
      <c r="A85" s="8">
        <f t="shared" si="6"/>
        <v>89.68437034046238</v>
      </c>
      <c r="B85" s="9">
        <f>AVERAGE($C$2:C85)</f>
        <v>4.4962965101864825</v>
      </c>
      <c r="C85" s="9">
        <f t="shared" si="7"/>
        <v>4.4050036771064116</v>
      </c>
      <c r="D85" s="6">
        <f>AVERAGE($G$2:G85)</f>
        <v>90.433128598766672</v>
      </c>
      <c r="E85" s="6">
        <f>AVERAGE($H$2:H85)</f>
        <v>90.258744159842863</v>
      </c>
      <c r="F85" s="6">
        <f>AVERAGE($M$2:M85)</f>
        <v>89.841591959895254</v>
      </c>
      <c r="G85" s="6" t="b">
        <f t="shared" si="8"/>
        <v>0</v>
      </c>
      <c r="H85" t="b">
        <f t="shared" si="9"/>
        <v>0</v>
      </c>
      <c r="I85" s="6">
        <f t="shared" si="10"/>
        <v>-0.41715219994760844</v>
      </c>
      <c r="J85" s="6">
        <f t="shared" si="11"/>
        <v>-0.59153663887141761</v>
      </c>
      <c r="K85">
        <v>83</v>
      </c>
      <c r="L85">
        <f>L84+Asian!dt</f>
        <v>0.83000000000000052</v>
      </c>
      <c r="M85">
        <v>81.859443848500007</v>
      </c>
      <c r="N85">
        <v>104.704923912</v>
      </c>
      <c r="O85">
        <v>106.083204517</v>
      </c>
      <c r="P85">
        <v>100.065889169</v>
      </c>
      <c r="Q85">
        <v>64.833253828599993</v>
      </c>
      <c r="R85">
        <v>94.237679715200002</v>
      </c>
      <c r="S85">
        <v>99.889645991400002</v>
      </c>
      <c r="T85">
        <v>86.093975237899997</v>
      </c>
      <c r="U85">
        <v>112.188921853</v>
      </c>
      <c r="V85">
        <v>138.13985538099999</v>
      </c>
      <c r="W85">
        <v>109.084042899</v>
      </c>
      <c r="X85">
        <v>140.963386257</v>
      </c>
      <c r="Y85">
        <v>93.602335295900005</v>
      </c>
      <c r="Z85">
        <v>105.241045195</v>
      </c>
      <c r="AA85">
        <v>99.294198763099999</v>
      </c>
      <c r="AB85">
        <v>106.665023561</v>
      </c>
      <c r="AC85">
        <v>86.497103192400004</v>
      </c>
      <c r="AD85">
        <v>94.513031497100002</v>
      </c>
      <c r="AE85">
        <v>132.48598970099999</v>
      </c>
      <c r="AF85">
        <v>134.65736214699999</v>
      </c>
      <c r="AG85">
        <v>123.49177629499999</v>
      </c>
      <c r="AH85">
        <v>119.12634511100001</v>
      </c>
      <c r="AI85">
        <v>80.699310642699999</v>
      </c>
      <c r="AJ85">
        <v>91.254194947499997</v>
      </c>
      <c r="AK85">
        <v>94.173832924300001</v>
      </c>
      <c r="AL85">
        <v>118.210074425</v>
      </c>
      <c r="AM85">
        <v>106.575784527</v>
      </c>
      <c r="AN85">
        <v>100.037679431</v>
      </c>
      <c r="AO85">
        <v>102.445097795</v>
      </c>
      <c r="AP85">
        <v>99.332588060299997</v>
      </c>
      <c r="AQ85">
        <v>112.61742884900001</v>
      </c>
      <c r="AR85">
        <v>99.750273525300003</v>
      </c>
      <c r="AS85">
        <v>128.26796877199999</v>
      </c>
      <c r="AT85">
        <v>92.907964164299997</v>
      </c>
      <c r="AU85">
        <v>119.17108848700001</v>
      </c>
      <c r="AV85">
        <v>115.92249718399999</v>
      </c>
      <c r="AW85">
        <v>110.183344064</v>
      </c>
      <c r="AX85">
        <v>92.47801389</v>
      </c>
      <c r="AY85">
        <v>87.928199846699997</v>
      </c>
      <c r="AZ85">
        <v>124.942028436</v>
      </c>
      <c r="BA85">
        <v>125.524574102</v>
      </c>
      <c r="BB85">
        <v>105.604641957</v>
      </c>
      <c r="BC85">
        <v>112.773627523</v>
      </c>
      <c r="BD85">
        <v>127.99237130900001</v>
      </c>
      <c r="BE85">
        <v>91.195423151599996</v>
      </c>
      <c r="BF85">
        <v>81.572536391499995</v>
      </c>
      <c r="BG85">
        <v>89.667661853699997</v>
      </c>
      <c r="BH85">
        <v>117.487567446</v>
      </c>
      <c r="BI85">
        <v>103.263491046</v>
      </c>
      <c r="BJ85">
        <v>112.44946854</v>
      </c>
      <c r="BK85">
        <v>109.694925127</v>
      </c>
      <c r="BL85">
        <v>75.027462671099997</v>
      </c>
      <c r="BM85">
        <v>123.896872073</v>
      </c>
      <c r="BN85">
        <v>118.44405464899999</v>
      </c>
      <c r="BO85">
        <v>86.985649354100005</v>
      </c>
      <c r="BP85">
        <v>76.479803929200003</v>
      </c>
      <c r="BQ85">
        <v>99.892125660999994</v>
      </c>
      <c r="BR85">
        <v>115.002798223</v>
      </c>
      <c r="BS85">
        <v>112.26238139500001</v>
      </c>
      <c r="BT85">
        <v>129.44412558400001</v>
      </c>
      <c r="BU85">
        <v>86.2111579444</v>
      </c>
      <c r="BV85">
        <v>95.579221000399997</v>
      </c>
      <c r="BW85">
        <v>116.419225454</v>
      </c>
      <c r="BX85">
        <v>75.563526263400007</v>
      </c>
      <c r="BY85">
        <v>82.282866107900006</v>
      </c>
      <c r="BZ85">
        <v>131.743335575</v>
      </c>
      <c r="CA85">
        <v>79.799040308800002</v>
      </c>
      <c r="CB85">
        <v>89.924821860999998</v>
      </c>
      <c r="CC85">
        <v>74.182949876500004</v>
      </c>
      <c r="CD85">
        <v>102.05605140900001</v>
      </c>
      <c r="CE85">
        <v>79.787118564899998</v>
      </c>
      <c r="CF85">
        <v>73.079703137500005</v>
      </c>
      <c r="CG85">
        <v>105.457005889</v>
      </c>
      <c r="CH85">
        <v>120.858692081</v>
      </c>
      <c r="CI85">
        <v>90.634293934799999</v>
      </c>
      <c r="CJ85">
        <v>100.19388804899999</v>
      </c>
      <c r="CK85">
        <v>100.945716738</v>
      </c>
      <c r="CL85">
        <v>87.484368553400003</v>
      </c>
      <c r="CM85">
        <v>83.356468080900001</v>
      </c>
      <c r="CN85">
        <v>107.850910875</v>
      </c>
      <c r="CO85">
        <v>145.28048663499999</v>
      </c>
      <c r="CP85">
        <v>83.8828428124</v>
      </c>
      <c r="CQ85">
        <v>83.119000229299999</v>
      </c>
      <c r="CR85">
        <v>93.238146722899998</v>
      </c>
      <c r="CS85">
        <v>93.566884641599998</v>
      </c>
      <c r="CT85">
        <v>124.617473824</v>
      </c>
      <c r="CU85">
        <v>116.416782549</v>
      </c>
      <c r="CV85">
        <v>79.326188232899995</v>
      </c>
      <c r="CW85">
        <v>106.289219105</v>
      </c>
      <c r="CX85">
        <v>126.028798366</v>
      </c>
      <c r="CY85">
        <v>128.52727001599999</v>
      </c>
      <c r="CZ85">
        <v>106.494181806</v>
      </c>
      <c r="DA85">
        <v>114.831306549</v>
      </c>
      <c r="DB85">
        <v>78.033960059999998</v>
      </c>
      <c r="DC85">
        <v>109.776850524</v>
      </c>
      <c r="DD85">
        <v>105.626068549</v>
      </c>
      <c r="DE85">
        <v>105.87068652000001</v>
      </c>
      <c r="DF85">
        <v>81.874186487900005</v>
      </c>
      <c r="DG85">
        <v>86.503054525899998</v>
      </c>
      <c r="DH85">
        <v>84.917850729400001</v>
      </c>
    </row>
    <row r="86" spans="1:112" x14ac:dyDescent="0.25">
      <c r="A86" s="8">
        <f t="shared" si="6"/>
        <v>89.5921843408548</v>
      </c>
      <c r="B86" s="9">
        <f>AVERAGE($C$2:C86)</f>
        <v>4.4952680878375979</v>
      </c>
      <c r="C86" s="9">
        <f t="shared" si="7"/>
        <v>4.408880610531301</v>
      </c>
      <c r="D86" s="6">
        <f>AVERAGE($G$2:G86)</f>
        <v>90.433128598766672</v>
      </c>
      <c r="E86" s="6">
        <f>AVERAGE($H$2:H86)</f>
        <v>89.891411400627277</v>
      </c>
      <c r="F86" s="6">
        <f>AVERAGE($M$2:M86)</f>
        <v>89.75142527162707</v>
      </c>
      <c r="G86" s="6" t="b">
        <f t="shared" si="8"/>
        <v>0</v>
      </c>
      <c r="H86">
        <f t="shared" si="9"/>
        <v>82.177423457100005</v>
      </c>
      <c r="I86" s="6">
        <f t="shared" si="10"/>
        <v>-0.13998612900020646</v>
      </c>
      <c r="J86" s="6">
        <f t="shared" si="11"/>
        <v>-0.68170332713960136</v>
      </c>
      <c r="K86">
        <v>84</v>
      </c>
      <c r="L86">
        <f>L85+Asian!dt</f>
        <v>0.84000000000000052</v>
      </c>
      <c r="M86">
        <v>82.177423457100005</v>
      </c>
      <c r="N86">
        <v>104.872781598</v>
      </c>
      <c r="O86">
        <v>105.061673814</v>
      </c>
      <c r="P86">
        <v>101.44631053400001</v>
      </c>
      <c r="Q86">
        <v>64.934549507900002</v>
      </c>
      <c r="R86">
        <v>92.361904672899996</v>
      </c>
      <c r="S86">
        <v>101.594751567</v>
      </c>
      <c r="T86">
        <v>84.103651939399995</v>
      </c>
      <c r="U86">
        <v>113.371280607</v>
      </c>
      <c r="V86">
        <v>137.95620033500001</v>
      </c>
      <c r="W86">
        <v>106.32154976699999</v>
      </c>
      <c r="X86">
        <v>145.90343787399999</v>
      </c>
      <c r="Y86">
        <v>96.816441094499993</v>
      </c>
      <c r="Z86">
        <v>104.177471287</v>
      </c>
      <c r="AA86">
        <v>101.94521354600001</v>
      </c>
      <c r="AB86">
        <v>107.12112593000001</v>
      </c>
      <c r="AC86">
        <v>87.918099174100007</v>
      </c>
      <c r="AD86">
        <v>91.161269502300001</v>
      </c>
      <c r="AE86">
        <v>134.12263036300001</v>
      </c>
      <c r="AF86">
        <v>129.57328739600001</v>
      </c>
      <c r="AG86">
        <v>118.696778912</v>
      </c>
      <c r="AH86">
        <v>117.801597554</v>
      </c>
      <c r="AI86">
        <v>82.212429444199998</v>
      </c>
      <c r="AJ86">
        <v>93.416479189900002</v>
      </c>
      <c r="AK86">
        <v>93.512814121999995</v>
      </c>
      <c r="AL86">
        <v>117.872856403</v>
      </c>
      <c r="AM86">
        <v>104.48499241099999</v>
      </c>
      <c r="AN86">
        <v>103.20844180900001</v>
      </c>
      <c r="AO86">
        <v>105.570122377</v>
      </c>
      <c r="AP86">
        <v>100.32123278100001</v>
      </c>
      <c r="AQ86">
        <v>111.331988266</v>
      </c>
      <c r="AR86">
        <v>98.799353091900002</v>
      </c>
      <c r="AS86">
        <v>129.13106913499999</v>
      </c>
      <c r="AT86">
        <v>94.1445935534</v>
      </c>
      <c r="AU86">
        <v>120.244068998</v>
      </c>
      <c r="AV86">
        <v>117.36875773200001</v>
      </c>
      <c r="AW86">
        <v>108.94390712000001</v>
      </c>
      <c r="AX86">
        <v>91.440081143599997</v>
      </c>
      <c r="AY86">
        <v>89.601200980000002</v>
      </c>
      <c r="AZ86">
        <v>124.903595512</v>
      </c>
      <c r="BA86">
        <v>126.68555107</v>
      </c>
      <c r="BB86">
        <v>104.758860783</v>
      </c>
      <c r="BC86">
        <v>113.475217555</v>
      </c>
      <c r="BD86">
        <v>126.54876022800001</v>
      </c>
      <c r="BE86">
        <v>89.640492526900005</v>
      </c>
      <c r="BF86">
        <v>81.959063452199999</v>
      </c>
      <c r="BG86">
        <v>91.702542961299997</v>
      </c>
      <c r="BH86">
        <v>116.076831583</v>
      </c>
      <c r="BI86">
        <v>106.631458968</v>
      </c>
      <c r="BJ86">
        <v>112.99530401200001</v>
      </c>
      <c r="BK86">
        <v>107.137685189</v>
      </c>
      <c r="BL86">
        <v>74.434225173599998</v>
      </c>
      <c r="BM86">
        <v>126.608834319</v>
      </c>
      <c r="BN86">
        <v>119.4676771</v>
      </c>
      <c r="BO86">
        <v>90.246210390800002</v>
      </c>
      <c r="BP86">
        <v>79.648202650000002</v>
      </c>
      <c r="BQ86">
        <v>100.104307878</v>
      </c>
      <c r="BR86">
        <v>119.22411818800001</v>
      </c>
      <c r="BS86">
        <v>113.82743626600001</v>
      </c>
      <c r="BT86">
        <v>127.257055892</v>
      </c>
      <c r="BU86">
        <v>85.973264375300005</v>
      </c>
      <c r="BV86">
        <v>97.638466012999999</v>
      </c>
      <c r="BW86">
        <v>114.09698895699999</v>
      </c>
      <c r="BX86">
        <v>74.187334391999997</v>
      </c>
      <c r="BY86">
        <v>83.226205322300004</v>
      </c>
      <c r="BZ86">
        <v>134.056183506</v>
      </c>
      <c r="CA86">
        <v>80.540773039800001</v>
      </c>
      <c r="CB86">
        <v>87.638715322899998</v>
      </c>
      <c r="CC86">
        <v>74.907592324600003</v>
      </c>
      <c r="CD86">
        <v>103.734028063</v>
      </c>
      <c r="CE86">
        <v>79.906571649900002</v>
      </c>
      <c r="CF86">
        <v>74.361885695300003</v>
      </c>
      <c r="CG86">
        <v>102.725295491</v>
      </c>
      <c r="CH86">
        <v>121.402211427</v>
      </c>
      <c r="CI86">
        <v>87.489181699599996</v>
      </c>
      <c r="CJ86">
        <v>97.805608461800006</v>
      </c>
      <c r="CK86">
        <v>100.08748342200001</v>
      </c>
      <c r="CL86">
        <v>90.0980961331</v>
      </c>
      <c r="CM86">
        <v>84.236102036800006</v>
      </c>
      <c r="CN86">
        <v>112.099344852</v>
      </c>
      <c r="CO86">
        <v>141.91292585799999</v>
      </c>
      <c r="CP86">
        <v>83.855517002100001</v>
      </c>
      <c r="CQ86">
        <v>81.7973876991</v>
      </c>
      <c r="CR86">
        <v>92.2069927565</v>
      </c>
      <c r="CS86">
        <v>94.572133460800003</v>
      </c>
      <c r="CT86">
        <v>124.61828602</v>
      </c>
      <c r="CU86">
        <v>116.96350581</v>
      </c>
      <c r="CV86">
        <v>77.686096065200005</v>
      </c>
      <c r="CW86">
        <v>109.66360631400001</v>
      </c>
      <c r="CX86">
        <v>125.11586833200001</v>
      </c>
      <c r="CY86">
        <v>130.41359645099999</v>
      </c>
      <c r="CZ86">
        <v>107.595105523</v>
      </c>
      <c r="DA86">
        <v>116.260522374</v>
      </c>
      <c r="DB86">
        <v>77.677047595299996</v>
      </c>
      <c r="DC86">
        <v>109.353564701</v>
      </c>
      <c r="DD86">
        <v>105.943612183</v>
      </c>
      <c r="DE86">
        <v>105.609679302</v>
      </c>
      <c r="DF86">
        <v>81.043035690300002</v>
      </c>
      <c r="DG86">
        <v>85.139548965000003</v>
      </c>
      <c r="DH86">
        <v>85.181791687699999</v>
      </c>
    </row>
    <row r="87" spans="1:112" x14ac:dyDescent="0.25">
      <c r="A87" s="8">
        <f t="shared" si="6"/>
        <v>89.524934576566068</v>
      </c>
      <c r="B87" s="9">
        <f>AVERAGE($C$2:C87)</f>
        <v>4.4945171851002703</v>
      </c>
      <c r="C87" s="9">
        <f t="shared" si="7"/>
        <v>4.4306904524274175</v>
      </c>
      <c r="D87" s="6">
        <f>AVERAGE($G$2:G87)</f>
        <v>90.433128598766672</v>
      </c>
      <c r="E87" s="6">
        <f>AVERAGE($H$2:H87)</f>
        <v>89.891411400627277</v>
      </c>
      <c r="F87" s="6">
        <f>AVERAGE($M$2:M87)</f>
        <v>89.684424833253502</v>
      </c>
      <c r="G87" s="6" t="b">
        <f t="shared" si="8"/>
        <v>0</v>
      </c>
      <c r="H87" t="b">
        <f t="shared" si="9"/>
        <v>0</v>
      </c>
      <c r="I87" s="6">
        <f t="shared" si="10"/>
        <v>-0.20698656737377519</v>
      </c>
      <c r="J87" s="6">
        <f t="shared" si="11"/>
        <v>-0.74870376551317008</v>
      </c>
      <c r="K87">
        <v>85</v>
      </c>
      <c r="L87">
        <f>L86+Asian!dt</f>
        <v>0.85000000000000053</v>
      </c>
      <c r="M87">
        <v>83.989387571500004</v>
      </c>
      <c r="N87">
        <v>104.591812382</v>
      </c>
      <c r="O87">
        <v>106.051069477</v>
      </c>
      <c r="P87">
        <v>101.60346458399999</v>
      </c>
      <c r="Q87">
        <v>63.834289027399997</v>
      </c>
      <c r="R87">
        <v>96.567501384799996</v>
      </c>
      <c r="S87">
        <v>102.295567418</v>
      </c>
      <c r="T87">
        <v>83.468016906599999</v>
      </c>
      <c r="U87">
        <v>114.26832898799999</v>
      </c>
      <c r="V87">
        <v>139.55880852300001</v>
      </c>
      <c r="W87">
        <v>107.618008588</v>
      </c>
      <c r="X87">
        <v>148.39226725099999</v>
      </c>
      <c r="Y87">
        <v>98.871016533299994</v>
      </c>
      <c r="Z87">
        <v>103.199006525</v>
      </c>
      <c r="AA87">
        <v>99.064886284500005</v>
      </c>
      <c r="AB87">
        <v>107.38491464499999</v>
      </c>
      <c r="AC87">
        <v>87.575934921300004</v>
      </c>
      <c r="AD87">
        <v>89.722725338700002</v>
      </c>
      <c r="AE87">
        <v>135.11179476500001</v>
      </c>
      <c r="AF87">
        <v>131.101098541</v>
      </c>
      <c r="AG87">
        <v>118.766225034</v>
      </c>
      <c r="AH87">
        <v>120.83765133199999</v>
      </c>
      <c r="AI87">
        <v>85.372759067199993</v>
      </c>
      <c r="AJ87">
        <v>92.434993928400004</v>
      </c>
      <c r="AK87">
        <v>89.445101484899993</v>
      </c>
      <c r="AL87">
        <v>115.69790186900001</v>
      </c>
      <c r="AM87">
        <v>108.118381652</v>
      </c>
      <c r="AN87">
        <v>102.129756895</v>
      </c>
      <c r="AO87">
        <v>105.03189159</v>
      </c>
      <c r="AP87">
        <v>99.929789172</v>
      </c>
      <c r="AQ87">
        <v>113.468127095</v>
      </c>
      <c r="AR87">
        <v>97.668400179200006</v>
      </c>
      <c r="AS87">
        <v>130.50515334400001</v>
      </c>
      <c r="AT87">
        <v>95.925024375600003</v>
      </c>
      <c r="AU87">
        <v>123.660181518</v>
      </c>
      <c r="AV87">
        <v>118.365914737</v>
      </c>
      <c r="AW87">
        <v>113.062397993</v>
      </c>
      <c r="AX87">
        <v>89.817653164000006</v>
      </c>
      <c r="AY87">
        <v>89.364514290599999</v>
      </c>
      <c r="AZ87">
        <v>124.453513109</v>
      </c>
      <c r="BA87">
        <v>126.440112434</v>
      </c>
      <c r="BB87">
        <v>102.705639271</v>
      </c>
      <c r="BC87">
        <v>108.75790197000001</v>
      </c>
      <c r="BD87">
        <v>127.048202753</v>
      </c>
      <c r="BE87">
        <v>90.476675780299999</v>
      </c>
      <c r="BF87">
        <v>82.533484249200001</v>
      </c>
      <c r="BG87">
        <v>88.264970977600001</v>
      </c>
      <c r="BH87">
        <v>115.639931448</v>
      </c>
      <c r="BI87">
        <v>104.944336251</v>
      </c>
      <c r="BJ87">
        <v>111.49689775</v>
      </c>
      <c r="BK87">
        <v>108.557551082</v>
      </c>
      <c r="BL87">
        <v>76.691457088799993</v>
      </c>
      <c r="BM87">
        <v>123.067747064</v>
      </c>
      <c r="BN87">
        <v>117.36960905700001</v>
      </c>
      <c r="BO87">
        <v>88.1102681534</v>
      </c>
      <c r="BP87">
        <v>81.326795980300005</v>
      </c>
      <c r="BQ87">
        <v>100.018633425</v>
      </c>
      <c r="BR87">
        <v>117.17125394</v>
      </c>
      <c r="BS87">
        <v>114.005864132</v>
      </c>
      <c r="BT87">
        <v>131.20885394800001</v>
      </c>
      <c r="BU87">
        <v>87.412280371899996</v>
      </c>
      <c r="BV87">
        <v>101.715663659</v>
      </c>
      <c r="BW87">
        <v>114.600658536</v>
      </c>
      <c r="BX87">
        <v>71.358795631199996</v>
      </c>
      <c r="BY87">
        <v>79.166466865299995</v>
      </c>
      <c r="BZ87">
        <v>133.58676809299999</v>
      </c>
      <c r="CA87">
        <v>81.694571737399997</v>
      </c>
      <c r="CB87">
        <v>90.6487891397</v>
      </c>
      <c r="CC87">
        <v>73.996551774599993</v>
      </c>
      <c r="CD87">
        <v>101.186024379</v>
      </c>
      <c r="CE87">
        <v>79.525894340799994</v>
      </c>
      <c r="CF87">
        <v>72.393775907800006</v>
      </c>
      <c r="CG87">
        <v>106.40876412599999</v>
      </c>
      <c r="CH87">
        <v>118.926579672</v>
      </c>
      <c r="CI87">
        <v>88.384082007999993</v>
      </c>
      <c r="CJ87">
        <v>98.996696870600005</v>
      </c>
      <c r="CK87">
        <v>97.835962877300005</v>
      </c>
      <c r="CL87">
        <v>86.867591949399994</v>
      </c>
      <c r="CM87">
        <v>87.547507546099993</v>
      </c>
      <c r="CN87">
        <v>110.93287345</v>
      </c>
      <c r="CO87">
        <v>144.21473206100001</v>
      </c>
      <c r="CP87">
        <v>84.695293598299997</v>
      </c>
      <c r="CQ87">
        <v>86.036558025600002</v>
      </c>
      <c r="CR87">
        <v>93.323641711500002</v>
      </c>
      <c r="CS87">
        <v>92.596017764400003</v>
      </c>
      <c r="CT87">
        <v>124.716000761</v>
      </c>
      <c r="CU87">
        <v>115.11455640600001</v>
      </c>
      <c r="CV87">
        <v>79.961672223099995</v>
      </c>
      <c r="CW87">
        <v>108.66792325599999</v>
      </c>
      <c r="CX87">
        <v>123.128232608</v>
      </c>
      <c r="CY87">
        <v>129.82866176499999</v>
      </c>
      <c r="CZ87">
        <v>107.69846439600001</v>
      </c>
      <c r="DA87">
        <v>115.867269691</v>
      </c>
      <c r="DB87">
        <v>76.774640630999997</v>
      </c>
      <c r="DC87">
        <v>108.862137081</v>
      </c>
      <c r="DD87">
        <v>105.060453787</v>
      </c>
      <c r="DE87">
        <v>103.99829714800001</v>
      </c>
      <c r="DF87">
        <v>81.240750148499998</v>
      </c>
      <c r="DG87">
        <v>83.931844858000005</v>
      </c>
      <c r="DH87">
        <v>83.369795831900007</v>
      </c>
    </row>
    <row r="88" spans="1:112" x14ac:dyDescent="0.25">
      <c r="A88" s="8">
        <f t="shared" si="6"/>
        <v>89.404987416360939</v>
      </c>
      <c r="B88" s="9">
        <f>AVERAGE($C$2:C88)</f>
        <v>4.4931764682784392</v>
      </c>
      <c r="C88" s="9">
        <f t="shared" si="7"/>
        <v>4.3778748216009635</v>
      </c>
      <c r="D88" s="6">
        <f>AVERAGE($G$2:G88)</f>
        <v>90.433128598766672</v>
      </c>
      <c r="E88" s="6">
        <f>AVERAGE($H$2:H88)</f>
        <v>89.891411400627277</v>
      </c>
      <c r="F88" s="6">
        <f>AVERAGE($M$2:M88)</f>
        <v>89.569299760491973</v>
      </c>
      <c r="G88" s="6" t="b">
        <f t="shared" si="8"/>
        <v>0</v>
      </c>
      <c r="H88" t="b">
        <f t="shared" si="9"/>
        <v>0</v>
      </c>
      <c r="I88" s="6">
        <f t="shared" si="10"/>
        <v>-0.32211164013530436</v>
      </c>
      <c r="J88" s="6">
        <f t="shared" si="11"/>
        <v>-0.86382883827469925</v>
      </c>
      <c r="K88">
        <v>86</v>
      </c>
      <c r="L88">
        <f>L87+Asian!dt</f>
        <v>0.86000000000000054</v>
      </c>
      <c r="M88">
        <v>79.668543502999995</v>
      </c>
      <c r="N88">
        <v>102.68322548899999</v>
      </c>
      <c r="O88">
        <v>106.79447528599999</v>
      </c>
      <c r="P88">
        <v>99.932446592800005</v>
      </c>
      <c r="Q88">
        <v>63.215775926299997</v>
      </c>
      <c r="R88">
        <v>94.257568300100004</v>
      </c>
      <c r="S88">
        <v>102.435732578</v>
      </c>
      <c r="T88">
        <v>83.934463410700005</v>
      </c>
      <c r="U88">
        <v>113.413808632</v>
      </c>
      <c r="V88">
        <v>142.020958853</v>
      </c>
      <c r="W88">
        <v>106.89788237800001</v>
      </c>
      <c r="X88">
        <v>148.92197284100001</v>
      </c>
      <c r="Y88">
        <v>97.959923812400007</v>
      </c>
      <c r="Z88">
        <v>105.113100147</v>
      </c>
      <c r="AA88">
        <v>99.748396662900007</v>
      </c>
      <c r="AB88">
        <v>106.216584333</v>
      </c>
      <c r="AC88">
        <v>87.871459504300006</v>
      </c>
      <c r="AD88">
        <v>88.959685392500006</v>
      </c>
      <c r="AE88">
        <v>130.68129529999999</v>
      </c>
      <c r="AF88">
        <v>126.736709073</v>
      </c>
      <c r="AG88">
        <v>120.45268632600001</v>
      </c>
      <c r="AH88">
        <v>118.92363574399999</v>
      </c>
      <c r="AI88">
        <v>81.9905163886</v>
      </c>
      <c r="AJ88">
        <v>92.756196246100004</v>
      </c>
      <c r="AK88">
        <v>91.142998163399994</v>
      </c>
      <c r="AL88">
        <v>122.145995129</v>
      </c>
      <c r="AM88">
        <v>104.628192478</v>
      </c>
      <c r="AN88">
        <v>100.64424972099999</v>
      </c>
      <c r="AO88">
        <v>110.354200205</v>
      </c>
      <c r="AP88">
        <v>98.429965110400005</v>
      </c>
      <c r="AQ88">
        <v>116.710770098</v>
      </c>
      <c r="AR88">
        <v>96.055003709900006</v>
      </c>
      <c r="AS88">
        <v>131.99524969500001</v>
      </c>
      <c r="AT88">
        <v>98.0512856279</v>
      </c>
      <c r="AU88">
        <v>123.72009702</v>
      </c>
      <c r="AV88">
        <v>121.663308062</v>
      </c>
      <c r="AW88">
        <v>112.805723841</v>
      </c>
      <c r="AX88">
        <v>89.716209915999997</v>
      </c>
      <c r="AY88">
        <v>89.768828378199998</v>
      </c>
      <c r="AZ88">
        <v>126.196116176</v>
      </c>
      <c r="BA88">
        <v>123.492019791</v>
      </c>
      <c r="BB88">
        <v>102.066231977</v>
      </c>
      <c r="BC88">
        <v>113.10527695099999</v>
      </c>
      <c r="BD88">
        <v>129.270097096</v>
      </c>
      <c r="BE88">
        <v>91.733072915899996</v>
      </c>
      <c r="BF88">
        <v>81.002731291200007</v>
      </c>
      <c r="BG88">
        <v>85.721182750799997</v>
      </c>
      <c r="BH88">
        <v>112.8480823</v>
      </c>
      <c r="BI88">
        <v>108.337749909</v>
      </c>
      <c r="BJ88">
        <v>109.49163265</v>
      </c>
      <c r="BK88">
        <v>107.114432687</v>
      </c>
      <c r="BL88">
        <v>74.819345327600004</v>
      </c>
      <c r="BM88">
        <v>122.89144631800001</v>
      </c>
      <c r="BN88">
        <v>116.467265305</v>
      </c>
      <c r="BO88">
        <v>87.844426680300003</v>
      </c>
      <c r="BP88">
        <v>80.59112949</v>
      </c>
      <c r="BQ88">
        <v>98.968262568699998</v>
      </c>
      <c r="BR88">
        <v>117.534486469</v>
      </c>
      <c r="BS88">
        <v>113.431443208</v>
      </c>
      <c r="BT88">
        <v>134.48222084599999</v>
      </c>
      <c r="BU88">
        <v>88.510571755699999</v>
      </c>
      <c r="BV88">
        <v>103.74863794300001</v>
      </c>
      <c r="BW88">
        <v>120.771380818</v>
      </c>
      <c r="BX88">
        <v>72.515646088799997</v>
      </c>
      <c r="BY88">
        <v>79.358253454999996</v>
      </c>
      <c r="BZ88">
        <v>133.881362919</v>
      </c>
      <c r="CA88">
        <v>82.342649346399995</v>
      </c>
      <c r="CB88">
        <v>92.553902562100006</v>
      </c>
      <c r="CC88">
        <v>71.843232283899994</v>
      </c>
      <c r="CD88">
        <v>99.730459982699998</v>
      </c>
      <c r="CE88">
        <v>82.8383230142</v>
      </c>
      <c r="CF88">
        <v>74.475915235499997</v>
      </c>
      <c r="CG88">
        <v>108.288279432</v>
      </c>
      <c r="CH88">
        <v>115.792658191</v>
      </c>
      <c r="CI88">
        <v>87.0340234815</v>
      </c>
      <c r="CJ88">
        <v>97.077450638900004</v>
      </c>
      <c r="CK88">
        <v>96.519318417400001</v>
      </c>
      <c r="CL88">
        <v>86.873369814900002</v>
      </c>
      <c r="CM88">
        <v>90.439442107900007</v>
      </c>
      <c r="CN88">
        <v>110.439577235</v>
      </c>
      <c r="CO88">
        <v>147.371184387</v>
      </c>
      <c r="CP88">
        <v>85.625650284100004</v>
      </c>
      <c r="CQ88">
        <v>85.372257021500005</v>
      </c>
      <c r="CR88">
        <v>95.340865810400004</v>
      </c>
      <c r="CS88">
        <v>93.300727419699996</v>
      </c>
      <c r="CT88">
        <v>119.866472598</v>
      </c>
      <c r="CU88">
        <v>119.09028696</v>
      </c>
      <c r="CV88">
        <v>79.467754773099998</v>
      </c>
      <c r="CW88">
        <v>111.91790607199999</v>
      </c>
      <c r="CX88">
        <v>125.078310622</v>
      </c>
      <c r="CY88">
        <v>126.95195128</v>
      </c>
      <c r="CZ88">
        <v>111.304718706</v>
      </c>
      <c r="DA88">
        <v>114.436844482</v>
      </c>
      <c r="DB88">
        <v>78.783861637100003</v>
      </c>
      <c r="DC88">
        <v>106.878311031</v>
      </c>
      <c r="DD88">
        <v>107.978166774</v>
      </c>
      <c r="DE88">
        <v>105.337760269</v>
      </c>
      <c r="DF88">
        <v>83.460024048099996</v>
      </c>
      <c r="DG88">
        <v>83.967623570499995</v>
      </c>
      <c r="DH88">
        <v>84.601035420299993</v>
      </c>
    </row>
    <row r="89" spans="1:112" x14ac:dyDescent="0.25">
      <c r="A89" s="8">
        <f t="shared" si="6"/>
        <v>89.295476773097292</v>
      </c>
      <c r="B89" s="9">
        <f>AVERAGE($C$2:C89)</f>
        <v>4.4919508345626111</v>
      </c>
      <c r="C89" s="9">
        <f t="shared" si="7"/>
        <v>4.3853207012855506</v>
      </c>
      <c r="D89" s="6">
        <f>AVERAGE($G$2:G89)</f>
        <v>90.433128598766672</v>
      </c>
      <c r="E89" s="6">
        <f>AVERAGE($H$2:H89)</f>
        <v>89.891411400627277</v>
      </c>
      <c r="F89" s="6">
        <f>AVERAGE($M$2:M89)</f>
        <v>89.463557261405697</v>
      </c>
      <c r="G89" s="6" t="b">
        <f t="shared" si="8"/>
        <v>0</v>
      </c>
      <c r="H89" t="b">
        <f t="shared" si="9"/>
        <v>0</v>
      </c>
      <c r="I89" s="6">
        <f t="shared" si="10"/>
        <v>-0.42785413922158</v>
      </c>
      <c r="J89" s="6">
        <f t="shared" si="11"/>
        <v>-0.96957133736097489</v>
      </c>
      <c r="K89">
        <v>87</v>
      </c>
      <c r="L89">
        <f>L88+Asian!dt</f>
        <v>0.87000000000000055</v>
      </c>
      <c r="M89">
        <v>80.2639598409</v>
      </c>
      <c r="N89">
        <v>105.229456887</v>
      </c>
      <c r="O89">
        <v>106.90917332399999</v>
      </c>
      <c r="P89">
        <v>99.314555718199998</v>
      </c>
      <c r="Q89">
        <v>64.393361944000006</v>
      </c>
      <c r="R89">
        <v>93.391261870199997</v>
      </c>
      <c r="S89">
        <v>105.982644284</v>
      </c>
      <c r="T89">
        <v>84.910267244300002</v>
      </c>
      <c r="U89">
        <v>115.500473787</v>
      </c>
      <c r="V89">
        <v>139.14736754</v>
      </c>
      <c r="W89">
        <v>107.492992368</v>
      </c>
      <c r="X89">
        <v>148.069788429</v>
      </c>
      <c r="Y89">
        <v>95.844590548100001</v>
      </c>
      <c r="Z89">
        <v>104.606459167</v>
      </c>
      <c r="AA89">
        <v>98.969765467399995</v>
      </c>
      <c r="AB89">
        <v>104.634115532</v>
      </c>
      <c r="AC89">
        <v>87.565512783100004</v>
      </c>
      <c r="AD89">
        <v>92.917311169599998</v>
      </c>
      <c r="AE89">
        <v>131.65199883</v>
      </c>
      <c r="AF89">
        <v>122.83927478299999</v>
      </c>
      <c r="AG89">
        <v>121.47731446100001</v>
      </c>
      <c r="AH89">
        <v>120.269995479</v>
      </c>
      <c r="AI89">
        <v>85.998364910600003</v>
      </c>
      <c r="AJ89">
        <v>94.8542011989</v>
      </c>
      <c r="AK89">
        <v>90.112635595499995</v>
      </c>
      <c r="AL89">
        <v>121.99455704499999</v>
      </c>
      <c r="AM89">
        <v>107.146622705</v>
      </c>
      <c r="AN89">
        <v>100.212229584</v>
      </c>
      <c r="AO89">
        <v>110.43936587499999</v>
      </c>
      <c r="AP89">
        <v>96.490139567200004</v>
      </c>
      <c r="AQ89">
        <v>117.43673868099999</v>
      </c>
      <c r="AR89">
        <v>93.033426942800006</v>
      </c>
      <c r="AS89">
        <v>130.77696992200001</v>
      </c>
      <c r="AT89">
        <v>100.017196734</v>
      </c>
      <c r="AU89">
        <v>126.814504512</v>
      </c>
      <c r="AV89">
        <v>122.75217399899999</v>
      </c>
      <c r="AW89">
        <v>114.348571914</v>
      </c>
      <c r="AX89">
        <v>89.675120104300007</v>
      </c>
      <c r="AY89">
        <v>89.183130245200005</v>
      </c>
      <c r="AZ89">
        <v>129.113140101</v>
      </c>
      <c r="BA89">
        <v>122.218787158</v>
      </c>
      <c r="BB89">
        <v>99.842689915600005</v>
      </c>
      <c r="BC89">
        <v>112.521145557</v>
      </c>
      <c r="BD89">
        <v>130.64643788399999</v>
      </c>
      <c r="BE89">
        <v>89.977132349200005</v>
      </c>
      <c r="BF89">
        <v>81.107465594600001</v>
      </c>
      <c r="BG89">
        <v>83.043004306499995</v>
      </c>
      <c r="BH89">
        <v>114.02430307500001</v>
      </c>
      <c r="BI89">
        <v>111.341420114</v>
      </c>
      <c r="BJ89">
        <v>108.464112833</v>
      </c>
      <c r="BK89">
        <v>110.006287606</v>
      </c>
      <c r="BL89">
        <v>77.182125375200002</v>
      </c>
      <c r="BM89">
        <v>119.96205615300001</v>
      </c>
      <c r="BN89">
        <v>116.759481431</v>
      </c>
      <c r="BO89">
        <v>88.803180248700002</v>
      </c>
      <c r="BP89">
        <v>79.638626213899997</v>
      </c>
      <c r="BQ89">
        <v>99.887811300699994</v>
      </c>
      <c r="BR89">
        <v>112.883449091</v>
      </c>
      <c r="BS89">
        <v>116.74009560499999</v>
      </c>
      <c r="BT89">
        <v>134.02069965300001</v>
      </c>
      <c r="BU89">
        <v>88.102587541999995</v>
      </c>
      <c r="BV89">
        <v>103.32444728</v>
      </c>
      <c r="BW89">
        <v>122.248018782</v>
      </c>
      <c r="BX89">
        <v>71.346180643599993</v>
      </c>
      <c r="BY89">
        <v>80.804937414899996</v>
      </c>
      <c r="BZ89">
        <v>133.022316695</v>
      </c>
      <c r="CA89">
        <v>81.304634883800006</v>
      </c>
      <c r="CB89">
        <v>91.450528780499994</v>
      </c>
      <c r="CC89">
        <v>73.8645667941</v>
      </c>
      <c r="CD89">
        <v>100.08338852999999</v>
      </c>
      <c r="CE89">
        <v>83.322310316799999</v>
      </c>
      <c r="CF89">
        <v>73.514281753500001</v>
      </c>
      <c r="CG89">
        <v>107.728411411</v>
      </c>
      <c r="CH89">
        <v>121.404224775</v>
      </c>
      <c r="CI89">
        <v>87.209440527799998</v>
      </c>
      <c r="CJ89">
        <v>94.828609166199996</v>
      </c>
      <c r="CK89">
        <v>94.408162556199997</v>
      </c>
      <c r="CL89">
        <v>88.646632518600001</v>
      </c>
      <c r="CM89">
        <v>90.588032740700001</v>
      </c>
      <c r="CN89">
        <v>107.49881744299999</v>
      </c>
      <c r="CO89">
        <v>150.37078279799999</v>
      </c>
      <c r="CP89">
        <v>87.599286281999994</v>
      </c>
      <c r="CQ89">
        <v>86.996262305499997</v>
      </c>
      <c r="CR89">
        <v>95.796697119100003</v>
      </c>
      <c r="CS89">
        <v>95.727807725100007</v>
      </c>
      <c r="CT89">
        <v>123.490204881</v>
      </c>
      <c r="CU89">
        <v>118.36138259000001</v>
      </c>
      <c r="CV89">
        <v>77.7564952436</v>
      </c>
      <c r="CW89">
        <v>107.7432203</v>
      </c>
      <c r="CX89">
        <v>119.065260896</v>
      </c>
      <c r="CY89">
        <v>125.715203034</v>
      </c>
      <c r="CZ89">
        <v>114.319709477</v>
      </c>
      <c r="DA89">
        <v>118.75057582700001</v>
      </c>
      <c r="DB89">
        <v>77.494656295499993</v>
      </c>
      <c r="DC89">
        <v>102.929314744</v>
      </c>
      <c r="DD89">
        <v>107.456401595</v>
      </c>
      <c r="DE89">
        <v>102.503122639</v>
      </c>
      <c r="DF89">
        <v>83.385946510599993</v>
      </c>
      <c r="DG89">
        <v>81.765043660000003</v>
      </c>
      <c r="DH89">
        <v>84.476575311600001</v>
      </c>
    </row>
    <row r="90" spans="1:112" x14ac:dyDescent="0.25">
      <c r="A90" s="8">
        <f t="shared" si="6"/>
        <v>89.190367944719938</v>
      </c>
      <c r="B90" s="9">
        <f>AVERAGE($C$2:C90)</f>
        <v>4.4907730510729023</v>
      </c>
      <c r="C90" s="9">
        <f t="shared" si="7"/>
        <v>4.3871281039784851</v>
      </c>
      <c r="D90" s="6">
        <f>AVERAGE($G$2:G90)</f>
        <v>90.433128598766672</v>
      </c>
      <c r="E90" s="6">
        <f>AVERAGE($H$2:H90)</f>
        <v>89.479139614356527</v>
      </c>
      <c r="F90" s="6">
        <f>AVERAGE($M$2:M90)</f>
        <v>89.361822464270787</v>
      </c>
      <c r="G90" s="6" t="b">
        <f t="shared" si="8"/>
        <v>0</v>
      </c>
      <c r="H90">
        <f t="shared" si="9"/>
        <v>80.409160316400005</v>
      </c>
      <c r="I90" s="6">
        <f t="shared" si="10"/>
        <v>-0.11731715008573929</v>
      </c>
      <c r="J90" s="6">
        <f t="shared" si="11"/>
        <v>-1.0713061344958845</v>
      </c>
      <c r="K90">
        <v>88</v>
      </c>
      <c r="L90">
        <f>L89+Asian!dt</f>
        <v>0.88000000000000056</v>
      </c>
      <c r="M90">
        <v>80.409160316400005</v>
      </c>
      <c r="N90">
        <v>103.602710938</v>
      </c>
      <c r="O90">
        <v>107.544856177</v>
      </c>
      <c r="P90">
        <v>98.747548058800007</v>
      </c>
      <c r="Q90">
        <v>65.177753125799995</v>
      </c>
      <c r="R90">
        <v>95.783189448399995</v>
      </c>
      <c r="S90">
        <v>105.048293759</v>
      </c>
      <c r="T90">
        <v>86.414308635200001</v>
      </c>
      <c r="U90">
        <v>117.052980143</v>
      </c>
      <c r="V90">
        <v>138.81222566899999</v>
      </c>
      <c r="W90">
        <v>104.575588505</v>
      </c>
      <c r="X90">
        <v>143.73715796900001</v>
      </c>
      <c r="Y90">
        <v>93.260610019300003</v>
      </c>
      <c r="Z90">
        <v>105.21425872099999</v>
      </c>
      <c r="AA90">
        <v>99.418246319199994</v>
      </c>
      <c r="AB90">
        <v>104.537028674</v>
      </c>
      <c r="AC90">
        <v>88.200934126999996</v>
      </c>
      <c r="AD90">
        <v>94.819323656099996</v>
      </c>
      <c r="AE90">
        <v>131.09623207300001</v>
      </c>
      <c r="AF90">
        <v>126.740377231</v>
      </c>
      <c r="AG90">
        <v>123.69874835</v>
      </c>
      <c r="AH90">
        <v>121.497273455</v>
      </c>
      <c r="AI90">
        <v>83.304542185599999</v>
      </c>
      <c r="AJ90">
        <v>93.477384091100006</v>
      </c>
      <c r="AK90">
        <v>87.746082798700002</v>
      </c>
      <c r="AL90">
        <v>122.185201918</v>
      </c>
      <c r="AM90">
        <v>105.668492731</v>
      </c>
      <c r="AN90">
        <v>101.18645633</v>
      </c>
      <c r="AO90">
        <v>112.245594698</v>
      </c>
      <c r="AP90">
        <v>96.194973027299994</v>
      </c>
      <c r="AQ90">
        <v>114.97571751</v>
      </c>
      <c r="AR90">
        <v>92.722835655200001</v>
      </c>
      <c r="AS90">
        <v>127.03035610400001</v>
      </c>
      <c r="AT90">
        <v>101.697793096</v>
      </c>
      <c r="AU90">
        <v>131.03647416300001</v>
      </c>
      <c r="AV90">
        <v>122.125383242</v>
      </c>
      <c r="AW90">
        <v>117.329470915</v>
      </c>
      <c r="AX90">
        <v>88.924842777999999</v>
      </c>
      <c r="AY90">
        <v>88.703112965000003</v>
      </c>
      <c r="AZ90">
        <v>129.879948109</v>
      </c>
      <c r="BA90">
        <v>121.68975901</v>
      </c>
      <c r="BB90">
        <v>100.76386099</v>
      </c>
      <c r="BC90">
        <v>110.35114786600001</v>
      </c>
      <c r="BD90">
        <v>128.50911112399999</v>
      </c>
      <c r="BE90">
        <v>91.669172075600002</v>
      </c>
      <c r="BF90">
        <v>82.380447287600006</v>
      </c>
      <c r="BG90">
        <v>80.615449114399993</v>
      </c>
      <c r="BH90">
        <v>114.225141153</v>
      </c>
      <c r="BI90">
        <v>111.885453536</v>
      </c>
      <c r="BJ90">
        <v>108.23585527100001</v>
      </c>
      <c r="BK90">
        <v>108.345339452</v>
      </c>
      <c r="BL90">
        <v>75.459719189899999</v>
      </c>
      <c r="BM90">
        <v>119.779279403</v>
      </c>
      <c r="BN90">
        <v>119.485012856</v>
      </c>
      <c r="BO90">
        <v>88.773791270100006</v>
      </c>
      <c r="BP90">
        <v>76.333703049500002</v>
      </c>
      <c r="BQ90">
        <v>101.467074341</v>
      </c>
      <c r="BR90">
        <v>114.385833856</v>
      </c>
      <c r="BS90">
        <v>118.932566839</v>
      </c>
      <c r="BT90">
        <v>132.60707971599999</v>
      </c>
      <c r="BU90">
        <v>86.608324699700006</v>
      </c>
      <c r="BV90">
        <v>101.968166389</v>
      </c>
      <c r="BW90">
        <v>123.204227393</v>
      </c>
      <c r="BX90">
        <v>70.9692999281</v>
      </c>
      <c r="BY90">
        <v>79.884947547600007</v>
      </c>
      <c r="BZ90">
        <v>134.61443029200001</v>
      </c>
      <c r="CA90">
        <v>81.682924394599993</v>
      </c>
      <c r="CB90">
        <v>89.127335866300001</v>
      </c>
      <c r="CC90">
        <v>73.430942962200007</v>
      </c>
      <c r="CD90">
        <v>103.904440065</v>
      </c>
      <c r="CE90">
        <v>82.774104453099994</v>
      </c>
      <c r="CF90">
        <v>71.574120014000002</v>
      </c>
      <c r="CG90">
        <v>107.42852711099999</v>
      </c>
      <c r="CH90">
        <v>122.058405642</v>
      </c>
      <c r="CI90">
        <v>86.203395473900002</v>
      </c>
      <c r="CJ90">
        <v>92.025015010000004</v>
      </c>
      <c r="CK90">
        <v>95.695256123700005</v>
      </c>
      <c r="CL90">
        <v>87.000014739500003</v>
      </c>
      <c r="CM90">
        <v>92.287255694699994</v>
      </c>
      <c r="CN90">
        <v>109.393756823</v>
      </c>
      <c r="CO90">
        <v>148.62602329200001</v>
      </c>
      <c r="CP90">
        <v>87.841047257499994</v>
      </c>
      <c r="CQ90">
        <v>85.893800172300004</v>
      </c>
      <c r="CR90">
        <v>93.267009488300005</v>
      </c>
      <c r="CS90">
        <v>95.071435144700004</v>
      </c>
      <c r="CT90">
        <v>122.790371859</v>
      </c>
      <c r="CU90">
        <v>122.509055428</v>
      </c>
      <c r="CV90">
        <v>80.357883317800002</v>
      </c>
      <c r="CW90">
        <v>108.594516824</v>
      </c>
      <c r="CX90">
        <v>117.137367273</v>
      </c>
      <c r="CY90">
        <v>125.591831048</v>
      </c>
      <c r="CZ90">
        <v>116.234359056</v>
      </c>
      <c r="DA90">
        <v>112.97042307700001</v>
      </c>
      <c r="DB90">
        <v>79.328537482300007</v>
      </c>
      <c r="DC90">
        <v>103.463218783</v>
      </c>
      <c r="DD90">
        <v>109.291874038</v>
      </c>
      <c r="DE90">
        <v>103.241627584</v>
      </c>
      <c r="DF90">
        <v>80.463727987799999</v>
      </c>
      <c r="DG90">
        <v>83.0526496807</v>
      </c>
      <c r="DH90">
        <v>83.727900280699998</v>
      </c>
    </row>
    <row r="91" spans="1:112" x14ac:dyDescent="0.25">
      <c r="A91" s="8">
        <f t="shared" si="6"/>
        <v>89.055218330438862</v>
      </c>
      <c r="B91" s="9">
        <f>AVERAGE($C$2:C91)</f>
        <v>4.4892566080236858</v>
      </c>
      <c r="C91" s="9">
        <f t="shared" si="7"/>
        <v>4.354293176643429</v>
      </c>
      <c r="D91" s="6">
        <f>AVERAGE($G$2:G91)</f>
        <v>90.433128598766672</v>
      </c>
      <c r="E91" s="6">
        <f>AVERAGE($H$2:H91)</f>
        <v>89.479139614356527</v>
      </c>
      <c r="F91" s="6">
        <f>AVERAGE($M$2:M91)</f>
        <v>89.233488955695563</v>
      </c>
      <c r="G91" s="6" t="b">
        <f t="shared" si="8"/>
        <v>0</v>
      </c>
      <c r="H91" t="b">
        <f t="shared" si="9"/>
        <v>0</v>
      </c>
      <c r="I91" s="6">
        <f t="shared" si="10"/>
        <v>-0.24565065866096347</v>
      </c>
      <c r="J91" s="6">
        <f t="shared" si="11"/>
        <v>-1.1996396430711087</v>
      </c>
      <c r="K91">
        <v>89</v>
      </c>
      <c r="L91">
        <f>L90+Asian!dt</f>
        <v>0.89000000000000057</v>
      </c>
      <c r="M91">
        <v>77.811806692499999</v>
      </c>
      <c r="N91">
        <v>101.20582342599999</v>
      </c>
      <c r="O91">
        <v>106.70833166</v>
      </c>
      <c r="P91">
        <v>97.074080631499996</v>
      </c>
      <c r="Q91">
        <v>66.1991743114</v>
      </c>
      <c r="R91">
        <v>95.502941677300001</v>
      </c>
      <c r="S91">
        <v>104.82859798699999</v>
      </c>
      <c r="T91">
        <v>87.688748092599994</v>
      </c>
      <c r="U91">
        <v>120.94380894299999</v>
      </c>
      <c r="V91">
        <v>136.35883380499999</v>
      </c>
      <c r="W91">
        <v>106.895220361</v>
      </c>
      <c r="X91">
        <v>142.012299243</v>
      </c>
      <c r="Y91">
        <v>93.753489278000004</v>
      </c>
      <c r="Z91">
        <v>104.81238054799999</v>
      </c>
      <c r="AA91">
        <v>97.860883981900002</v>
      </c>
      <c r="AB91">
        <v>108.028578913</v>
      </c>
      <c r="AC91">
        <v>88.792436944200006</v>
      </c>
      <c r="AD91">
        <v>93.036628975100001</v>
      </c>
      <c r="AE91">
        <v>134.377778119</v>
      </c>
      <c r="AF91">
        <v>127.42803939700001</v>
      </c>
      <c r="AG91">
        <v>124.10653894399999</v>
      </c>
      <c r="AH91">
        <v>121.521525268</v>
      </c>
      <c r="AI91">
        <v>81.121114169500004</v>
      </c>
      <c r="AJ91">
        <v>91.437598686599998</v>
      </c>
      <c r="AK91">
        <v>86.707707877100006</v>
      </c>
      <c r="AL91">
        <v>121.181637108</v>
      </c>
      <c r="AM91">
        <v>100.98230114499999</v>
      </c>
      <c r="AN91">
        <v>100.94301053</v>
      </c>
      <c r="AO91">
        <v>110.547713448</v>
      </c>
      <c r="AP91">
        <v>100.09156996999999</v>
      </c>
      <c r="AQ91">
        <v>114.889094159</v>
      </c>
      <c r="AR91">
        <v>93.812713531399993</v>
      </c>
      <c r="AS91">
        <v>127.79280743699999</v>
      </c>
      <c r="AT91">
        <v>102.584435834</v>
      </c>
      <c r="AU91">
        <v>130.901405178</v>
      </c>
      <c r="AV91">
        <v>125.67370870400001</v>
      </c>
      <c r="AW91">
        <v>119.116683877</v>
      </c>
      <c r="AX91">
        <v>91.629206052200004</v>
      </c>
      <c r="AY91">
        <v>88.440732329599996</v>
      </c>
      <c r="AZ91">
        <v>133.33013637600001</v>
      </c>
      <c r="BA91">
        <v>121.045882343</v>
      </c>
      <c r="BB91">
        <v>99.440701719499998</v>
      </c>
      <c r="BC91">
        <v>112.82315181</v>
      </c>
      <c r="BD91">
        <v>128.36527039399999</v>
      </c>
      <c r="BE91">
        <v>92.621007250199995</v>
      </c>
      <c r="BF91">
        <v>83.0996456524</v>
      </c>
      <c r="BG91">
        <v>80.166969684700007</v>
      </c>
      <c r="BH91">
        <v>117.98781387299999</v>
      </c>
      <c r="BI91">
        <v>113.539471588</v>
      </c>
      <c r="BJ91">
        <v>107.573698769</v>
      </c>
      <c r="BK91">
        <v>103.922996544</v>
      </c>
      <c r="BL91">
        <v>78.021860158600006</v>
      </c>
      <c r="BM91">
        <v>118.215013126</v>
      </c>
      <c r="BN91">
        <v>119.59943419699999</v>
      </c>
      <c r="BO91">
        <v>87.758185160500005</v>
      </c>
      <c r="BP91">
        <v>75.968765527299993</v>
      </c>
      <c r="BQ91">
        <v>101.19347123</v>
      </c>
      <c r="BR91">
        <v>114.65974088</v>
      </c>
      <c r="BS91">
        <v>117.50216646299999</v>
      </c>
      <c r="BT91">
        <v>126.628368354</v>
      </c>
      <c r="BU91">
        <v>85.806696186899998</v>
      </c>
      <c r="BV91">
        <v>103.472048328</v>
      </c>
      <c r="BW91">
        <v>121.798894598</v>
      </c>
      <c r="BX91">
        <v>72.132126761600006</v>
      </c>
      <c r="BY91">
        <v>80.421518691499998</v>
      </c>
      <c r="BZ91">
        <v>136.97440263799999</v>
      </c>
      <c r="CA91">
        <v>83.642042645700002</v>
      </c>
      <c r="CB91">
        <v>91.055610403399996</v>
      </c>
      <c r="CC91">
        <v>73.868455574799995</v>
      </c>
      <c r="CD91">
        <v>103.273941237</v>
      </c>
      <c r="CE91">
        <v>83.510649681000004</v>
      </c>
      <c r="CF91">
        <v>73.803752399800004</v>
      </c>
      <c r="CG91">
        <v>107.26277844400001</v>
      </c>
      <c r="CH91">
        <v>123.104991427</v>
      </c>
      <c r="CI91">
        <v>88.422361903699993</v>
      </c>
      <c r="CJ91">
        <v>91.814396987799995</v>
      </c>
      <c r="CK91">
        <v>93.989444522100001</v>
      </c>
      <c r="CL91">
        <v>87.365724083999993</v>
      </c>
      <c r="CM91">
        <v>90.959475458300005</v>
      </c>
      <c r="CN91">
        <v>109.90537013300001</v>
      </c>
      <c r="CO91">
        <v>148.421190749</v>
      </c>
      <c r="CP91">
        <v>85.982807056699997</v>
      </c>
      <c r="CQ91">
        <v>86.671653843200005</v>
      </c>
      <c r="CR91">
        <v>96.333185018600005</v>
      </c>
      <c r="CS91">
        <v>93.154881411900007</v>
      </c>
      <c r="CT91">
        <v>127.526330585</v>
      </c>
      <c r="CU91">
        <v>120.860677126</v>
      </c>
      <c r="CV91">
        <v>80.347193001299999</v>
      </c>
      <c r="CW91">
        <v>105.327586735</v>
      </c>
      <c r="CX91">
        <v>119.740337328</v>
      </c>
      <c r="CY91">
        <v>124.47711826299999</v>
      </c>
      <c r="CZ91">
        <v>114.223265763</v>
      </c>
      <c r="DA91">
        <v>108.254345349</v>
      </c>
      <c r="DB91">
        <v>79.599889205899999</v>
      </c>
      <c r="DC91">
        <v>104.907992443</v>
      </c>
      <c r="DD91">
        <v>107.562769137</v>
      </c>
      <c r="DE91">
        <v>106.14489773</v>
      </c>
      <c r="DF91">
        <v>81.266467396099998</v>
      </c>
      <c r="DG91">
        <v>81.8903650134</v>
      </c>
      <c r="DH91">
        <v>84.457707554799995</v>
      </c>
    </row>
    <row r="92" spans="1:112" x14ac:dyDescent="0.25">
      <c r="A92" s="8">
        <f t="shared" si="6"/>
        <v>88.880900793372504</v>
      </c>
      <c r="B92" s="9">
        <f>AVERAGE($C$2:C92)</f>
        <v>4.487297280218951</v>
      </c>
      <c r="C92" s="9">
        <f t="shared" si="7"/>
        <v>4.3109577777928436</v>
      </c>
      <c r="D92" s="6">
        <f>AVERAGE($G$2:G92)</f>
        <v>88.840997793089997</v>
      </c>
      <c r="E92" s="6">
        <f>AVERAGE($H$2:H92)</f>
        <v>89.479139614356527</v>
      </c>
      <c r="F92" s="6">
        <f>AVERAGE($M$2:M92)</f>
        <v>89.071712379720893</v>
      </c>
      <c r="G92" s="6">
        <f t="shared" si="8"/>
        <v>74.511820541999995</v>
      </c>
      <c r="H92" t="b">
        <f t="shared" si="9"/>
        <v>0</v>
      </c>
      <c r="I92" s="6">
        <f t="shared" si="10"/>
        <v>-0.40742723463563379</v>
      </c>
      <c r="J92" s="6">
        <f t="shared" si="11"/>
        <v>0.23071458663089572</v>
      </c>
      <c r="K92">
        <v>90</v>
      </c>
      <c r="L92">
        <f>L91+Asian!dt</f>
        <v>0.90000000000000058</v>
      </c>
      <c r="M92">
        <v>74.511820541999995</v>
      </c>
      <c r="N92">
        <v>102.97292540700001</v>
      </c>
      <c r="O92">
        <v>106.9111358</v>
      </c>
      <c r="P92">
        <v>95.0216432295</v>
      </c>
      <c r="Q92">
        <v>66.329349925599999</v>
      </c>
      <c r="R92">
        <v>96.224021358800002</v>
      </c>
      <c r="S92">
        <v>100.77507284000001</v>
      </c>
      <c r="T92">
        <v>89.655467012200006</v>
      </c>
      <c r="U92">
        <v>120.09503043799999</v>
      </c>
      <c r="V92">
        <v>138.95171949799999</v>
      </c>
      <c r="W92">
        <v>108.14432574600001</v>
      </c>
      <c r="X92">
        <v>136.43734196700001</v>
      </c>
      <c r="Y92">
        <v>90.198484181699996</v>
      </c>
      <c r="Z92">
        <v>102.460736525</v>
      </c>
      <c r="AA92">
        <v>96.390853387700005</v>
      </c>
      <c r="AB92">
        <v>104.735457931</v>
      </c>
      <c r="AC92">
        <v>87.528593691300003</v>
      </c>
      <c r="AD92">
        <v>94.725486801900004</v>
      </c>
      <c r="AE92">
        <v>133.66862456800001</v>
      </c>
      <c r="AF92">
        <v>133.33012891999999</v>
      </c>
      <c r="AG92">
        <v>123.30142936999999</v>
      </c>
      <c r="AH92">
        <v>119.76117050800001</v>
      </c>
      <c r="AI92">
        <v>81.141078019399998</v>
      </c>
      <c r="AJ92">
        <v>92.563017559399995</v>
      </c>
      <c r="AK92">
        <v>87.344484224599995</v>
      </c>
      <c r="AL92">
        <v>118.841861256</v>
      </c>
      <c r="AM92">
        <v>101.52072344299999</v>
      </c>
      <c r="AN92">
        <v>100.740429777</v>
      </c>
      <c r="AO92">
        <v>112.69239877</v>
      </c>
      <c r="AP92">
        <v>100.07333373199999</v>
      </c>
      <c r="AQ92">
        <v>115.585990581</v>
      </c>
      <c r="AR92">
        <v>95.501830348499993</v>
      </c>
      <c r="AS92">
        <v>124.425813003</v>
      </c>
      <c r="AT92">
        <v>101.89460911</v>
      </c>
      <c r="AU92">
        <v>131.15932362000001</v>
      </c>
      <c r="AV92">
        <v>123.768548557</v>
      </c>
      <c r="AW92">
        <v>116.109040607</v>
      </c>
      <c r="AX92">
        <v>91.363424319499998</v>
      </c>
      <c r="AY92">
        <v>89.474741525900001</v>
      </c>
      <c r="AZ92">
        <v>135.01645898999999</v>
      </c>
      <c r="BA92">
        <v>120.487240884</v>
      </c>
      <c r="BB92">
        <v>100.56784567299999</v>
      </c>
      <c r="BC92">
        <v>115.424876611</v>
      </c>
      <c r="BD92">
        <v>126.553787802</v>
      </c>
      <c r="BE92">
        <v>93.665381761600003</v>
      </c>
      <c r="BF92">
        <v>81.051070850000002</v>
      </c>
      <c r="BG92">
        <v>79.269981619500001</v>
      </c>
      <c r="BH92">
        <v>119.215867325</v>
      </c>
      <c r="BI92">
        <v>113.220681642</v>
      </c>
      <c r="BJ92">
        <v>104.048279712</v>
      </c>
      <c r="BK92">
        <v>102.13228890400001</v>
      </c>
      <c r="BL92">
        <v>80.098245224699994</v>
      </c>
      <c r="BM92">
        <v>115.38833478399999</v>
      </c>
      <c r="BN92">
        <v>117.72022844999999</v>
      </c>
      <c r="BO92">
        <v>88.926712595599994</v>
      </c>
      <c r="BP92">
        <v>76.1126529987</v>
      </c>
      <c r="BQ92">
        <v>101.789909603</v>
      </c>
      <c r="BR92">
        <v>118.88261837500001</v>
      </c>
      <c r="BS92">
        <v>118.461769815</v>
      </c>
      <c r="BT92">
        <v>129.71017664300001</v>
      </c>
      <c r="BU92">
        <v>87.434838235900003</v>
      </c>
      <c r="BV92">
        <v>108.26479590300001</v>
      </c>
      <c r="BW92">
        <v>119.401132514</v>
      </c>
      <c r="BX92">
        <v>72.936799166399993</v>
      </c>
      <c r="BY92">
        <v>80.047538605400007</v>
      </c>
      <c r="BZ92">
        <v>137.92360394799999</v>
      </c>
      <c r="CA92">
        <v>83.575808517400006</v>
      </c>
      <c r="CB92">
        <v>88.285269118900004</v>
      </c>
      <c r="CC92">
        <v>75.9436970454</v>
      </c>
      <c r="CD92">
        <v>101.731680082</v>
      </c>
      <c r="CE92">
        <v>81.3897105522</v>
      </c>
      <c r="CF92">
        <v>75.242976563699997</v>
      </c>
      <c r="CG92">
        <v>108.01829101600001</v>
      </c>
      <c r="CH92">
        <v>124.116647353</v>
      </c>
      <c r="CI92">
        <v>86.500407091100001</v>
      </c>
      <c r="CJ92">
        <v>92.337263367700004</v>
      </c>
      <c r="CK92">
        <v>89.289660161900002</v>
      </c>
      <c r="CL92">
        <v>88.158263728600005</v>
      </c>
      <c r="CM92">
        <v>88.806740470999998</v>
      </c>
      <c r="CN92">
        <v>105.46778083700001</v>
      </c>
      <c r="CO92">
        <v>149.71531773500001</v>
      </c>
      <c r="CP92">
        <v>86.3173362486</v>
      </c>
      <c r="CQ92">
        <v>88.811751591100005</v>
      </c>
      <c r="CR92">
        <v>96.536440626399994</v>
      </c>
      <c r="CS92">
        <v>93.195060583499995</v>
      </c>
      <c r="CT92">
        <v>127.41086180800001</v>
      </c>
      <c r="CU92">
        <v>117.52716962300001</v>
      </c>
      <c r="CV92">
        <v>80.1860980493</v>
      </c>
      <c r="CW92">
        <v>102.883243753</v>
      </c>
      <c r="CX92">
        <v>122.60007591999999</v>
      </c>
      <c r="CY92">
        <v>122.241163821</v>
      </c>
      <c r="CZ92">
        <v>119.423870167</v>
      </c>
      <c r="DA92">
        <v>106.302000494</v>
      </c>
      <c r="DB92">
        <v>80.025796966800002</v>
      </c>
      <c r="DC92">
        <v>108.54517131999999</v>
      </c>
      <c r="DD92">
        <v>107.52731959</v>
      </c>
      <c r="DE92">
        <v>103.25140221700001</v>
      </c>
      <c r="DF92">
        <v>81.650550154300007</v>
      </c>
      <c r="DG92">
        <v>84.302907097900004</v>
      </c>
      <c r="DH92">
        <v>83.825003421999995</v>
      </c>
    </row>
    <row r="93" spans="1:112" x14ac:dyDescent="0.25">
      <c r="A93" s="8">
        <f t="shared" si="6"/>
        <v>88.706759074255203</v>
      </c>
      <c r="B93" s="9">
        <f>AVERAGE($C$2:C93)</f>
        <v>4.4853360879259334</v>
      </c>
      <c r="C93" s="9">
        <f t="shared" si="7"/>
        <v>4.3068675892613335</v>
      </c>
      <c r="D93" s="6">
        <f>AVERAGE($G$2:G93)</f>
        <v>88.840997793089997</v>
      </c>
      <c r="E93" s="6">
        <f>AVERAGE($H$2:H93)</f>
        <v>89.479139614356527</v>
      </c>
      <c r="F93" s="6">
        <f>AVERAGE($M$2:M93)</f>
        <v>88.91014676230327</v>
      </c>
      <c r="G93" s="6" t="b">
        <f t="shared" si="8"/>
        <v>0</v>
      </c>
      <c r="H93" t="b">
        <f t="shared" si="9"/>
        <v>0</v>
      </c>
      <c r="I93" s="6">
        <f t="shared" si="10"/>
        <v>-0.56899285205325612</v>
      </c>
      <c r="J93" s="6">
        <f t="shared" si="11"/>
        <v>6.9148969213273404E-2</v>
      </c>
      <c r="K93">
        <v>91</v>
      </c>
      <c r="L93">
        <f>L92+Asian!dt</f>
        <v>0.91000000000000059</v>
      </c>
      <c r="M93">
        <v>74.207675577299995</v>
      </c>
      <c r="N93">
        <v>102.21585463300001</v>
      </c>
      <c r="O93">
        <v>109.00230652</v>
      </c>
      <c r="P93">
        <v>94.025172641200001</v>
      </c>
      <c r="Q93">
        <v>67.7747119836</v>
      </c>
      <c r="R93">
        <v>94.875374958099997</v>
      </c>
      <c r="S93">
        <v>101.56464933399999</v>
      </c>
      <c r="T93">
        <v>91.687668925799997</v>
      </c>
      <c r="U93">
        <v>120.094286612</v>
      </c>
      <c r="V93">
        <v>140.39245005999999</v>
      </c>
      <c r="W93">
        <v>106.83837391599999</v>
      </c>
      <c r="X93">
        <v>133.79558760200001</v>
      </c>
      <c r="Y93">
        <v>91.356099306000004</v>
      </c>
      <c r="Z93">
        <v>101.120462899</v>
      </c>
      <c r="AA93">
        <v>99.078528049200003</v>
      </c>
      <c r="AB93">
        <v>104.178094096</v>
      </c>
      <c r="AC93">
        <v>88.356042074499996</v>
      </c>
      <c r="AD93">
        <v>93.904123575400007</v>
      </c>
      <c r="AE93">
        <v>130.83730881599999</v>
      </c>
      <c r="AF93">
        <v>132.46007309500001</v>
      </c>
      <c r="AG93">
        <v>123.38280330000001</v>
      </c>
      <c r="AH93">
        <v>120.32368560099999</v>
      </c>
      <c r="AI93">
        <v>80.096128745300007</v>
      </c>
      <c r="AJ93">
        <v>90.363226055499993</v>
      </c>
      <c r="AK93">
        <v>85.954748408200004</v>
      </c>
      <c r="AL93">
        <v>115.30715229899999</v>
      </c>
      <c r="AM93">
        <v>102.728990043</v>
      </c>
      <c r="AN93">
        <v>97.232489982000004</v>
      </c>
      <c r="AO93">
        <v>113.757883272</v>
      </c>
      <c r="AP93">
        <v>96.191659829900004</v>
      </c>
      <c r="AQ93">
        <v>115.15118167999999</v>
      </c>
      <c r="AR93">
        <v>94.200412411399995</v>
      </c>
      <c r="AS93">
        <v>120.806717088</v>
      </c>
      <c r="AT93">
        <v>105.65013643499999</v>
      </c>
      <c r="AU93">
        <v>130.40904460799999</v>
      </c>
      <c r="AV93">
        <v>126.66557803000001</v>
      </c>
      <c r="AW93">
        <v>113.49323876</v>
      </c>
      <c r="AX93">
        <v>88.868620349500006</v>
      </c>
      <c r="AY93">
        <v>86.3887999863</v>
      </c>
      <c r="AZ93">
        <v>138.621735304</v>
      </c>
      <c r="BA93">
        <v>121.92551638099999</v>
      </c>
      <c r="BB93">
        <v>103.064544145</v>
      </c>
      <c r="BC93">
        <v>113.251467734</v>
      </c>
      <c r="BD93">
        <v>125.375598838</v>
      </c>
      <c r="BE93">
        <v>93.772301489100002</v>
      </c>
      <c r="BF93">
        <v>81.819478766000003</v>
      </c>
      <c r="BG93">
        <v>78.621313884399996</v>
      </c>
      <c r="BH93">
        <v>120.121798482</v>
      </c>
      <c r="BI93">
        <v>109.725680111</v>
      </c>
      <c r="BJ93">
        <v>106.000305493</v>
      </c>
      <c r="BK93">
        <v>104.549271643</v>
      </c>
      <c r="BL93">
        <v>80.346370053699999</v>
      </c>
      <c r="BM93">
        <v>116.676635404</v>
      </c>
      <c r="BN93">
        <v>117.259515001</v>
      </c>
      <c r="BO93">
        <v>90.692346615899993</v>
      </c>
      <c r="BP93">
        <v>75.172715388599997</v>
      </c>
      <c r="BQ93">
        <v>100.797818756</v>
      </c>
      <c r="BR93">
        <v>115.424153683</v>
      </c>
      <c r="BS93">
        <v>123.22797904399999</v>
      </c>
      <c r="BT93">
        <v>132.133173704</v>
      </c>
      <c r="BU93">
        <v>85.520227938199994</v>
      </c>
      <c r="BV93">
        <v>109.16612586399999</v>
      </c>
      <c r="BW93">
        <v>124.6776691</v>
      </c>
      <c r="BX93">
        <v>72.978979726700004</v>
      </c>
      <c r="BY93">
        <v>79.161454063999997</v>
      </c>
      <c r="BZ93">
        <v>138.59400203800001</v>
      </c>
      <c r="CA93">
        <v>85.642551997200002</v>
      </c>
      <c r="CB93">
        <v>86.777041971800003</v>
      </c>
      <c r="CC93">
        <v>76.288124795800002</v>
      </c>
      <c r="CD93">
        <v>103.754578825</v>
      </c>
      <c r="CE93">
        <v>78.4983248761</v>
      </c>
      <c r="CF93">
        <v>75.472448788600005</v>
      </c>
      <c r="CG93">
        <v>108.466130104</v>
      </c>
      <c r="CH93">
        <v>116.006293641</v>
      </c>
      <c r="CI93">
        <v>87.490286787599999</v>
      </c>
      <c r="CJ93">
        <v>93.679533989399999</v>
      </c>
      <c r="CK93">
        <v>88.769854809700007</v>
      </c>
      <c r="CL93">
        <v>85.594612388900003</v>
      </c>
      <c r="CM93">
        <v>90.216896370800001</v>
      </c>
      <c r="CN93">
        <v>105.535583515</v>
      </c>
      <c r="CO93">
        <v>153.55880358799999</v>
      </c>
      <c r="CP93">
        <v>88.1448829343</v>
      </c>
      <c r="CQ93">
        <v>88.135877835200006</v>
      </c>
      <c r="CR93">
        <v>98.170531848699994</v>
      </c>
      <c r="CS93">
        <v>94.275079982700007</v>
      </c>
      <c r="CT93">
        <v>125.867580933</v>
      </c>
      <c r="CU93">
        <v>116.04466415500001</v>
      </c>
      <c r="CV93">
        <v>82.317946200899996</v>
      </c>
      <c r="CW93">
        <v>102.60163174</v>
      </c>
      <c r="CX93">
        <v>120.722015394</v>
      </c>
      <c r="CY93">
        <v>120.51529259900001</v>
      </c>
      <c r="CZ93">
        <v>117.788839044</v>
      </c>
      <c r="DA93">
        <v>103.63806596000001</v>
      </c>
      <c r="DB93">
        <v>79.470098433000004</v>
      </c>
      <c r="DC93">
        <v>109.98741213300001</v>
      </c>
      <c r="DD93">
        <v>108.981950528</v>
      </c>
      <c r="DE93">
        <v>98.295094724799995</v>
      </c>
      <c r="DF93">
        <v>81.688578272000001</v>
      </c>
      <c r="DG93">
        <v>83.159737686400007</v>
      </c>
      <c r="DH93">
        <v>82.650895973700003</v>
      </c>
    </row>
    <row r="94" spans="1:112" x14ac:dyDescent="0.25">
      <c r="A94" s="8">
        <f t="shared" si="6"/>
        <v>88.54923530228821</v>
      </c>
      <c r="B94" s="9">
        <f>AVERAGE($C$2:C94)</f>
        <v>4.4835587284184113</v>
      </c>
      <c r="C94" s="9">
        <f t="shared" si="7"/>
        <v>4.3200416537263653</v>
      </c>
      <c r="D94" s="6">
        <f>AVERAGE($G$2:G94)</f>
        <v>88.840997793089997</v>
      </c>
      <c r="E94" s="6">
        <f>AVERAGE($H$2:H94)</f>
        <v>88.883832140583351</v>
      </c>
      <c r="F94" s="6">
        <f>AVERAGE($M$2:M94)</f>
        <v>88.762637229846234</v>
      </c>
      <c r="G94" s="6" t="b">
        <f t="shared" si="8"/>
        <v>0</v>
      </c>
      <c r="H94">
        <f t="shared" si="9"/>
        <v>75.191760243800005</v>
      </c>
      <c r="I94" s="6">
        <f t="shared" si="10"/>
        <v>-0.12119491073711686</v>
      </c>
      <c r="J94" s="6">
        <f t="shared" si="11"/>
        <v>-7.8360563243762726E-2</v>
      </c>
      <c r="K94">
        <v>92</v>
      </c>
      <c r="L94">
        <f>L93+Asian!dt</f>
        <v>0.9200000000000006</v>
      </c>
      <c r="M94">
        <v>75.191760243800005</v>
      </c>
      <c r="N94">
        <v>99.644311506400001</v>
      </c>
      <c r="O94">
        <v>107.488982467</v>
      </c>
      <c r="P94">
        <v>91.119383286599998</v>
      </c>
      <c r="Q94">
        <v>68.9938039317</v>
      </c>
      <c r="R94">
        <v>95.373097893500002</v>
      </c>
      <c r="S94">
        <v>98.1131579993</v>
      </c>
      <c r="T94">
        <v>92.627585091100002</v>
      </c>
      <c r="U94">
        <v>116.981862306</v>
      </c>
      <c r="V94">
        <v>138.976934175</v>
      </c>
      <c r="W94">
        <v>106.245036353</v>
      </c>
      <c r="X94">
        <v>133.45292936800001</v>
      </c>
      <c r="Y94">
        <v>88.482587472800006</v>
      </c>
      <c r="Z94">
        <v>98.527682744200007</v>
      </c>
      <c r="AA94">
        <v>101.73723366</v>
      </c>
      <c r="AB94">
        <v>102.400434029</v>
      </c>
      <c r="AC94">
        <v>89.088868423099996</v>
      </c>
      <c r="AD94">
        <v>93.870809268599999</v>
      </c>
      <c r="AE94">
        <v>127.092156606</v>
      </c>
      <c r="AF94">
        <v>131.17812552199999</v>
      </c>
      <c r="AG94">
        <v>124.79937775099999</v>
      </c>
      <c r="AH94">
        <v>124.886989313</v>
      </c>
      <c r="AI94">
        <v>78.594309538000005</v>
      </c>
      <c r="AJ94">
        <v>92.030141006299999</v>
      </c>
      <c r="AK94">
        <v>86.313648382300002</v>
      </c>
      <c r="AL94">
        <v>114.823266555</v>
      </c>
      <c r="AM94">
        <v>103.458955425</v>
      </c>
      <c r="AN94">
        <v>96.173923342999998</v>
      </c>
      <c r="AO94">
        <v>112.69052870199999</v>
      </c>
      <c r="AP94">
        <v>96.332669921199994</v>
      </c>
      <c r="AQ94">
        <v>114.34742489600001</v>
      </c>
      <c r="AR94">
        <v>95.985454448900001</v>
      </c>
      <c r="AS94">
        <v>120.079851229</v>
      </c>
      <c r="AT94">
        <v>103.803099527</v>
      </c>
      <c r="AU94">
        <v>134.87806583</v>
      </c>
      <c r="AV94">
        <v>126.740549753</v>
      </c>
      <c r="AW94">
        <v>114.719097379</v>
      </c>
      <c r="AX94">
        <v>89.028795011</v>
      </c>
      <c r="AY94">
        <v>85.537762915299993</v>
      </c>
      <c r="AZ94">
        <v>137.27290322499999</v>
      </c>
      <c r="BA94">
        <v>123.673065444</v>
      </c>
      <c r="BB94">
        <v>105.997274116</v>
      </c>
      <c r="BC94">
        <v>116.604967847</v>
      </c>
      <c r="BD94">
        <v>123.832381355</v>
      </c>
      <c r="BE94">
        <v>94.781918040999997</v>
      </c>
      <c r="BF94">
        <v>82.849527952700001</v>
      </c>
      <c r="BG94">
        <v>80.229580857800002</v>
      </c>
      <c r="BH94">
        <v>116.37941562899999</v>
      </c>
      <c r="BI94">
        <v>107.265941934</v>
      </c>
      <c r="BJ94">
        <v>106.577940037</v>
      </c>
      <c r="BK94">
        <v>107.19925053599999</v>
      </c>
      <c r="BL94">
        <v>77.407314614699999</v>
      </c>
      <c r="BM94">
        <v>119.83381558400001</v>
      </c>
      <c r="BN94">
        <v>117.20864113499999</v>
      </c>
      <c r="BO94">
        <v>89.5404172792</v>
      </c>
      <c r="BP94">
        <v>76.6798662283</v>
      </c>
      <c r="BQ94">
        <v>96.899490839500004</v>
      </c>
      <c r="BR94">
        <v>116.493375765</v>
      </c>
      <c r="BS94">
        <v>125.865501584</v>
      </c>
      <c r="BT94">
        <v>133.716522277</v>
      </c>
      <c r="BU94">
        <v>84.488165080599998</v>
      </c>
      <c r="BV94">
        <v>108.456956011</v>
      </c>
      <c r="BW94">
        <v>128.33590358199999</v>
      </c>
      <c r="BX94">
        <v>71.537588624999998</v>
      </c>
      <c r="BY94">
        <v>78.633612464699993</v>
      </c>
      <c r="BZ94">
        <v>140.02689858599999</v>
      </c>
      <c r="CA94">
        <v>86.7874381301</v>
      </c>
      <c r="CB94">
        <v>87.169415908299996</v>
      </c>
      <c r="CC94">
        <v>74.798586610399994</v>
      </c>
      <c r="CD94">
        <v>105.589881331</v>
      </c>
      <c r="CE94">
        <v>78.369361331799993</v>
      </c>
      <c r="CF94">
        <v>77.822982405100007</v>
      </c>
      <c r="CG94">
        <v>106.268108376</v>
      </c>
      <c r="CH94">
        <v>117.454603252</v>
      </c>
      <c r="CI94">
        <v>86.559779031399998</v>
      </c>
      <c r="CJ94">
        <v>92.701184537800003</v>
      </c>
      <c r="CK94">
        <v>91.139939571200003</v>
      </c>
      <c r="CL94">
        <v>86.335524586399998</v>
      </c>
      <c r="CM94">
        <v>89.282910080999997</v>
      </c>
      <c r="CN94">
        <v>106.67285699200001</v>
      </c>
      <c r="CO94">
        <v>146.800605284</v>
      </c>
      <c r="CP94">
        <v>86.414861589899999</v>
      </c>
      <c r="CQ94">
        <v>86.914361881600001</v>
      </c>
      <c r="CR94">
        <v>99.170795689800002</v>
      </c>
      <c r="CS94">
        <v>93.664535555800001</v>
      </c>
      <c r="CT94">
        <v>125.806131069</v>
      </c>
      <c r="CU94">
        <v>118.286363181</v>
      </c>
      <c r="CV94">
        <v>82.325603385600004</v>
      </c>
      <c r="CW94">
        <v>101.464901219</v>
      </c>
      <c r="CX94">
        <v>116.808780312</v>
      </c>
      <c r="CY94">
        <v>118.133049484</v>
      </c>
      <c r="CZ94">
        <v>119.943554394</v>
      </c>
      <c r="DA94">
        <v>103.47193944</v>
      </c>
      <c r="DB94">
        <v>79.660231081700005</v>
      </c>
      <c r="DC94">
        <v>106.913416646</v>
      </c>
      <c r="DD94">
        <v>105.50920264299999</v>
      </c>
      <c r="DE94">
        <v>98.530680241699997</v>
      </c>
      <c r="DF94">
        <v>79.771895148499993</v>
      </c>
      <c r="DG94">
        <v>83.002545905100007</v>
      </c>
      <c r="DH94">
        <v>80.481269050999998</v>
      </c>
    </row>
    <row r="95" spans="1:112" x14ac:dyDescent="0.25">
      <c r="A95" s="8">
        <f t="shared" si="6"/>
        <v>88.391755584573474</v>
      </c>
      <c r="B95" s="9">
        <f>AVERAGE($C$2:C95)</f>
        <v>4.4817787026764222</v>
      </c>
      <c r="C95" s="9">
        <f t="shared" si="7"/>
        <v>4.3162363086714315</v>
      </c>
      <c r="D95" s="6">
        <f>AVERAGE($G$2:G95)</f>
        <v>88.840997793089997</v>
      </c>
      <c r="E95" s="6">
        <f>AVERAGE($H$2:H95)</f>
        <v>88.883832140583351</v>
      </c>
      <c r="F95" s="6">
        <f>AVERAGE($M$2:M95)</f>
        <v>88.615228039887228</v>
      </c>
      <c r="G95" s="6" t="b">
        <f t="shared" si="8"/>
        <v>0</v>
      </c>
      <c r="H95" t="b">
        <f t="shared" si="9"/>
        <v>0</v>
      </c>
      <c r="I95" s="6">
        <f t="shared" si="10"/>
        <v>-0.26860410069612328</v>
      </c>
      <c r="J95" s="6">
        <f t="shared" si="11"/>
        <v>-0.22576975320276915</v>
      </c>
      <c r="K95">
        <v>93</v>
      </c>
      <c r="L95">
        <f>L94+Asian!dt</f>
        <v>0.9300000000000006</v>
      </c>
      <c r="M95">
        <v>74.9061733737</v>
      </c>
      <c r="N95">
        <v>102.328091543</v>
      </c>
      <c r="O95">
        <v>105.508069029</v>
      </c>
      <c r="P95">
        <v>90.402817331199998</v>
      </c>
      <c r="Q95">
        <v>67.409587991500004</v>
      </c>
      <c r="R95">
        <v>97.223186685100004</v>
      </c>
      <c r="S95">
        <v>96.544412078999997</v>
      </c>
      <c r="T95">
        <v>92.748598075700002</v>
      </c>
      <c r="U95">
        <v>115.21014291100001</v>
      </c>
      <c r="V95">
        <v>135.46539149899999</v>
      </c>
      <c r="W95">
        <v>105.71454522400001</v>
      </c>
      <c r="X95">
        <v>130.72379274400001</v>
      </c>
      <c r="Y95">
        <v>88.649561493999997</v>
      </c>
      <c r="Z95">
        <v>98.905084438299994</v>
      </c>
      <c r="AA95">
        <v>98.888507819400004</v>
      </c>
      <c r="AB95">
        <v>103.123565691</v>
      </c>
      <c r="AC95">
        <v>91.511298101999998</v>
      </c>
      <c r="AD95">
        <v>94.364627930200001</v>
      </c>
      <c r="AE95">
        <v>126.80495671</v>
      </c>
      <c r="AF95">
        <v>129.082086946</v>
      </c>
      <c r="AG95">
        <v>124.783774388</v>
      </c>
      <c r="AH95">
        <v>119.13325416399999</v>
      </c>
      <c r="AI95">
        <v>80.335254214900004</v>
      </c>
      <c r="AJ95">
        <v>91.690446615100001</v>
      </c>
      <c r="AK95">
        <v>87.029701694400003</v>
      </c>
      <c r="AL95">
        <v>116.95369631600001</v>
      </c>
      <c r="AM95">
        <v>102.564426098</v>
      </c>
      <c r="AN95">
        <v>94.498656310100003</v>
      </c>
      <c r="AO95">
        <v>115.142915113</v>
      </c>
      <c r="AP95">
        <v>94.333126574700003</v>
      </c>
      <c r="AQ95">
        <v>112.16072953299999</v>
      </c>
      <c r="AR95">
        <v>97.700266437300002</v>
      </c>
      <c r="AS95">
        <v>119.22835867400001</v>
      </c>
      <c r="AT95">
        <v>102.812562473</v>
      </c>
      <c r="AU95">
        <v>135.07290893999999</v>
      </c>
      <c r="AV95">
        <v>123.117932322</v>
      </c>
      <c r="AW95">
        <v>114.772304276</v>
      </c>
      <c r="AX95">
        <v>89.858059449600006</v>
      </c>
      <c r="AY95">
        <v>87.127385089000001</v>
      </c>
      <c r="AZ95">
        <v>134.61213026499999</v>
      </c>
      <c r="BA95">
        <v>123.615251128</v>
      </c>
      <c r="BB95">
        <v>108.407624696</v>
      </c>
      <c r="BC95">
        <v>112.869234597</v>
      </c>
      <c r="BD95">
        <v>122.60077259099999</v>
      </c>
      <c r="BE95">
        <v>91.719439050199995</v>
      </c>
      <c r="BF95">
        <v>82.207899835099994</v>
      </c>
      <c r="BG95">
        <v>78.720283162399994</v>
      </c>
      <c r="BH95">
        <v>113.863938629</v>
      </c>
      <c r="BI95">
        <v>105.228527951</v>
      </c>
      <c r="BJ95">
        <v>104.31445668000001</v>
      </c>
      <c r="BK95">
        <v>110.278030887</v>
      </c>
      <c r="BL95">
        <v>77.398672855000001</v>
      </c>
      <c r="BM95">
        <v>116.622124246</v>
      </c>
      <c r="BN95">
        <v>117.07525772699999</v>
      </c>
      <c r="BO95">
        <v>91.073498780600005</v>
      </c>
      <c r="BP95">
        <v>77.699755312899995</v>
      </c>
      <c r="BQ95">
        <v>96.5742000101</v>
      </c>
      <c r="BR95">
        <v>117.840759293</v>
      </c>
      <c r="BS95">
        <v>126.91605825800001</v>
      </c>
      <c r="BT95">
        <v>132.232798997</v>
      </c>
      <c r="BU95">
        <v>87.505412134599993</v>
      </c>
      <c r="BV95">
        <v>109.659835254</v>
      </c>
      <c r="BW95">
        <v>123.561748205</v>
      </c>
      <c r="BX95">
        <v>72.700837320199994</v>
      </c>
      <c r="BY95">
        <v>78.819668421800003</v>
      </c>
      <c r="BZ95">
        <v>144.51213098700001</v>
      </c>
      <c r="CA95">
        <v>87.494993585900005</v>
      </c>
      <c r="CB95">
        <v>85.527684515299995</v>
      </c>
      <c r="CC95">
        <v>74.421075722099999</v>
      </c>
      <c r="CD95">
        <v>109.241351485</v>
      </c>
      <c r="CE95">
        <v>78.211327251599997</v>
      </c>
      <c r="CF95">
        <v>76.711748712499997</v>
      </c>
      <c r="CG95">
        <v>107.256207594</v>
      </c>
      <c r="CH95">
        <v>117.00913642899999</v>
      </c>
      <c r="CI95">
        <v>84.914267740400007</v>
      </c>
      <c r="CJ95">
        <v>92.239093674700001</v>
      </c>
      <c r="CK95">
        <v>92.076793330300006</v>
      </c>
      <c r="CL95">
        <v>83.111461096499994</v>
      </c>
      <c r="CM95">
        <v>89.404825779500001</v>
      </c>
      <c r="CN95">
        <v>102.866991513</v>
      </c>
      <c r="CO95">
        <v>146.774270769</v>
      </c>
      <c r="CP95">
        <v>84.041235736800004</v>
      </c>
      <c r="CQ95">
        <v>89.741930179099995</v>
      </c>
      <c r="CR95">
        <v>101.007632802</v>
      </c>
      <c r="CS95">
        <v>95.018961934800004</v>
      </c>
      <c r="CT95">
        <v>124.61629379599999</v>
      </c>
      <c r="CU95">
        <v>120.693212246</v>
      </c>
      <c r="CV95">
        <v>79.123397939399993</v>
      </c>
      <c r="CW95">
        <v>104.862142799</v>
      </c>
      <c r="CX95">
        <v>116.736282196</v>
      </c>
      <c r="CY95">
        <v>113.46062087999999</v>
      </c>
      <c r="CZ95">
        <v>120.115108354</v>
      </c>
      <c r="DA95">
        <v>100.862748435</v>
      </c>
      <c r="DB95">
        <v>79.1255613127</v>
      </c>
      <c r="DC95">
        <v>106.683049694</v>
      </c>
      <c r="DD95">
        <v>103.45676941399999</v>
      </c>
      <c r="DE95">
        <v>101.335314293</v>
      </c>
      <c r="DF95">
        <v>78.562083985900003</v>
      </c>
      <c r="DG95">
        <v>84.433412668900004</v>
      </c>
      <c r="DH95">
        <v>80.155047155800005</v>
      </c>
    </row>
    <row r="96" spans="1:112" x14ac:dyDescent="0.25">
      <c r="A96" s="8">
        <f t="shared" si="6"/>
        <v>88.238652720682637</v>
      </c>
      <c r="B96" s="9">
        <f>AVERAGE($C$2:C96)</f>
        <v>4.4800451064773998</v>
      </c>
      <c r="C96" s="9">
        <f t="shared" si="7"/>
        <v>4.3170870637692689</v>
      </c>
      <c r="D96" s="6">
        <f>AVERAGE($G$2:G96)</f>
        <v>88.840997793089997</v>
      </c>
      <c r="E96" s="6">
        <f>AVERAGE($H$2:H96)</f>
        <v>88.883832140583351</v>
      </c>
      <c r="F96" s="6">
        <f>AVERAGE($M$2:M96)</f>
        <v>88.471593295237895</v>
      </c>
      <c r="G96" s="6" t="b">
        <f t="shared" si="8"/>
        <v>0</v>
      </c>
      <c r="H96" t="b">
        <f t="shared" si="9"/>
        <v>0</v>
      </c>
      <c r="I96" s="6">
        <f t="shared" si="10"/>
        <v>-0.41223884534545618</v>
      </c>
      <c r="J96" s="6">
        <f t="shared" si="11"/>
        <v>-0.36940449785210205</v>
      </c>
      <c r="K96">
        <v>94</v>
      </c>
      <c r="L96">
        <f>L95+Asian!dt</f>
        <v>0.94000000000000061</v>
      </c>
      <c r="M96">
        <v>74.969927298200005</v>
      </c>
      <c r="N96">
        <v>100.966622336</v>
      </c>
      <c r="O96">
        <v>105.384050065</v>
      </c>
      <c r="P96">
        <v>87.188820891500001</v>
      </c>
      <c r="Q96">
        <v>66.824565918000005</v>
      </c>
      <c r="R96">
        <v>96.635929805499998</v>
      </c>
      <c r="S96">
        <v>98.188464016599994</v>
      </c>
      <c r="T96">
        <v>91.922665398800007</v>
      </c>
      <c r="U96">
        <v>116.887197556</v>
      </c>
      <c r="V96">
        <v>138.38963461399999</v>
      </c>
      <c r="W96">
        <v>102.12677451499999</v>
      </c>
      <c r="X96">
        <v>133.76132023400001</v>
      </c>
      <c r="Y96">
        <v>87.0730111819</v>
      </c>
      <c r="Z96">
        <v>98.674819735100002</v>
      </c>
      <c r="AA96">
        <v>94.970312602999996</v>
      </c>
      <c r="AB96">
        <v>104.84438528299999</v>
      </c>
      <c r="AC96">
        <v>92.261537006200001</v>
      </c>
      <c r="AD96">
        <v>94.392786354500004</v>
      </c>
      <c r="AE96">
        <v>124.616914826</v>
      </c>
      <c r="AF96">
        <v>127.494060176</v>
      </c>
      <c r="AG96">
        <v>121.011154292</v>
      </c>
      <c r="AH96">
        <v>115.399195432</v>
      </c>
      <c r="AI96">
        <v>79.535637768499996</v>
      </c>
      <c r="AJ96">
        <v>91.720774573400007</v>
      </c>
      <c r="AK96">
        <v>91.1187630501</v>
      </c>
      <c r="AL96">
        <v>118.197944749</v>
      </c>
      <c r="AM96">
        <v>106.06765185499999</v>
      </c>
      <c r="AN96">
        <v>95.553664940299996</v>
      </c>
      <c r="AO96">
        <v>111.23408906100001</v>
      </c>
      <c r="AP96">
        <v>98.482205829400002</v>
      </c>
      <c r="AQ96">
        <v>110.795522162</v>
      </c>
      <c r="AR96">
        <v>98.811058143400004</v>
      </c>
      <c r="AS96">
        <v>120.56110431899999</v>
      </c>
      <c r="AT96">
        <v>103.52671592900001</v>
      </c>
      <c r="AU96">
        <v>132.70689240300001</v>
      </c>
      <c r="AV96">
        <v>121.02251004599999</v>
      </c>
      <c r="AW96">
        <v>115.783710191</v>
      </c>
      <c r="AX96">
        <v>87.351091871799994</v>
      </c>
      <c r="AY96">
        <v>87.633275572499997</v>
      </c>
      <c r="AZ96">
        <v>139.90512157699999</v>
      </c>
      <c r="BA96">
        <v>124.472806905</v>
      </c>
      <c r="BB96">
        <v>105.46142989499999</v>
      </c>
      <c r="BC96">
        <v>109.45535388899999</v>
      </c>
      <c r="BD96">
        <v>125.277813974</v>
      </c>
      <c r="BE96">
        <v>91.613761283499997</v>
      </c>
      <c r="BF96">
        <v>83.182950990799995</v>
      </c>
      <c r="BG96">
        <v>80.747546106100003</v>
      </c>
      <c r="BH96">
        <v>115.64514553399999</v>
      </c>
      <c r="BI96">
        <v>109.146205368</v>
      </c>
      <c r="BJ96">
        <v>106.986643001</v>
      </c>
      <c r="BK96">
        <v>111.000891631</v>
      </c>
      <c r="BL96">
        <v>78.733585794899994</v>
      </c>
      <c r="BM96">
        <v>113.643995731</v>
      </c>
      <c r="BN96">
        <v>119.953090637</v>
      </c>
      <c r="BO96">
        <v>89.809563390099996</v>
      </c>
      <c r="BP96">
        <v>79.604858317500003</v>
      </c>
      <c r="BQ96">
        <v>96.537254987599994</v>
      </c>
      <c r="BR96">
        <v>116.074099871</v>
      </c>
      <c r="BS96">
        <v>127.346054635</v>
      </c>
      <c r="BT96">
        <v>132.804644755</v>
      </c>
      <c r="BU96">
        <v>86.500057974399994</v>
      </c>
      <c r="BV96">
        <v>108.327605713</v>
      </c>
      <c r="BW96">
        <v>123.70846180300001</v>
      </c>
      <c r="BX96">
        <v>72.966370169200005</v>
      </c>
      <c r="BY96">
        <v>80.706673147399997</v>
      </c>
      <c r="BZ96">
        <v>145.64385147199999</v>
      </c>
      <c r="CA96">
        <v>87.144959150099993</v>
      </c>
      <c r="CB96">
        <v>86.324303535499993</v>
      </c>
      <c r="CC96">
        <v>75.394263112900006</v>
      </c>
      <c r="CD96">
        <v>108.743552466</v>
      </c>
      <c r="CE96">
        <v>77.410194535000002</v>
      </c>
      <c r="CF96">
        <v>74.650489911899996</v>
      </c>
      <c r="CG96">
        <v>109.59188938200001</v>
      </c>
      <c r="CH96">
        <v>116.937649389</v>
      </c>
      <c r="CI96">
        <v>85.100393542700004</v>
      </c>
      <c r="CJ96">
        <v>94.839746359399996</v>
      </c>
      <c r="CK96">
        <v>90.914741943899998</v>
      </c>
      <c r="CL96">
        <v>85.127538879499994</v>
      </c>
      <c r="CM96">
        <v>89.025142202799998</v>
      </c>
      <c r="CN96">
        <v>105.646839152</v>
      </c>
      <c r="CO96">
        <v>147.209662635</v>
      </c>
      <c r="CP96">
        <v>82.417548874199994</v>
      </c>
      <c r="CQ96">
        <v>89.462703387399998</v>
      </c>
      <c r="CR96">
        <v>103.586829357</v>
      </c>
      <c r="CS96">
        <v>93.316119306199994</v>
      </c>
      <c r="CT96">
        <v>125.09749805</v>
      </c>
      <c r="CU96">
        <v>122.495317503</v>
      </c>
      <c r="CV96">
        <v>79.552097790800005</v>
      </c>
      <c r="CW96">
        <v>107.243087292</v>
      </c>
      <c r="CX96">
        <v>118.02340860299999</v>
      </c>
      <c r="CY96">
        <v>110.31459833</v>
      </c>
      <c r="CZ96">
        <v>116.17354745</v>
      </c>
      <c r="DA96">
        <v>97.944879883699997</v>
      </c>
      <c r="DB96">
        <v>79.480208964400006</v>
      </c>
      <c r="DC96">
        <v>107.91187705999999</v>
      </c>
      <c r="DD96">
        <v>104.22010526</v>
      </c>
      <c r="DE96">
        <v>103.71079318</v>
      </c>
      <c r="DF96">
        <v>80.504903797200001</v>
      </c>
      <c r="DG96">
        <v>84.219630723799995</v>
      </c>
      <c r="DH96">
        <v>79.486472649700005</v>
      </c>
    </row>
    <row r="97" spans="1:112" x14ac:dyDescent="0.25">
      <c r="A97" s="8">
        <f t="shared" si="6"/>
        <v>88.079272118562869</v>
      </c>
      <c r="B97" s="9">
        <f>AVERAGE($C$2:C97)</f>
        <v>4.4782372285129179</v>
      </c>
      <c r="C97" s="9">
        <f t="shared" si="7"/>
        <v>4.3064888218871884</v>
      </c>
      <c r="D97" s="6">
        <f>AVERAGE($G$2:G97)</f>
        <v>88.840997793089997</v>
      </c>
      <c r="E97" s="6">
        <f>AVERAGE($H$2:H97)</f>
        <v>88.883832140583351</v>
      </c>
      <c r="F97" s="6">
        <f>AVERAGE($M$2:M97)</f>
        <v>88.322718088551042</v>
      </c>
      <c r="G97" s="6" t="b">
        <f t="shared" si="8"/>
        <v>0</v>
      </c>
      <c r="H97" t="b">
        <f t="shared" si="9"/>
        <v>0</v>
      </c>
      <c r="I97" s="6">
        <f t="shared" si="10"/>
        <v>-0.56111405203230902</v>
      </c>
      <c r="J97" s="6">
        <f t="shared" si="11"/>
        <v>-0.51827970453895489</v>
      </c>
      <c r="K97">
        <v>95</v>
      </c>
      <c r="L97">
        <f>L96+Asian!dt</f>
        <v>0.95000000000000062</v>
      </c>
      <c r="M97">
        <v>74.179573453299994</v>
      </c>
      <c r="N97">
        <v>103.477448082</v>
      </c>
      <c r="O97">
        <v>102.13059176599999</v>
      </c>
      <c r="P97">
        <v>88.720702148300006</v>
      </c>
      <c r="Q97">
        <v>67.429324320500001</v>
      </c>
      <c r="R97">
        <v>97.025583982100002</v>
      </c>
      <c r="S97">
        <v>99.367726573699997</v>
      </c>
      <c r="T97">
        <v>91.446667223600002</v>
      </c>
      <c r="U97">
        <v>116.82966543800001</v>
      </c>
      <c r="V97">
        <v>138.33544661600001</v>
      </c>
      <c r="W97">
        <v>100.81897303300001</v>
      </c>
      <c r="X97">
        <v>133.034924386</v>
      </c>
      <c r="Y97">
        <v>91.2586097696</v>
      </c>
      <c r="Z97">
        <v>97.855101405699997</v>
      </c>
      <c r="AA97">
        <v>97.821580486200006</v>
      </c>
      <c r="AB97">
        <v>102.205550968</v>
      </c>
      <c r="AC97">
        <v>95.142531966799993</v>
      </c>
      <c r="AD97">
        <v>93.991406608999995</v>
      </c>
      <c r="AE97">
        <v>125.923022606</v>
      </c>
      <c r="AF97">
        <v>128.53806386100001</v>
      </c>
      <c r="AG97">
        <v>120.105199416</v>
      </c>
      <c r="AH97">
        <v>113.60449570999999</v>
      </c>
      <c r="AI97">
        <v>79.514788532200001</v>
      </c>
      <c r="AJ97">
        <v>92.965425478100002</v>
      </c>
      <c r="AK97">
        <v>89.458850755499995</v>
      </c>
      <c r="AL97">
        <v>117.413712898</v>
      </c>
      <c r="AM97">
        <v>105.860585203</v>
      </c>
      <c r="AN97">
        <v>96.630406781800005</v>
      </c>
      <c r="AO97">
        <v>112.368118303</v>
      </c>
      <c r="AP97">
        <v>94.927734899300006</v>
      </c>
      <c r="AQ97">
        <v>111.33287496</v>
      </c>
      <c r="AR97">
        <v>94.940442281299994</v>
      </c>
      <c r="AS97">
        <v>118.99591553899999</v>
      </c>
      <c r="AT97">
        <v>102.654463987</v>
      </c>
      <c r="AU97">
        <v>131.447169973</v>
      </c>
      <c r="AV97">
        <v>118.977822614</v>
      </c>
      <c r="AW97">
        <v>114.424181557</v>
      </c>
      <c r="AX97">
        <v>87.205197683400002</v>
      </c>
      <c r="AY97">
        <v>88.527295822900001</v>
      </c>
      <c r="AZ97">
        <v>134.05191807099999</v>
      </c>
      <c r="BA97">
        <v>126.26756554799999</v>
      </c>
      <c r="BB97">
        <v>104.77273054299999</v>
      </c>
      <c r="BC97">
        <v>110.773973564</v>
      </c>
      <c r="BD97">
        <v>124.45269728300001</v>
      </c>
      <c r="BE97">
        <v>94.789112994000007</v>
      </c>
      <c r="BF97">
        <v>83.831729508400002</v>
      </c>
      <c r="BG97">
        <v>78.309642397000005</v>
      </c>
      <c r="BH97">
        <v>115.591379176</v>
      </c>
      <c r="BI97">
        <v>110.584292706</v>
      </c>
      <c r="BJ97">
        <v>104.441869638</v>
      </c>
      <c r="BK97">
        <v>108.68727473200001</v>
      </c>
      <c r="BL97">
        <v>79.841796538200001</v>
      </c>
      <c r="BM97">
        <v>111.275010266</v>
      </c>
      <c r="BN97">
        <v>118.897337612</v>
      </c>
      <c r="BO97">
        <v>90.503251876199997</v>
      </c>
      <c r="BP97">
        <v>76.785821896200005</v>
      </c>
      <c r="BQ97">
        <v>97.767454841900005</v>
      </c>
      <c r="BR97">
        <v>118.337614617</v>
      </c>
      <c r="BS97">
        <v>127.767289783</v>
      </c>
      <c r="BT97">
        <v>134.96952962200001</v>
      </c>
      <c r="BU97">
        <v>88.4493202779</v>
      </c>
      <c r="BV97">
        <v>108.23836713599999</v>
      </c>
      <c r="BW97">
        <v>125.219855752</v>
      </c>
      <c r="BX97">
        <v>74.264185824999998</v>
      </c>
      <c r="BY97">
        <v>80.491814627099998</v>
      </c>
      <c r="BZ97">
        <v>141.103202275</v>
      </c>
      <c r="CA97">
        <v>86.265882105599999</v>
      </c>
      <c r="CB97">
        <v>85.293074474999997</v>
      </c>
      <c r="CC97">
        <v>76.265695496500001</v>
      </c>
      <c r="CD97">
        <v>108.648315923</v>
      </c>
      <c r="CE97">
        <v>76.432619120799998</v>
      </c>
      <c r="CF97">
        <v>75.724194604600001</v>
      </c>
      <c r="CG97">
        <v>109.06796170600001</v>
      </c>
      <c r="CH97">
        <v>121.429953639</v>
      </c>
      <c r="CI97">
        <v>83.088072185200005</v>
      </c>
      <c r="CJ97">
        <v>93.466693642099997</v>
      </c>
      <c r="CK97">
        <v>89.016419200599998</v>
      </c>
      <c r="CL97">
        <v>87.770357316299993</v>
      </c>
      <c r="CM97">
        <v>91.812708291000007</v>
      </c>
      <c r="CN97">
        <v>104.458561567</v>
      </c>
      <c r="CO97">
        <v>151.586363439</v>
      </c>
      <c r="CP97">
        <v>83.343509412299994</v>
      </c>
      <c r="CQ97">
        <v>89.604825574200007</v>
      </c>
      <c r="CR97">
        <v>102.61901767400001</v>
      </c>
      <c r="CS97">
        <v>89.283764415600004</v>
      </c>
      <c r="CT97">
        <v>125.632726836</v>
      </c>
      <c r="CU97">
        <v>123.46185266099999</v>
      </c>
      <c r="CV97">
        <v>79.781922607799999</v>
      </c>
      <c r="CW97">
        <v>106.394893545</v>
      </c>
      <c r="CX97">
        <v>120.034915739</v>
      </c>
      <c r="CY97">
        <v>108.597343407</v>
      </c>
      <c r="CZ97">
        <v>117.725424119</v>
      </c>
      <c r="DA97">
        <v>98.0051221712</v>
      </c>
      <c r="DB97">
        <v>76.651559864500001</v>
      </c>
      <c r="DC97">
        <v>109.266235545</v>
      </c>
      <c r="DD97">
        <v>107.194236211</v>
      </c>
      <c r="DE97">
        <v>103.771499421</v>
      </c>
      <c r="DF97">
        <v>82.060457072199995</v>
      </c>
      <c r="DG97">
        <v>83.517726084000003</v>
      </c>
      <c r="DH97">
        <v>79.317777556699994</v>
      </c>
    </row>
    <row r="98" spans="1:112" x14ac:dyDescent="0.25">
      <c r="A98" s="8">
        <f t="shared" si="6"/>
        <v>87.944040676014865</v>
      </c>
      <c r="B98" s="9">
        <f>AVERAGE($C$2:C98)</f>
        <v>4.4767007107982293</v>
      </c>
      <c r="C98" s="9">
        <f t="shared" si="7"/>
        <v>4.3291950101880845</v>
      </c>
      <c r="D98" s="6">
        <f>AVERAGE($G$2:G98)</f>
        <v>88.840997793089997</v>
      </c>
      <c r="E98" s="6">
        <f>AVERAGE($H$2:H98)</f>
        <v>88.363805926636019</v>
      </c>
      <c r="F98" s="6">
        <f>AVERAGE($M$2:M98)</f>
        <v>88.194475394771146</v>
      </c>
      <c r="G98" s="6" t="b">
        <f t="shared" si="8"/>
        <v>0</v>
      </c>
      <c r="H98">
        <f t="shared" si="9"/>
        <v>75.883176791899999</v>
      </c>
      <c r="I98" s="6">
        <f t="shared" si="10"/>
        <v>-0.16933053186487257</v>
      </c>
      <c r="J98" s="6">
        <f t="shared" si="11"/>
        <v>-0.64652239831885083</v>
      </c>
      <c r="K98">
        <v>96</v>
      </c>
      <c r="L98">
        <f>L97+Asian!dt</f>
        <v>0.96000000000000063</v>
      </c>
      <c r="M98">
        <v>75.883176791899999</v>
      </c>
      <c r="N98">
        <v>101.798453514</v>
      </c>
      <c r="O98">
        <v>104.73942616799999</v>
      </c>
      <c r="P98">
        <v>91.054243961599994</v>
      </c>
      <c r="Q98">
        <v>67.483312155999997</v>
      </c>
      <c r="R98">
        <v>95.379559256899995</v>
      </c>
      <c r="S98">
        <v>97.117192531399994</v>
      </c>
      <c r="T98">
        <v>93.1586169208</v>
      </c>
      <c r="U98">
        <v>116.936798332</v>
      </c>
      <c r="V98">
        <v>139.78504763699999</v>
      </c>
      <c r="W98">
        <v>96.598922095399999</v>
      </c>
      <c r="X98">
        <v>131.822378515</v>
      </c>
      <c r="Y98">
        <v>92.001650586099998</v>
      </c>
      <c r="Z98">
        <v>98.879305013299998</v>
      </c>
      <c r="AA98">
        <v>95.992583516099998</v>
      </c>
      <c r="AB98">
        <v>99.267641539400003</v>
      </c>
      <c r="AC98">
        <v>90.654548016199996</v>
      </c>
      <c r="AD98">
        <v>96.990408321800004</v>
      </c>
      <c r="AE98">
        <v>125.88133969499999</v>
      </c>
      <c r="AF98">
        <v>131.971391719</v>
      </c>
      <c r="AG98">
        <v>120.802289</v>
      </c>
      <c r="AH98">
        <v>111.90465208000001</v>
      </c>
      <c r="AI98">
        <v>81.771912056800005</v>
      </c>
      <c r="AJ98">
        <v>92.261028686000003</v>
      </c>
      <c r="AK98">
        <v>89.730660381899995</v>
      </c>
      <c r="AL98">
        <v>122.581757091</v>
      </c>
      <c r="AM98">
        <v>109.316541941</v>
      </c>
      <c r="AN98">
        <v>96.5174699831</v>
      </c>
      <c r="AO98">
        <v>110.77718427400001</v>
      </c>
      <c r="AP98">
        <v>91.8065047953</v>
      </c>
      <c r="AQ98">
        <v>110.909125656</v>
      </c>
      <c r="AR98">
        <v>93.524368023299999</v>
      </c>
      <c r="AS98">
        <v>117.778100471</v>
      </c>
      <c r="AT98">
        <v>102.51161052400001</v>
      </c>
      <c r="AU98">
        <v>129.507479176</v>
      </c>
      <c r="AV98">
        <v>116.820600439</v>
      </c>
      <c r="AW98">
        <v>115.21218633300001</v>
      </c>
      <c r="AX98">
        <v>87.841186675399996</v>
      </c>
      <c r="AY98">
        <v>88.006592211500006</v>
      </c>
      <c r="AZ98">
        <v>136.41308885399999</v>
      </c>
      <c r="BA98">
        <v>123.870661778</v>
      </c>
      <c r="BB98">
        <v>106.606822404</v>
      </c>
      <c r="BC98">
        <v>112.564335043</v>
      </c>
      <c r="BD98">
        <v>121.358453345</v>
      </c>
      <c r="BE98">
        <v>93.842704873200006</v>
      </c>
      <c r="BF98">
        <v>85.260279627399996</v>
      </c>
      <c r="BG98">
        <v>78.280275471899998</v>
      </c>
      <c r="BH98">
        <v>113.673826156</v>
      </c>
      <c r="BI98">
        <v>112.516077974</v>
      </c>
      <c r="BJ98">
        <v>107.311358356</v>
      </c>
      <c r="BK98">
        <v>110.196719659</v>
      </c>
      <c r="BL98">
        <v>78.321457481300001</v>
      </c>
      <c r="BM98">
        <v>114.54314797000001</v>
      </c>
      <c r="BN98">
        <v>115.59204877000001</v>
      </c>
      <c r="BO98">
        <v>88.571212850600006</v>
      </c>
      <c r="BP98">
        <v>75.7683371153</v>
      </c>
      <c r="BQ98">
        <v>98.148850759400005</v>
      </c>
      <c r="BR98">
        <v>120.437273254</v>
      </c>
      <c r="BS98">
        <v>127.07203484999999</v>
      </c>
      <c r="BT98">
        <v>134.569344943</v>
      </c>
      <c r="BU98">
        <v>88.382202230600001</v>
      </c>
      <c r="BV98">
        <v>108.633911685</v>
      </c>
      <c r="BW98">
        <v>126.566015212</v>
      </c>
      <c r="BX98">
        <v>76.414283743799999</v>
      </c>
      <c r="BY98">
        <v>80.083845562400001</v>
      </c>
      <c r="BZ98">
        <v>143.271211601</v>
      </c>
      <c r="CA98">
        <v>87.056747118700002</v>
      </c>
      <c r="CB98">
        <v>86.506415569500007</v>
      </c>
      <c r="CC98">
        <v>76.882007325499998</v>
      </c>
      <c r="CD98">
        <v>109.86568862999999</v>
      </c>
      <c r="CE98">
        <v>78.910707854199998</v>
      </c>
      <c r="CF98">
        <v>75.944763567600006</v>
      </c>
      <c r="CG98">
        <v>107.454893184</v>
      </c>
      <c r="CH98">
        <v>123.13102849400001</v>
      </c>
      <c r="CI98">
        <v>86.418760073900003</v>
      </c>
      <c r="CJ98">
        <v>93.6594509942</v>
      </c>
      <c r="CK98">
        <v>89.259865429200005</v>
      </c>
      <c r="CL98">
        <v>86.944086209000005</v>
      </c>
      <c r="CM98">
        <v>96.014119718100005</v>
      </c>
      <c r="CN98">
        <v>106.61993565</v>
      </c>
      <c r="CO98">
        <v>151.521265193</v>
      </c>
      <c r="CP98">
        <v>84.083371438399993</v>
      </c>
      <c r="CQ98">
        <v>88.311870268199996</v>
      </c>
      <c r="CR98">
        <v>103.92379315300001</v>
      </c>
      <c r="CS98">
        <v>84.878826549500005</v>
      </c>
      <c r="CT98">
        <v>126.310987048</v>
      </c>
      <c r="CU98">
        <v>126.717266279</v>
      </c>
      <c r="CV98">
        <v>83.767564436599997</v>
      </c>
      <c r="CW98">
        <v>102.853142121</v>
      </c>
      <c r="CX98">
        <v>120.427015701</v>
      </c>
      <c r="CY98">
        <v>103.76749899399999</v>
      </c>
      <c r="CZ98">
        <v>115.153355272</v>
      </c>
      <c r="DA98">
        <v>98.827815949500007</v>
      </c>
      <c r="DB98">
        <v>76.105996505799993</v>
      </c>
      <c r="DC98">
        <v>111.441003186</v>
      </c>
      <c r="DD98">
        <v>103.937125255</v>
      </c>
      <c r="DE98">
        <v>101.567628271</v>
      </c>
      <c r="DF98">
        <v>83.259849245599995</v>
      </c>
      <c r="DG98">
        <v>84.442453575200005</v>
      </c>
      <c r="DH98">
        <v>77.741598940700001</v>
      </c>
    </row>
    <row r="99" spans="1:112" x14ac:dyDescent="0.25">
      <c r="A99" s="8">
        <f t="shared" si="6"/>
        <v>87.843754802427213</v>
      </c>
      <c r="B99" s="9">
        <f>AVERAGE($C$2:C99)</f>
        <v>4.4755597227769108</v>
      </c>
      <c r="C99" s="9">
        <f t="shared" si="7"/>
        <v>4.3648838847089912</v>
      </c>
      <c r="D99" s="6">
        <f>AVERAGE($G$2:G99)</f>
        <v>88.840997793089997</v>
      </c>
      <c r="E99" s="6">
        <f>AVERAGE($H$2:H99)</f>
        <v>88.363805926636019</v>
      </c>
      <c r="F99" s="6">
        <f>AVERAGE($M$2:M99)</f>
        <v>88.096983483334697</v>
      </c>
      <c r="G99" s="6" t="b">
        <f t="shared" si="8"/>
        <v>0</v>
      </c>
      <c r="H99" t="b">
        <f t="shared" si="9"/>
        <v>0</v>
      </c>
      <c r="I99" s="6">
        <f t="shared" si="10"/>
        <v>-0.26682244330132221</v>
      </c>
      <c r="J99" s="6">
        <f t="shared" si="11"/>
        <v>-0.74401430975530047</v>
      </c>
      <c r="K99">
        <v>97</v>
      </c>
      <c r="L99">
        <f>L98+Asian!dt</f>
        <v>0.97000000000000064</v>
      </c>
      <c r="M99">
        <v>78.640268074000005</v>
      </c>
      <c r="N99">
        <v>104.703207616</v>
      </c>
      <c r="O99">
        <v>105.74481554400001</v>
      </c>
      <c r="P99">
        <v>92.741555542699999</v>
      </c>
      <c r="Q99">
        <v>66.370199874400001</v>
      </c>
      <c r="R99">
        <v>95.081512303099998</v>
      </c>
      <c r="S99">
        <v>97.571098738200007</v>
      </c>
      <c r="T99">
        <v>89.999755477299999</v>
      </c>
      <c r="U99">
        <v>113.59957314899999</v>
      </c>
      <c r="V99">
        <v>139.18733750800001</v>
      </c>
      <c r="W99">
        <v>94.294319488799999</v>
      </c>
      <c r="X99">
        <v>138.24142965300001</v>
      </c>
      <c r="Y99">
        <v>89.292385357000001</v>
      </c>
      <c r="Z99">
        <v>96.928124857</v>
      </c>
      <c r="AA99">
        <v>92.831180656599997</v>
      </c>
      <c r="AB99">
        <v>98.055505174499999</v>
      </c>
      <c r="AC99">
        <v>87.608665028199994</v>
      </c>
      <c r="AD99">
        <v>95.752181675000003</v>
      </c>
      <c r="AE99">
        <v>128.90956991199999</v>
      </c>
      <c r="AF99">
        <v>139.47890435400001</v>
      </c>
      <c r="AG99">
        <v>121.412415705</v>
      </c>
      <c r="AH99">
        <v>110.78454395999999</v>
      </c>
      <c r="AI99">
        <v>82.320376807900004</v>
      </c>
      <c r="AJ99">
        <v>92.101397426700004</v>
      </c>
      <c r="AK99">
        <v>87.313215522500002</v>
      </c>
      <c r="AL99">
        <v>127.782720083</v>
      </c>
      <c r="AM99">
        <v>107.771563383</v>
      </c>
      <c r="AN99">
        <v>96.032328891800006</v>
      </c>
      <c r="AO99">
        <v>106.93852287</v>
      </c>
      <c r="AP99">
        <v>92.026125318400005</v>
      </c>
      <c r="AQ99">
        <v>109.068442558</v>
      </c>
      <c r="AR99">
        <v>95.068004161000005</v>
      </c>
      <c r="AS99">
        <v>122.259787406</v>
      </c>
      <c r="AT99">
        <v>100.038250678</v>
      </c>
      <c r="AU99">
        <v>129.52861874000001</v>
      </c>
      <c r="AV99">
        <v>115.288747202</v>
      </c>
      <c r="AW99">
        <v>115.99248679999999</v>
      </c>
      <c r="AX99">
        <v>87.423048775799998</v>
      </c>
      <c r="AY99">
        <v>87.409538453600007</v>
      </c>
      <c r="AZ99">
        <v>134.61189198700001</v>
      </c>
      <c r="BA99">
        <v>118.658722189</v>
      </c>
      <c r="BB99">
        <v>107.060351733</v>
      </c>
      <c r="BC99">
        <v>113.158800446</v>
      </c>
      <c r="BD99">
        <v>121.78055320999999</v>
      </c>
      <c r="BE99">
        <v>95.538002145999997</v>
      </c>
      <c r="BF99">
        <v>84.673208184999993</v>
      </c>
      <c r="BG99">
        <v>79.625942672700006</v>
      </c>
      <c r="BH99">
        <v>113.891245646</v>
      </c>
      <c r="BI99">
        <v>114.82815169</v>
      </c>
      <c r="BJ99">
        <v>106.876276945</v>
      </c>
      <c r="BK99">
        <v>107.227007773</v>
      </c>
      <c r="BL99">
        <v>79.303681623800003</v>
      </c>
      <c r="BM99">
        <v>114.791961628</v>
      </c>
      <c r="BN99">
        <v>117.311915345</v>
      </c>
      <c r="BO99">
        <v>85.435688519999999</v>
      </c>
      <c r="BP99">
        <v>76.645898350600007</v>
      </c>
      <c r="BQ99">
        <v>95.068300715800007</v>
      </c>
      <c r="BR99">
        <v>119.672220426</v>
      </c>
      <c r="BS99">
        <v>124.041805298</v>
      </c>
      <c r="BT99">
        <v>135.334557292</v>
      </c>
      <c r="BU99">
        <v>89.810645777999994</v>
      </c>
      <c r="BV99">
        <v>108.266735217</v>
      </c>
      <c r="BW99">
        <v>133.08086564600001</v>
      </c>
      <c r="BX99">
        <v>76.783457152099999</v>
      </c>
      <c r="BY99">
        <v>80.077022257799996</v>
      </c>
      <c r="BZ99">
        <v>142.604804014</v>
      </c>
      <c r="CA99">
        <v>84.111710764500003</v>
      </c>
      <c r="CB99">
        <v>85.732516326999999</v>
      </c>
      <c r="CC99">
        <v>76.681693915300002</v>
      </c>
      <c r="CD99">
        <v>107.822057689</v>
      </c>
      <c r="CE99">
        <v>81.9408678084</v>
      </c>
      <c r="CF99">
        <v>75.334227268700005</v>
      </c>
      <c r="CG99">
        <v>109.75686878800001</v>
      </c>
      <c r="CH99">
        <v>122.888884801</v>
      </c>
      <c r="CI99">
        <v>87.090865790500004</v>
      </c>
      <c r="CJ99">
        <v>93.175478123999994</v>
      </c>
      <c r="CK99">
        <v>86.307015704899996</v>
      </c>
      <c r="CL99">
        <v>83.266514984699995</v>
      </c>
      <c r="CM99">
        <v>94.468888851200006</v>
      </c>
      <c r="CN99">
        <v>105.67480958</v>
      </c>
      <c r="CO99">
        <v>155.67422371399999</v>
      </c>
      <c r="CP99">
        <v>84.669733101800006</v>
      </c>
      <c r="CQ99">
        <v>89.362223548900005</v>
      </c>
      <c r="CR99">
        <v>103.53140360800001</v>
      </c>
      <c r="CS99">
        <v>86.250756071699996</v>
      </c>
      <c r="CT99">
        <v>124.070107592</v>
      </c>
      <c r="CU99">
        <v>127.68965001799999</v>
      </c>
      <c r="CV99">
        <v>85.055463486799994</v>
      </c>
      <c r="CW99">
        <v>99.623639606099999</v>
      </c>
      <c r="CX99">
        <v>119.87762395599999</v>
      </c>
      <c r="CY99">
        <v>105.39330020600001</v>
      </c>
      <c r="CZ99">
        <v>118.256547466</v>
      </c>
      <c r="DA99">
        <v>101.369480149</v>
      </c>
      <c r="DB99">
        <v>73.3215374392</v>
      </c>
      <c r="DC99">
        <v>115.27882588999999</v>
      </c>
      <c r="DD99">
        <v>105.499045169</v>
      </c>
      <c r="DE99">
        <v>102.07837295900001</v>
      </c>
      <c r="DF99">
        <v>83.279867412100003</v>
      </c>
      <c r="DG99">
        <v>84.244001897499999</v>
      </c>
      <c r="DH99">
        <v>79.646123187200004</v>
      </c>
    </row>
    <row r="100" spans="1:112" x14ac:dyDescent="0.25">
      <c r="A100" s="8">
        <f t="shared" si="6"/>
        <v>87.757239725683249</v>
      </c>
      <c r="B100" s="9">
        <f>AVERAGE($C$2:C100)</f>
        <v>4.4745743629390979</v>
      </c>
      <c r="C100" s="9">
        <f t="shared" si="7"/>
        <v>4.3780090988334903</v>
      </c>
      <c r="D100" s="6">
        <f>AVERAGE($G$2:G100)</f>
        <v>88.840997793089997</v>
      </c>
      <c r="E100" s="6">
        <f>AVERAGE($H$2:H100)</f>
        <v>88.363805926636019</v>
      </c>
      <c r="F100" s="6">
        <f>AVERAGE($M$2:M100)</f>
        <v>88.011955790501005</v>
      </c>
      <c r="G100" s="6" t="b">
        <f t="shared" si="8"/>
        <v>0</v>
      </c>
      <c r="H100" t="b">
        <f t="shared" si="9"/>
        <v>0</v>
      </c>
      <c r="I100" s="6">
        <f t="shared" si="10"/>
        <v>-0.35185013613501326</v>
      </c>
      <c r="J100" s="6">
        <f t="shared" si="11"/>
        <v>-0.82904200258899152</v>
      </c>
      <c r="K100">
        <v>98</v>
      </c>
      <c r="L100">
        <f>L99+Asian!dt</f>
        <v>0.98000000000000065</v>
      </c>
      <c r="M100">
        <v>79.679241892799993</v>
      </c>
      <c r="N100">
        <v>103.85089229</v>
      </c>
      <c r="O100">
        <v>103.223381358</v>
      </c>
      <c r="P100">
        <v>94.736034144000001</v>
      </c>
      <c r="Q100">
        <v>67.417885422599994</v>
      </c>
      <c r="R100">
        <v>95.119970102300002</v>
      </c>
      <c r="S100">
        <v>97.254481024499995</v>
      </c>
      <c r="T100">
        <v>93.426753898900003</v>
      </c>
      <c r="U100">
        <v>113.31759492099999</v>
      </c>
      <c r="V100">
        <v>137.94184389</v>
      </c>
      <c r="W100">
        <v>92.854269369500003</v>
      </c>
      <c r="X100">
        <v>137.07237048900001</v>
      </c>
      <c r="Y100">
        <v>89.653985851800002</v>
      </c>
      <c r="Z100">
        <v>96.386266969100006</v>
      </c>
      <c r="AA100">
        <v>92.924022345300003</v>
      </c>
      <c r="AB100">
        <v>100.04323411</v>
      </c>
      <c r="AC100">
        <v>83.854156890699997</v>
      </c>
      <c r="AD100">
        <v>91.670087121999998</v>
      </c>
      <c r="AE100">
        <v>126.422277282</v>
      </c>
      <c r="AF100">
        <v>135.58989951999999</v>
      </c>
      <c r="AG100">
        <v>116.60515528800001</v>
      </c>
      <c r="AH100">
        <v>108.663547886</v>
      </c>
      <c r="AI100">
        <v>79.952326619399997</v>
      </c>
      <c r="AJ100">
        <v>90.117421394100006</v>
      </c>
      <c r="AK100">
        <v>89.403136074900004</v>
      </c>
      <c r="AL100">
        <v>130.922396494</v>
      </c>
      <c r="AM100">
        <v>111.252956967</v>
      </c>
      <c r="AN100">
        <v>91.878992281099997</v>
      </c>
      <c r="AO100">
        <v>108.730275365</v>
      </c>
      <c r="AP100">
        <v>91.696327835100007</v>
      </c>
      <c r="AQ100">
        <v>108.948323014</v>
      </c>
      <c r="AR100">
        <v>92.343956007800003</v>
      </c>
      <c r="AS100">
        <v>123.145852863</v>
      </c>
      <c r="AT100">
        <v>98.914041364100001</v>
      </c>
      <c r="AU100">
        <v>126.113168191</v>
      </c>
      <c r="AV100">
        <v>114.809962297</v>
      </c>
      <c r="AW100">
        <v>116.063055285</v>
      </c>
      <c r="AX100">
        <v>87.632012126199996</v>
      </c>
      <c r="AY100">
        <v>86.517726339899994</v>
      </c>
      <c r="AZ100">
        <v>134.946437331</v>
      </c>
      <c r="BA100">
        <v>116.70364835700001</v>
      </c>
      <c r="BB100">
        <v>105.69335085100001</v>
      </c>
      <c r="BC100">
        <v>116.22168802100001</v>
      </c>
      <c r="BD100">
        <v>123.166274126</v>
      </c>
      <c r="BE100">
        <v>93.938309930200006</v>
      </c>
      <c r="BF100">
        <v>83.311094805500005</v>
      </c>
      <c r="BG100">
        <v>78.510219692999996</v>
      </c>
      <c r="BH100">
        <v>114.90398782600001</v>
      </c>
      <c r="BI100">
        <v>114.768559678</v>
      </c>
      <c r="BJ100">
        <v>106.69131023</v>
      </c>
      <c r="BK100">
        <v>103.044055594</v>
      </c>
      <c r="BL100">
        <v>79.603031365000007</v>
      </c>
      <c r="BM100">
        <v>109.87653392599999</v>
      </c>
      <c r="BN100">
        <v>116.542642802</v>
      </c>
      <c r="BO100">
        <v>85.992387776300006</v>
      </c>
      <c r="BP100">
        <v>74.675024949100006</v>
      </c>
      <c r="BQ100">
        <v>94.491846318100002</v>
      </c>
      <c r="BR100">
        <v>122.770346995</v>
      </c>
      <c r="BS100">
        <v>120.990907937</v>
      </c>
      <c r="BT100">
        <v>134.49915103999999</v>
      </c>
      <c r="BU100">
        <v>89.9177751884</v>
      </c>
      <c r="BV100">
        <v>108.956674889</v>
      </c>
      <c r="BW100">
        <v>129.29269060199999</v>
      </c>
      <c r="BX100">
        <v>78.042688239499995</v>
      </c>
      <c r="BY100">
        <v>80.920172138500007</v>
      </c>
      <c r="BZ100">
        <v>147.61469476600001</v>
      </c>
      <c r="CA100">
        <v>83.780063630300006</v>
      </c>
      <c r="CB100">
        <v>83.512741599500004</v>
      </c>
      <c r="CC100">
        <v>76.322659810700003</v>
      </c>
      <c r="CD100">
        <v>107.439059478</v>
      </c>
      <c r="CE100">
        <v>80.866026258299996</v>
      </c>
      <c r="CF100">
        <v>74.570599326500002</v>
      </c>
      <c r="CG100">
        <v>113.873788913</v>
      </c>
      <c r="CH100">
        <v>120.698050513</v>
      </c>
      <c r="CI100">
        <v>83.483777885500004</v>
      </c>
      <c r="CJ100">
        <v>91.882722277499994</v>
      </c>
      <c r="CK100">
        <v>88.102007260099995</v>
      </c>
      <c r="CL100">
        <v>84.929473483199999</v>
      </c>
      <c r="CM100">
        <v>94.582846784799997</v>
      </c>
      <c r="CN100">
        <v>104.779135098</v>
      </c>
      <c r="CO100">
        <v>158.738298286</v>
      </c>
      <c r="CP100">
        <v>86.406831314800002</v>
      </c>
      <c r="CQ100">
        <v>92.576900734600002</v>
      </c>
      <c r="CR100">
        <v>103.32848879300001</v>
      </c>
      <c r="CS100">
        <v>86.325187969400005</v>
      </c>
      <c r="CT100">
        <v>119.78666044800001</v>
      </c>
      <c r="CU100">
        <v>129.88356510200001</v>
      </c>
      <c r="CV100">
        <v>86.200354258800004</v>
      </c>
      <c r="CW100">
        <v>104.16226892900001</v>
      </c>
      <c r="CX100">
        <v>120.435386482</v>
      </c>
      <c r="CY100">
        <v>104.932021725</v>
      </c>
      <c r="CZ100">
        <v>118.50500570200001</v>
      </c>
      <c r="DA100">
        <v>103.12417538699999</v>
      </c>
      <c r="DB100">
        <v>72.554209449799998</v>
      </c>
      <c r="DC100">
        <v>113.51295376100001</v>
      </c>
      <c r="DD100">
        <v>102.288608197</v>
      </c>
      <c r="DE100">
        <v>104.174217109</v>
      </c>
      <c r="DF100">
        <v>82.981045826799999</v>
      </c>
      <c r="DG100">
        <v>87.5180489352</v>
      </c>
      <c r="DH100">
        <v>80.810971654799999</v>
      </c>
    </row>
    <row r="101" spans="1:112" x14ac:dyDescent="0.25">
      <c r="A101" s="8">
        <f t="shared" si="6"/>
        <v>87.657032044969938</v>
      </c>
      <c r="B101" s="9">
        <f>AVERAGE($C$2:C101)</f>
        <v>4.4734318368424191</v>
      </c>
      <c r="C101" s="9">
        <f t="shared" si="7"/>
        <v>4.3603217532711289</v>
      </c>
      <c r="D101" s="6">
        <f>AVERAGE($G$2:G101)</f>
        <v>88.840997793089997</v>
      </c>
      <c r="E101" s="6">
        <f>AVERAGE($H$2:H101)</f>
        <v>88.363805926636019</v>
      </c>
      <c r="F101" s="6">
        <f>AVERAGE($M$2:M101)</f>
        <v>87.914659412229</v>
      </c>
      <c r="G101" s="6" t="b">
        <f t="shared" si="8"/>
        <v>0</v>
      </c>
      <c r="H101" t="b">
        <f t="shared" si="9"/>
        <v>0</v>
      </c>
      <c r="I101" s="6">
        <f t="shared" si="10"/>
        <v>-0.44914651440701903</v>
      </c>
      <c r="J101" s="6">
        <f t="shared" si="11"/>
        <v>-0.92633838086099729</v>
      </c>
      <c r="K101">
        <v>99</v>
      </c>
      <c r="L101">
        <f>L100+Asian!dt</f>
        <v>0.99000000000000066</v>
      </c>
      <c r="M101">
        <v>78.282317963300002</v>
      </c>
      <c r="N101">
        <v>105.37164072100001</v>
      </c>
      <c r="O101">
        <v>104.34752240500001</v>
      </c>
      <c r="P101">
        <v>91.715978106400001</v>
      </c>
      <c r="Q101">
        <v>66.165909324500007</v>
      </c>
      <c r="R101">
        <v>95.812501866900007</v>
      </c>
      <c r="S101">
        <v>97.554949981099995</v>
      </c>
      <c r="T101">
        <v>97.528117922500002</v>
      </c>
      <c r="U101">
        <v>112.413539359</v>
      </c>
      <c r="V101">
        <v>137.16154114299999</v>
      </c>
      <c r="W101">
        <v>93.681417399599994</v>
      </c>
      <c r="X101">
        <v>134.30577608999999</v>
      </c>
      <c r="Y101">
        <v>91.833272236400006</v>
      </c>
      <c r="Z101">
        <v>95.034923039099994</v>
      </c>
      <c r="AA101">
        <v>94.781790349999994</v>
      </c>
      <c r="AB101">
        <v>99.065250139300005</v>
      </c>
      <c r="AC101">
        <v>82.116311557399996</v>
      </c>
      <c r="AD101">
        <v>89.5567263457</v>
      </c>
      <c r="AE101">
        <v>122.265603641</v>
      </c>
      <c r="AF101">
        <v>131.50381697099999</v>
      </c>
      <c r="AG101">
        <v>116.44697985800001</v>
      </c>
      <c r="AH101">
        <v>110.98995411600001</v>
      </c>
      <c r="AI101">
        <v>80.296458422300006</v>
      </c>
      <c r="AJ101">
        <v>90.935093435200002</v>
      </c>
      <c r="AK101">
        <v>89.655685907999995</v>
      </c>
      <c r="AL101">
        <v>133.84981469900001</v>
      </c>
      <c r="AM101">
        <v>108.07723528699999</v>
      </c>
      <c r="AN101">
        <v>89.676465618700007</v>
      </c>
      <c r="AO101">
        <v>109.49156491700001</v>
      </c>
      <c r="AP101">
        <v>91.5754821007</v>
      </c>
      <c r="AQ101">
        <v>109.193937729</v>
      </c>
      <c r="AR101">
        <v>93.215633670000003</v>
      </c>
      <c r="AS101">
        <v>123.972365029</v>
      </c>
      <c r="AT101">
        <v>98.157636238199999</v>
      </c>
      <c r="AU101">
        <v>125.746580553</v>
      </c>
      <c r="AV101">
        <v>119.398814328</v>
      </c>
      <c r="AW101">
        <v>114.87154410399999</v>
      </c>
      <c r="AX101">
        <v>89.838663833400005</v>
      </c>
      <c r="AY101">
        <v>89.751874192499997</v>
      </c>
      <c r="AZ101">
        <v>132.67984703799999</v>
      </c>
      <c r="BA101">
        <v>117.294242692</v>
      </c>
      <c r="BB101">
        <v>105.546139486</v>
      </c>
      <c r="BC101">
        <v>115.559650885</v>
      </c>
      <c r="BD101">
        <v>121.816644844</v>
      </c>
      <c r="BE101">
        <v>95.697615591300007</v>
      </c>
      <c r="BF101">
        <v>83.702153962899999</v>
      </c>
      <c r="BG101">
        <v>74.902206396699995</v>
      </c>
      <c r="BH101">
        <v>118.35663051900001</v>
      </c>
      <c r="BI101">
        <v>109.86223391599999</v>
      </c>
      <c r="BJ101">
        <v>107.861056386</v>
      </c>
      <c r="BK101">
        <v>103.573960309</v>
      </c>
      <c r="BL101">
        <v>77.156657048699998</v>
      </c>
      <c r="BM101">
        <v>110.203337672</v>
      </c>
      <c r="BN101">
        <v>115.924926048</v>
      </c>
      <c r="BO101">
        <v>85.249604286199997</v>
      </c>
      <c r="BP101">
        <v>72.244474113999999</v>
      </c>
      <c r="BQ101">
        <v>96.341113920599994</v>
      </c>
      <c r="BR101">
        <v>119.773969587</v>
      </c>
      <c r="BS101">
        <v>121.51342130800001</v>
      </c>
      <c r="BT101">
        <v>130.593309753</v>
      </c>
      <c r="BU101">
        <v>87.226492888600006</v>
      </c>
      <c r="BV101">
        <v>109.65540709299999</v>
      </c>
      <c r="BW101">
        <v>128.25052222299999</v>
      </c>
      <c r="BX101">
        <v>77.5531354134</v>
      </c>
      <c r="BY101">
        <v>82.272475056999994</v>
      </c>
      <c r="BZ101">
        <v>148.273682541</v>
      </c>
      <c r="CA101">
        <v>85.117721704700003</v>
      </c>
      <c r="CB101">
        <v>86.232855638499998</v>
      </c>
      <c r="CC101">
        <v>78.031943661900002</v>
      </c>
      <c r="CD101">
        <v>105.27183702799999</v>
      </c>
      <c r="CE101">
        <v>81.624649228199999</v>
      </c>
      <c r="CF101">
        <v>73.883679761699995</v>
      </c>
      <c r="CG101">
        <v>109.617106562</v>
      </c>
      <c r="CH101">
        <v>120.965995664</v>
      </c>
      <c r="CI101">
        <v>84.304102977100001</v>
      </c>
      <c r="CJ101">
        <v>91.881959451399993</v>
      </c>
      <c r="CK101">
        <v>88.535595696599998</v>
      </c>
      <c r="CL101">
        <v>83.413682931699995</v>
      </c>
      <c r="CM101">
        <v>97.076113687299994</v>
      </c>
      <c r="CN101">
        <v>109.011748794</v>
      </c>
      <c r="CO101">
        <v>163.896793777</v>
      </c>
      <c r="CP101">
        <v>88.258847757300003</v>
      </c>
      <c r="CQ101">
        <v>95.883000031199998</v>
      </c>
      <c r="CR101">
        <v>104.029785426</v>
      </c>
      <c r="CS101">
        <v>85.857223932799997</v>
      </c>
      <c r="CT101">
        <v>120.617858188</v>
      </c>
      <c r="CU101">
        <v>125.951820842</v>
      </c>
      <c r="CV101">
        <v>84.597998090700003</v>
      </c>
      <c r="CW101">
        <v>105.747871047</v>
      </c>
      <c r="CX101">
        <v>123.7768449</v>
      </c>
      <c r="CY101">
        <v>102.316372298</v>
      </c>
      <c r="CZ101">
        <v>119.981076613</v>
      </c>
      <c r="DA101">
        <v>101.49744853999999</v>
      </c>
      <c r="DB101">
        <v>71.301833200600001</v>
      </c>
      <c r="DC101">
        <v>114.373704824</v>
      </c>
      <c r="DD101">
        <v>99.868619085000006</v>
      </c>
      <c r="DE101">
        <v>103.94311752999999</v>
      </c>
      <c r="DF101">
        <v>82.899220690099995</v>
      </c>
      <c r="DG101">
        <v>88.433943682299997</v>
      </c>
      <c r="DH101">
        <v>78.242242313299997</v>
      </c>
    </row>
    <row r="102" spans="1:112" x14ac:dyDescent="0.25">
      <c r="A102" s="8">
        <f t="shared" si="6"/>
        <v>87.575420528510733</v>
      </c>
      <c r="B102" s="9">
        <f>AVERAGE($C$2:C102)</f>
        <v>4.472500370996209</v>
      </c>
      <c r="C102" s="9">
        <f t="shared" si="7"/>
        <v>4.3793537863752663</v>
      </c>
      <c r="D102" s="6">
        <f>AVERAGE($G$2:G102)</f>
        <v>88.01785777975455</v>
      </c>
      <c r="E102" s="6">
        <f>AVERAGE($H$2:H102)</f>
        <v>88.033907915857696</v>
      </c>
      <c r="F102" s="6">
        <f>AVERAGE($M$2:M102)</f>
        <v>87.83418216702276</v>
      </c>
      <c r="G102" s="6">
        <f t="shared" si="8"/>
        <v>79.786457646399995</v>
      </c>
      <c r="H102">
        <f t="shared" si="9"/>
        <v>79.786457646399995</v>
      </c>
      <c r="I102" s="6">
        <f t="shared" si="10"/>
        <v>-0.19972574883493621</v>
      </c>
      <c r="J102" s="6">
        <f t="shared" si="11"/>
        <v>-0.18367561273178978</v>
      </c>
      <c r="K102">
        <v>100</v>
      </c>
      <c r="L102">
        <f>L101+Asian!dt</f>
        <v>1.0000000000000007</v>
      </c>
      <c r="M102">
        <v>79.786457646399995</v>
      </c>
      <c r="N102">
        <v>109.26364646899999</v>
      </c>
      <c r="O102">
        <v>102.081532831</v>
      </c>
      <c r="P102">
        <v>91.014539925500003</v>
      </c>
      <c r="Q102">
        <v>66.3365382737</v>
      </c>
      <c r="R102">
        <v>98.523446429800003</v>
      </c>
      <c r="S102">
        <v>97.413577671400006</v>
      </c>
      <c r="T102">
        <v>98.769120771600001</v>
      </c>
      <c r="U102">
        <v>111.213842744</v>
      </c>
      <c r="V102">
        <v>139.79379029500001</v>
      </c>
      <c r="W102">
        <v>94.337950356099995</v>
      </c>
      <c r="X102">
        <v>132.66823680499999</v>
      </c>
      <c r="Y102">
        <v>89.779985723400003</v>
      </c>
      <c r="Z102">
        <v>90.903540713200002</v>
      </c>
      <c r="AA102">
        <v>92.6589161948</v>
      </c>
      <c r="AB102">
        <v>98.841343047999999</v>
      </c>
      <c r="AC102">
        <v>83.735123966100005</v>
      </c>
      <c r="AD102">
        <v>87.529478935200004</v>
      </c>
      <c r="AE102">
        <v>124.014307453</v>
      </c>
      <c r="AF102">
        <v>132.916989226</v>
      </c>
      <c r="AG102">
        <v>115.212228091</v>
      </c>
      <c r="AH102">
        <v>107.48532954700001</v>
      </c>
      <c r="AI102">
        <v>82.499792795100007</v>
      </c>
      <c r="AJ102">
        <v>89.955125056599996</v>
      </c>
      <c r="AK102">
        <v>90.101311575099999</v>
      </c>
      <c r="AL102">
        <v>136.837745544</v>
      </c>
      <c r="AM102">
        <v>107.677553887</v>
      </c>
      <c r="AN102">
        <v>87.913569730700004</v>
      </c>
      <c r="AO102">
        <v>111.81510859399999</v>
      </c>
      <c r="AP102">
        <v>93.0575334177</v>
      </c>
      <c r="AQ102">
        <v>109.270887182</v>
      </c>
      <c r="AR102">
        <v>89.743163913299995</v>
      </c>
      <c r="AS102">
        <v>126.077077425</v>
      </c>
      <c r="AT102">
        <v>98.0742837584</v>
      </c>
      <c r="AU102">
        <v>127.690001732</v>
      </c>
      <c r="AV102">
        <v>118.401014246</v>
      </c>
      <c r="AW102">
        <v>114.48042743000001</v>
      </c>
      <c r="AX102">
        <v>87.159578359899996</v>
      </c>
      <c r="AY102">
        <v>90.477026760699999</v>
      </c>
      <c r="AZ102">
        <v>131.83587057599999</v>
      </c>
      <c r="BA102">
        <v>114.059169774</v>
      </c>
      <c r="BB102">
        <v>106.61706357200001</v>
      </c>
      <c r="BC102">
        <v>116.499369853</v>
      </c>
      <c r="BD102">
        <v>125.022070568</v>
      </c>
      <c r="BE102">
        <v>94.943398966299995</v>
      </c>
      <c r="BF102">
        <v>84.757109372100004</v>
      </c>
      <c r="BG102">
        <v>73.369551772600005</v>
      </c>
      <c r="BH102">
        <v>123.034703974</v>
      </c>
      <c r="BI102">
        <v>110.562281222</v>
      </c>
      <c r="BJ102">
        <v>106.596745989</v>
      </c>
      <c r="BK102">
        <v>103.027047302</v>
      </c>
      <c r="BL102">
        <v>76.158084828599996</v>
      </c>
      <c r="BM102">
        <v>108.363156719</v>
      </c>
      <c r="BN102">
        <v>117.624971641</v>
      </c>
      <c r="BO102">
        <v>82.995844508700003</v>
      </c>
      <c r="BP102">
        <v>73.197353734000004</v>
      </c>
      <c r="BQ102">
        <v>97.242752522200007</v>
      </c>
      <c r="BR102">
        <v>119.98093916800001</v>
      </c>
      <c r="BS102">
        <v>121.730536253</v>
      </c>
      <c r="BT102">
        <v>130.12271998899999</v>
      </c>
      <c r="BU102">
        <v>88.327122280200001</v>
      </c>
      <c r="BV102">
        <v>112.970070513</v>
      </c>
      <c r="BW102">
        <v>126.953443892</v>
      </c>
      <c r="BX102">
        <v>77.245023311400004</v>
      </c>
      <c r="BY102">
        <v>82.393214740800005</v>
      </c>
      <c r="BZ102">
        <v>148.02609429699999</v>
      </c>
      <c r="CA102">
        <v>82.567306097300005</v>
      </c>
      <c r="CB102">
        <v>85.212399596300003</v>
      </c>
      <c r="CC102">
        <v>76.222821455200005</v>
      </c>
      <c r="CD102">
        <v>107.2219817</v>
      </c>
      <c r="CE102">
        <v>81.6771318049</v>
      </c>
      <c r="CF102">
        <v>72.024807093199996</v>
      </c>
      <c r="CG102">
        <v>110.251030863</v>
      </c>
      <c r="CH102">
        <v>125.567341427</v>
      </c>
      <c r="CI102">
        <v>86.279920320499997</v>
      </c>
      <c r="CJ102">
        <v>93.7353451627</v>
      </c>
      <c r="CK102">
        <v>86.650282848499998</v>
      </c>
      <c r="CL102">
        <v>84.938260103100006</v>
      </c>
      <c r="CM102">
        <v>91.630858505299997</v>
      </c>
      <c r="CN102">
        <v>109.245129918</v>
      </c>
      <c r="CO102">
        <v>168.32147416500001</v>
      </c>
      <c r="CP102">
        <v>86.032819421300005</v>
      </c>
      <c r="CQ102">
        <v>96.961474263900001</v>
      </c>
      <c r="CR102">
        <v>105.059358675</v>
      </c>
      <c r="CS102">
        <v>83.351295963499993</v>
      </c>
      <c r="CT102">
        <v>119.17341175200001</v>
      </c>
      <c r="CU102">
        <v>126.824008652</v>
      </c>
      <c r="CV102">
        <v>84.245290261799994</v>
      </c>
      <c r="CW102">
        <v>103.874753871</v>
      </c>
      <c r="CX102">
        <v>126.21362697799999</v>
      </c>
      <c r="CY102">
        <v>101.183465994</v>
      </c>
      <c r="CZ102">
        <v>118.53526859500001</v>
      </c>
      <c r="DA102">
        <v>103.940819592</v>
      </c>
      <c r="DB102">
        <v>69.120721688299994</v>
      </c>
      <c r="DC102">
        <v>115.359499441</v>
      </c>
      <c r="DD102">
        <v>102.116541286</v>
      </c>
      <c r="DE102">
        <v>103.35093806</v>
      </c>
      <c r="DF102">
        <v>81.996183911000003</v>
      </c>
      <c r="DG102">
        <v>87.832134911099999</v>
      </c>
      <c r="DH102">
        <v>79.515175946699998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E1:DA102"/>
  <sheetViews>
    <sheetView topLeftCell="B1" workbookViewId="0">
      <selection activeCell="H43" sqref="H43"/>
    </sheetView>
  </sheetViews>
  <sheetFormatPr defaultRowHeight="15" x14ac:dyDescent="0.25"/>
  <cols>
    <col min="6" max="6" width="11.5703125" bestFit="1" customWidth="1"/>
  </cols>
  <sheetData>
    <row r="1" spans="5:105" x14ac:dyDescent="0.25"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6</v>
      </c>
      <c r="K1" t="s">
        <v>7</v>
      </c>
      <c r="L1" t="s">
        <v>8</v>
      </c>
      <c r="M1" t="s">
        <v>9</v>
      </c>
      <c r="N1" t="s">
        <v>10</v>
      </c>
      <c r="O1" t="s">
        <v>11</v>
      </c>
      <c r="P1" t="s">
        <v>12</v>
      </c>
      <c r="Q1" t="s">
        <v>13</v>
      </c>
      <c r="R1" t="s">
        <v>14</v>
      </c>
      <c r="S1" t="s">
        <v>15</v>
      </c>
      <c r="T1" t="s">
        <v>16</v>
      </c>
      <c r="U1" t="s">
        <v>17</v>
      </c>
      <c r="V1" t="s">
        <v>18</v>
      </c>
      <c r="W1" t="s">
        <v>19</v>
      </c>
      <c r="X1" t="s">
        <v>20</v>
      </c>
      <c r="Y1" t="s">
        <v>21</v>
      </c>
      <c r="Z1" t="s">
        <v>22</v>
      </c>
      <c r="AA1" t="s">
        <v>23</v>
      </c>
      <c r="AB1" t="s">
        <v>24</v>
      </c>
      <c r="AC1" t="s">
        <v>25</v>
      </c>
      <c r="AD1" t="s">
        <v>26</v>
      </c>
      <c r="AE1" t="s">
        <v>27</v>
      </c>
      <c r="AF1" t="s">
        <v>28</v>
      </c>
      <c r="AG1" t="s">
        <v>29</v>
      </c>
      <c r="AH1" t="s">
        <v>30</v>
      </c>
      <c r="AI1" t="s">
        <v>31</v>
      </c>
      <c r="AJ1" t="s">
        <v>32</v>
      </c>
      <c r="AK1" t="s">
        <v>33</v>
      </c>
      <c r="AL1" t="s">
        <v>34</v>
      </c>
      <c r="AM1" t="s">
        <v>35</v>
      </c>
      <c r="AN1" t="s">
        <v>36</v>
      </c>
      <c r="AO1" t="s">
        <v>37</v>
      </c>
      <c r="AP1" t="s">
        <v>38</v>
      </c>
      <c r="AQ1" t="s">
        <v>39</v>
      </c>
      <c r="AR1" t="s">
        <v>40</v>
      </c>
      <c r="AS1" t="s">
        <v>41</v>
      </c>
      <c r="AT1" t="s">
        <v>42</v>
      </c>
      <c r="AU1" t="s">
        <v>43</v>
      </c>
      <c r="AV1" t="s">
        <v>44</v>
      </c>
      <c r="AW1" t="s">
        <v>45</v>
      </c>
      <c r="AX1" t="s">
        <v>46</v>
      </c>
      <c r="AY1" t="s">
        <v>47</v>
      </c>
      <c r="AZ1" t="s">
        <v>48</v>
      </c>
      <c r="BA1" t="s">
        <v>49</v>
      </c>
      <c r="BB1" t="s">
        <v>50</v>
      </c>
      <c r="BC1" t="s">
        <v>51</v>
      </c>
      <c r="BD1" t="s">
        <v>52</v>
      </c>
      <c r="BE1" t="s">
        <v>53</v>
      </c>
      <c r="BF1" t="s">
        <v>54</v>
      </c>
      <c r="BG1" t="s">
        <v>55</v>
      </c>
      <c r="BH1" t="s">
        <v>56</v>
      </c>
      <c r="BI1" t="s">
        <v>57</v>
      </c>
      <c r="BJ1" t="s">
        <v>58</v>
      </c>
      <c r="BK1" t="s">
        <v>59</v>
      </c>
      <c r="BL1" t="s">
        <v>60</v>
      </c>
      <c r="BM1" t="s">
        <v>61</v>
      </c>
      <c r="BN1" t="s">
        <v>62</v>
      </c>
      <c r="BO1" t="s">
        <v>63</v>
      </c>
      <c r="BP1" t="s">
        <v>64</v>
      </c>
      <c r="BQ1" t="s">
        <v>65</v>
      </c>
      <c r="BR1" t="s">
        <v>66</v>
      </c>
      <c r="BS1" t="s">
        <v>67</v>
      </c>
      <c r="BT1" t="s">
        <v>68</v>
      </c>
      <c r="BU1" t="s">
        <v>69</v>
      </c>
      <c r="BV1" t="s">
        <v>70</v>
      </c>
      <c r="BW1" t="s">
        <v>71</v>
      </c>
      <c r="BX1" t="s">
        <v>72</v>
      </c>
      <c r="BY1" t="s">
        <v>73</v>
      </c>
      <c r="BZ1" t="s">
        <v>74</v>
      </c>
      <c r="CA1" t="s">
        <v>75</v>
      </c>
      <c r="CB1" t="s">
        <v>76</v>
      </c>
      <c r="CC1" t="s">
        <v>77</v>
      </c>
      <c r="CD1" t="s">
        <v>78</v>
      </c>
      <c r="CE1" t="s">
        <v>79</v>
      </c>
      <c r="CF1" t="s">
        <v>80</v>
      </c>
      <c r="CG1" t="s">
        <v>81</v>
      </c>
      <c r="CH1" t="s">
        <v>82</v>
      </c>
      <c r="CI1" t="s">
        <v>83</v>
      </c>
      <c r="CJ1" t="s">
        <v>84</v>
      </c>
      <c r="CK1" t="s">
        <v>85</v>
      </c>
      <c r="CL1" t="s">
        <v>86</v>
      </c>
      <c r="CM1" t="s">
        <v>87</v>
      </c>
      <c r="CN1" t="s">
        <v>88</v>
      </c>
      <c r="CO1" t="s">
        <v>89</v>
      </c>
      <c r="CP1" t="s">
        <v>90</v>
      </c>
      <c r="CQ1" t="s">
        <v>91</v>
      </c>
      <c r="CR1" t="s">
        <v>92</v>
      </c>
      <c r="CS1" t="s">
        <v>93</v>
      </c>
      <c r="CT1" t="s">
        <v>94</v>
      </c>
      <c r="CU1" t="s">
        <v>95</v>
      </c>
      <c r="CV1" t="s">
        <v>96</v>
      </c>
      <c r="CW1" t="s">
        <v>97</v>
      </c>
      <c r="CX1" t="s">
        <v>98</v>
      </c>
      <c r="CY1" t="s">
        <v>99</v>
      </c>
      <c r="CZ1" t="s">
        <v>100</v>
      </c>
      <c r="DA1" t="s">
        <v>101</v>
      </c>
    </row>
    <row r="2" spans="5:105" x14ac:dyDescent="0.25">
      <c r="E2">
        <f>S_plus!L2</f>
        <v>0</v>
      </c>
      <c r="F2">
        <v>100</v>
      </c>
      <c r="G2">
        <v>100</v>
      </c>
      <c r="H2">
        <v>100</v>
      </c>
      <c r="I2">
        <v>100</v>
      </c>
      <c r="J2">
        <v>100</v>
      </c>
      <c r="K2">
        <v>100</v>
      </c>
      <c r="L2">
        <v>100</v>
      </c>
      <c r="M2">
        <v>100</v>
      </c>
      <c r="N2">
        <v>100</v>
      </c>
      <c r="O2">
        <v>100</v>
      </c>
      <c r="P2">
        <v>100</v>
      </c>
      <c r="Q2">
        <v>100</v>
      </c>
      <c r="R2">
        <v>100</v>
      </c>
      <c r="S2">
        <v>100</v>
      </c>
      <c r="T2">
        <v>100</v>
      </c>
      <c r="U2">
        <v>100</v>
      </c>
      <c r="V2">
        <v>100</v>
      </c>
      <c r="W2">
        <v>100</v>
      </c>
      <c r="X2">
        <v>100</v>
      </c>
      <c r="Y2">
        <v>100</v>
      </c>
      <c r="Z2">
        <v>100</v>
      </c>
      <c r="AA2">
        <v>100</v>
      </c>
      <c r="AB2">
        <v>100</v>
      </c>
      <c r="AC2">
        <v>100</v>
      </c>
      <c r="AD2">
        <v>100</v>
      </c>
      <c r="AE2">
        <v>100</v>
      </c>
      <c r="AF2">
        <v>100</v>
      </c>
      <c r="AG2">
        <v>100</v>
      </c>
      <c r="AH2">
        <v>100</v>
      </c>
      <c r="AI2">
        <v>100</v>
      </c>
      <c r="AJ2">
        <v>100</v>
      </c>
      <c r="AK2">
        <v>100</v>
      </c>
      <c r="AL2">
        <v>100</v>
      </c>
      <c r="AM2">
        <v>100</v>
      </c>
      <c r="AN2">
        <v>100</v>
      </c>
      <c r="AO2">
        <v>100</v>
      </c>
      <c r="AP2">
        <v>100</v>
      </c>
      <c r="AQ2">
        <v>100</v>
      </c>
      <c r="AR2">
        <v>100</v>
      </c>
      <c r="AS2">
        <v>100</v>
      </c>
      <c r="AT2">
        <v>100</v>
      </c>
      <c r="AU2">
        <v>100</v>
      </c>
      <c r="AV2">
        <v>100</v>
      </c>
      <c r="AW2">
        <v>100</v>
      </c>
      <c r="AX2">
        <v>100</v>
      </c>
      <c r="AY2">
        <v>100</v>
      </c>
      <c r="AZ2">
        <v>100</v>
      </c>
      <c r="BA2">
        <v>100</v>
      </c>
      <c r="BB2">
        <v>100</v>
      </c>
      <c r="BC2">
        <v>100</v>
      </c>
      <c r="BD2">
        <v>100</v>
      </c>
      <c r="BE2">
        <v>100</v>
      </c>
      <c r="BF2">
        <v>100</v>
      </c>
      <c r="BG2">
        <v>100</v>
      </c>
      <c r="BH2">
        <v>100</v>
      </c>
      <c r="BI2">
        <v>100</v>
      </c>
      <c r="BJ2">
        <v>100</v>
      </c>
      <c r="BK2">
        <v>100</v>
      </c>
      <c r="BL2">
        <v>100</v>
      </c>
      <c r="BM2">
        <v>100</v>
      </c>
      <c r="BN2">
        <v>100</v>
      </c>
      <c r="BO2">
        <v>100</v>
      </c>
      <c r="BP2">
        <v>100</v>
      </c>
      <c r="BQ2">
        <v>100</v>
      </c>
      <c r="BR2">
        <v>100</v>
      </c>
      <c r="BS2">
        <v>100</v>
      </c>
      <c r="BT2">
        <v>100</v>
      </c>
      <c r="BU2">
        <v>100</v>
      </c>
      <c r="BV2">
        <v>100</v>
      </c>
      <c r="BW2">
        <v>100</v>
      </c>
      <c r="BX2">
        <v>100</v>
      </c>
      <c r="BY2">
        <v>100</v>
      </c>
      <c r="BZ2">
        <v>100</v>
      </c>
      <c r="CA2">
        <v>100</v>
      </c>
      <c r="CB2">
        <v>100</v>
      </c>
      <c r="CC2">
        <v>100</v>
      </c>
      <c r="CD2">
        <v>100</v>
      </c>
      <c r="CE2">
        <v>100</v>
      </c>
      <c r="CF2">
        <v>100</v>
      </c>
      <c r="CG2">
        <v>100</v>
      </c>
      <c r="CH2">
        <v>100</v>
      </c>
      <c r="CI2">
        <v>100</v>
      </c>
      <c r="CJ2">
        <v>100</v>
      </c>
      <c r="CK2">
        <v>100</v>
      </c>
      <c r="CL2">
        <v>100</v>
      </c>
      <c r="CM2">
        <v>100</v>
      </c>
      <c r="CN2">
        <v>100</v>
      </c>
      <c r="CO2">
        <v>100</v>
      </c>
      <c r="CP2">
        <v>100</v>
      </c>
      <c r="CQ2">
        <v>100</v>
      </c>
      <c r="CR2">
        <v>100</v>
      </c>
      <c r="CS2">
        <v>100</v>
      </c>
      <c r="CT2">
        <v>100</v>
      </c>
      <c r="CU2">
        <v>100</v>
      </c>
      <c r="CV2">
        <v>100</v>
      </c>
      <c r="CW2">
        <v>100</v>
      </c>
      <c r="CX2">
        <v>100</v>
      </c>
      <c r="CY2">
        <v>100</v>
      </c>
      <c r="CZ2">
        <v>100</v>
      </c>
      <c r="DA2">
        <v>100</v>
      </c>
    </row>
    <row r="3" spans="5:105" x14ac:dyDescent="0.25">
      <c r="E3">
        <f>S_plus!L3</f>
        <v>0.01</v>
      </c>
      <c r="F3">
        <v>100.81368568400001</v>
      </c>
      <c r="G3">
        <v>101.19813684</v>
      </c>
      <c r="H3">
        <v>96.207997062499999</v>
      </c>
      <c r="I3">
        <v>103.824484637</v>
      </c>
      <c r="J3">
        <v>101.173173736</v>
      </c>
      <c r="K3">
        <v>98.090729542999995</v>
      </c>
      <c r="L3">
        <v>98.255305751500003</v>
      </c>
      <c r="M3">
        <v>100.503641297</v>
      </c>
      <c r="N3">
        <v>99.151695482999997</v>
      </c>
      <c r="O3">
        <v>102.034525696</v>
      </c>
      <c r="P3">
        <v>99.440736491699994</v>
      </c>
      <c r="Q3">
        <v>99.945716161099995</v>
      </c>
      <c r="R3">
        <v>98.517339075899997</v>
      </c>
      <c r="S3">
        <v>98.781973638400004</v>
      </c>
      <c r="T3">
        <v>99.815983019200004</v>
      </c>
      <c r="U3">
        <v>103.18890252999999</v>
      </c>
      <c r="V3">
        <v>106.01058811999999</v>
      </c>
      <c r="W3">
        <v>98.529897881599993</v>
      </c>
      <c r="X3">
        <v>102.662901738</v>
      </c>
      <c r="Y3">
        <v>101.77501025399999</v>
      </c>
      <c r="Z3">
        <v>102.434215158</v>
      </c>
      <c r="AA3">
        <v>102.006790572</v>
      </c>
      <c r="AB3">
        <v>104.033069974</v>
      </c>
      <c r="AC3">
        <v>100.991642232</v>
      </c>
      <c r="AD3">
        <v>97.888952547900004</v>
      </c>
      <c r="AE3">
        <v>97.848161841600003</v>
      </c>
      <c r="AF3">
        <v>98.659558578599999</v>
      </c>
      <c r="AG3">
        <v>99.389308165000003</v>
      </c>
      <c r="AH3">
        <v>101.238141618</v>
      </c>
      <c r="AI3">
        <v>100.369994918</v>
      </c>
      <c r="AJ3">
        <v>102.858033116</v>
      </c>
      <c r="AK3">
        <v>100.457406074</v>
      </c>
      <c r="AL3">
        <v>97.494011704800002</v>
      </c>
      <c r="AM3">
        <v>98.865586720899998</v>
      </c>
      <c r="AN3">
        <v>101.173002958</v>
      </c>
      <c r="AO3">
        <v>100.11770082300001</v>
      </c>
      <c r="AP3">
        <v>98.142974940599998</v>
      </c>
      <c r="AQ3">
        <v>100.68689435</v>
      </c>
      <c r="AR3">
        <v>100.949586259</v>
      </c>
      <c r="AS3">
        <v>99.329816564200001</v>
      </c>
      <c r="AT3">
        <v>100.751462397</v>
      </c>
      <c r="AU3">
        <v>101.064290634</v>
      </c>
      <c r="AV3">
        <v>102.0318755</v>
      </c>
      <c r="AW3">
        <v>102.535253381</v>
      </c>
      <c r="AX3">
        <v>101.363756905</v>
      </c>
      <c r="AY3">
        <v>98.527258920600005</v>
      </c>
      <c r="AZ3">
        <v>102.581379079</v>
      </c>
      <c r="BA3">
        <v>101.37084263</v>
      </c>
      <c r="BB3">
        <v>99.257604409199999</v>
      </c>
      <c r="BC3">
        <v>97.759790681300004</v>
      </c>
      <c r="BD3">
        <v>98.225608031199997</v>
      </c>
      <c r="BE3">
        <v>100.403255749</v>
      </c>
      <c r="BF3">
        <v>102.049747393</v>
      </c>
      <c r="BG3">
        <v>102.325628561</v>
      </c>
      <c r="BH3">
        <v>98.762788676499994</v>
      </c>
      <c r="BI3">
        <v>100.519750665</v>
      </c>
      <c r="BJ3">
        <v>99.559677828600002</v>
      </c>
      <c r="BK3">
        <v>101.943001598</v>
      </c>
      <c r="BL3">
        <v>98.644988144600006</v>
      </c>
      <c r="BM3">
        <v>98.278970975700005</v>
      </c>
      <c r="BN3">
        <v>99.187810177800003</v>
      </c>
      <c r="BO3">
        <v>100.83007873</v>
      </c>
      <c r="BP3">
        <v>99.632307827000005</v>
      </c>
      <c r="BQ3">
        <v>101.283023615</v>
      </c>
      <c r="BR3">
        <v>100.924068701</v>
      </c>
      <c r="BS3">
        <v>103.139666801</v>
      </c>
      <c r="BT3">
        <v>100.189615429</v>
      </c>
      <c r="BU3">
        <v>103.264959752</v>
      </c>
      <c r="BV3">
        <v>99.680309953199995</v>
      </c>
      <c r="BW3">
        <v>103.67841805899999</v>
      </c>
      <c r="BX3">
        <v>104.07434768900001</v>
      </c>
      <c r="BY3">
        <v>101.21779355300001</v>
      </c>
      <c r="BZ3">
        <v>100.612724314</v>
      </c>
      <c r="CA3">
        <v>98.401448606399995</v>
      </c>
      <c r="CB3">
        <v>101.458611459</v>
      </c>
      <c r="CC3">
        <v>100.137193669</v>
      </c>
      <c r="CD3">
        <v>101.76893549499999</v>
      </c>
      <c r="CE3">
        <v>98.493945716200002</v>
      </c>
      <c r="CF3">
        <v>98.747002502599997</v>
      </c>
      <c r="CG3">
        <v>101.72656449599999</v>
      </c>
      <c r="CH3">
        <v>96.566528819699997</v>
      </c>
      <c r="CI3">
        <v>101.24559590699999</v>
      </c>
      <c r="CJ3">
        <v>100.80469294</v>
      </c>
      <c r="CK3">
        <v>101.03703148</v>
      </c>
      <c r="CL3">
        <v>98.872310240700003</v>
      </c>
      <c r="CM3">
        <v>100.97818852</v>
      </c>
      <c r="CN3">
        <v>102.37672531299999</v>
      </c>
      <c r="CO3">
        <v>98.202789225199993</v>
      </c>
      <c r="CP3">
        <v>100.857158627</v>
      </c>
      <c r="CQ3">
        <v>99.229585413699994</v>
      </c>
      <c r="CR3">
        <v>95.575800432299999</v>
      </c>
      <c r="CS3">
        <v>98.104599418199996</v>
      </c>
      <c r="CT3">
        <v>99.790343954899996</v>
      </c>
      <c r="CU3">
        <v>104.447682077</v>
      </c>
      <c r="CV3">
        <v>101.631324721</v>
      </c>
      <c r="CW3">
        <v>100.380167105</v>
      </c>
      <c r="CX3">
        <v>101.093723602</v>
      </c>
      <c r="CY3">
        <v>99.954467031700005</v>
      </c>
      <c r="CZ3">
        <v>102.891579189</v>
      </c>
      <c r="DA3">
        <v>98.364682823400003</v>
      </c>
    </row>
    <row r="4" spans="5:105" x14ac:dyDescent="0.25">
      <c r="E4">
        <f>S_plus!L4</f>
        <v>0.02</v>
      </c>
      <c r="F4">
        <v>103.11865314800001</v>
      </c>
      <c r="G4">
        <v>103.986864635</v>
      </c>
      <c r="H4">
        <v>94.798225738100001</v>
      </c>
      <c r="I4">
        <v>99.767234101699998</v>
      </c>
      <c r="J4">
        <v>102.491603172</v>
      </c>
      <c r="K4">
        <v>98.607859756500005</v>
      </c>
      <c r="L4">
        <v>97.476813664399998</v>
      </c>
      <c r="M4">
        <v>102.408737237</v>
      </c>
      <c r="N4">
        <v>96.495292900799996</v>
      </c>
      <c r="O4">
        <v>107.830668246</v>
      </c>
      <c r="P4">
        <v>99.424580952900001</v>
      </c>
      <c r="Q4">
        <v>100.661000767</v>
      </c>
      <c r="R4">
        <v>100.81316513199999</v>
      </c>
      <c r="S4">
        <v>96.595911272099997</v>
      </c>
      <c r="T4">
        <v>102.388968159</v>
      </c>
      <c r="U4">
        <v>106.92514269599999</v>
      </c>
      <c r="V4">
        <v>105.629089557</v>
      </c>
      <c r="W4">
        <v>104.278950192</v>
      </c>
      <c r="X4">
        <v>104.41215705899999</v>
      </c>
      <c r="Y4">
        <v>100.042178531</v>
      </c>
      <c r="Z4">
        <v>99.582237535900006</v>
      </c>
      <c r="AA4">
        <v>103.435900969</v>
      </c>
      <c r="AB4">
        <v>100.054326695</v>
      </c>
      <c r="AC4">
        <v>99.702152262599995</v>
      </c>
      <c r="AD4">
        <v>94.770437507099999</v>
      </c>
      <c r="AE4">
        <v>98.586854905099997</v>
      </c>
      <c r="AF4">
        <v>99.147971401099994</v>
      </c>
      <c r="AG4">
        <v>96.502714505499995</v>
      </c>
      <c r="AH4">
        <v>101.929339842</v>
      </c>
      <c r="AI4">
        <v>102.499496803</v>
      </c>
      <c r="AJ4">
        <v>105.18829738300001</v>
      </c>
      <c r="AK4">
        <v>99.167949797700004</v>
      </c>
      <c r="AL4">
        <v>98.582696927200004</v>
      </c>
      <c r="AM4">
        <v>102.35076567900001</v>
      </c>
      <c r="AN4">
        <v>101.886397253</v>
      </c>
      <c r="AO4">
        <v>98.667674746100005</v>
      </c>
      <c r="AP4">
        <v>99.003133106799993</v>
      </c>
      <c r="AQ4">
        <v>99.652279575500003</v>
      </c>
      <c r="AR4">
        <v>99.503301927099997</v>
      </c>
      <c r="AS4">
        <v>98.667983834500006</v>
      </c>
      <c r="AT4">
        <v>100.220731636</v>
      </c>
      <c r="AU4">
        <v>102.201245185</v>
      </c>
      <c r="AV4">
        <v>99.949012822399993</v>
      </c>
      <c r="AW4">
        <v>106.616450668</v>
      </c>
      <c r="AX4">
        <v>103.247267816</v>
      </c>
      <c r="AY4">
        <v>95.625250599799998</v>
      </c>
      <c r="AZ4">
        <v>105.413586606</v>
      </c>
      <c r="BA4">
        <v>102.01974366</v>
      </c>
      <c r="BB4">
        <v>99.297242351500003</v>
      </c>
      <c r="BC4">
        <v>99.274863661300003</v>
      </c>
      <c r="BD4">
        <v>99.795425731600005</v>
      </c>
      <c r="BE4">
        <v>100.40449618</v>
      </c>
      <c r="BF4">
        <v>104.805130683</v>
      </c>
      <c r="BG4">
        <v>100.98276866</v>
      </c>
      <c r="BH4">
        <v>99.576129710900005</v>
      </c>
      <c r="BI4">
        <v>101.66421018299999</v>
      </c>
      <c r="BJ4">
        <v>97.122671640199997</v>
      </c>
      <c r="BK4">
        <v>103.16558485900001</v>
      </c>
      <c r="BL4">
        <v>98.207879657299998</v>
      </c>
      <c r="BM4">
        <v>95.078221662000004</v>
      </c>
      <c r="BN4">
        <v>98.810617683299995</v>
      </c>
      <c r="BO4">
        <v>100.994695037</v>
      </c>
      <c r="BP4">
        <v>104.04098746</v>
      </c>
      <c r="BQ4">
        <v>102.932928124</v>
      </c>
      <c r="BR4">
        <v>99.709424365999993</v>
      </c>
      <c r="BS4">
        <v>103.74973099</v>
      </c>
      <c r="BT4">
        <v>99.288412425800004</v>
      </c>
      <c r="BU4">
        <v>102.422321052</v>
      </c>
      <c r="BV4">
        <v>102.219015803</v>
      </c>
      <c r="BW4">
        <v>102.257659667</v>
      </c>
      <c r="BX4">
        <v>104.37859153399999</v>
      </c>
      <c r="BY4">
        <v>104.418691561</v>
      </c>
      <c r="BZ4">
        <v>103.033796641</v>
      </c>
      <c r="CA4">
        <v>98.909257718999996</v>
      </c>
      <c r="CB4">
        <v>104.573365862</v>
      </c>
      <c r="CC4">
        <v>96.710446518500007</v>
      </c>
      <c r="CD4">
        <v>104.066295439</v>
      </c>
      <c r="CE4">
        <v>103.157152203</v>
      </c>
      <c r="CF4">
        <v>96.810247562300006</v>
      </c>
      <c r="CG4">
        <v>106.13099040500001</v>
      </c>
      <c r="CH4">
        <v>94.037302960399998</v>
      </c>
      <c r="CI4">
        <v>100.219545415</v>
      </c>
      <c r="CJ4">
        <v>101.073232777</v>
      </c>
      <c r="CK4">
        <v>102.275621216</v>
      </c>
      <c r="CL4">
        <v>98.829659715399998</v>
      </c>
      <c r="CM4">
        <v>99.191243632199999</v>
      </c>
      <c r="CN4">
        <v>100.38698376399999</v>
      </c>
      <c r="CO4">
        <v>97.863183119200002</v>
      </c>
      <c r="CP4">
        <v>101.72414706000001</v>
      </c>
      <c r="CQ4">
        <v>101.135044271</v>
      </c>
      <c r="CR4">
        <v>96.125456015300003</v>
      </c>
      <c r="CS4">
        <v>100.31247898300001</v>
      </c>
      <c r="CT4">
        <v>102.263146451</v>
      </c>
      <c r="CU4">
        <v>103.982183652</v>
      </c>
      <c r="CV4">
        <v>103.914411151</v>
      </c>
      <c r="CW4">
        <v>100.288950376</v>
      </c>
      <c r="CX4">
        <v>100.145088083</v>
      </c>
      <c r="CY4">
        <v>98.026120326099999</v>
      </c>
      <c r="CZ4">
        <v>99.068254989500005</v>
      </c>
      <c r="DA4">
        <v>100.03983569499999</v>
      </c>
    </row>
    <row r="5" spans="5:105" x14ac:dyDescent="0.25">
      <c r="E5">
        <f>S_plus!L5</f>
        <v>0.03</v>
      </c>
      <c r="F5">
        <v>102.27883592400001</v>
      </c>
      <c r="G5">
        <v>107.32765369099999</v>
      </c>
      <c r="H5">
        <v>93.387349977699998</v>
      </c>
      <c r="I5">
        <v>99.026715907300002</v>
      </c>
      <c r="J5">
        <v>100.216443365</v>
      </c>
      <c r="K5">
        <v>99.248937927599997</v>
      </c>
      <c r="L5">
        <v>96.383122520599997</v>
      </c>
      <c r="M5">
        <v>104.5734483</v>
      </c>
      <c r="N5">
        <v>96.4702479579</v>
      </c>
      <c r="O5">
        <v>105.13830607600001</v>
      </c>
      <c r="P5">
        <v>98.538776175400002</v>
      </c>
      <c r="Q5">
        <v>100.218253721</v>
      </c>
      <c r="R5">
        <v>102.174775221</v>
      </c>
      <c r="S5">
        <v>100.936679086</v>
      </c>
      <c r="T5">
        <v>102.420697496</v>
      </c>
      <c r="U5">
        <v>108.088212152</v>
      </c>
      <c r="V5">
        <v>103.8003847</v>
      </c>
      <c r="W5">
        <v>106.390564506</v>
      </c>
      <c r="X5">
        <v>103.986850608</v>
      </c>
      <c r="Y5">
        <v>100.93687316499999</v>
      </c>
      <c r="Z5">
        <v>100.04483446499999</v>
      </c>
      <c r="AA5">
        <v>102.543498391</v>
      </c>
      <c r="AB5">
        <v>98.768887278600005</v>
      </c>
      <c r="AC5">
        <v>98.733153572299997</v>
      </c>
      <c r="AD5">
        <v>95.494883998099994</v>
      </c>
      <c r="AE5">
        <v>97.174470088299998</v>
      </c>
      <c r="AF5">
        <v>100.472095028</v>
      </c>
      <c r="AG5">
        <v>95.808243579500001</v>
      </c>
      <c r="AH5">
        <v>101.933132259</v>
      </c>
      <c r="AI5">
        <v>105.682998414</v>
      </c>
      <c r="AJ5">
        <v>101.176769108</v>
      </c>
      <c r="AK5">
        <v>96.514042672299993</v>
      </c>
      <c r="AL5">
        <v>101.764868681</v>
      </c>
      <c r="AM5">
        <v>105.40481176900001</v>
      </c>
      <c r="AN5">
        <v>101.71679752999999</v>
      </c>
      <c r="AO5">
        <v>103.394164836</v>
      </c>
      <c r="AP5">
        <v>96.444567324299996</v>
      </c>
      <c r="AQ5">
        <v>98.864673189499996</v>
      </c>
      <c r="AR5">
        <v>98.362453547800001</v>
      </c>
      <c r="AS5">
        <v>99.269082017499997</v>
      </c>
      <c r="AT5">
        <v>99.530735588599995</v>
      </c>
      <c r="AU5">
        <v>100.95468987</v>
      </c>
      <c r="AV5">
        <v>101.44671449099999</v>
      </c>
      <c r="AW5">
        <v>108.136365626</v>
      </c>
      <c r="AX5">
        <v>104.685740131</v>
      </c>
      <c r="AY5">
        <v>95.647638307999998</v>
      </c>
      <c r="AZ5">
        <v>105.165390231</v>
      </c>
      <c r="BA5">
        <v>100.103587684</v>
      </c>
      <c r="BB5">
        <v>98.566482645999997</v>
      </c>
      <c r="BC5">
        <v>96.698283777300006</v>
      </c>
      <c r="BD5">
        <v>101.684854715</v>
      </c>
      <c r="BE5">
        <v>102.730952465</v>
      </c>
      <c r="BF5">
        <v>107.957150627</v>
      </c>
      <c r="BG5">
        <v>100.55829792900001</v>
      </c>
      <c r="BH5">
        <v>99.279594145100006</v>
      </c>
      <c r="BI5">
        <v>103.041385758</v>
      </c>
      <c r="BJ5">
        <v>99.637311794599995</v>
      </c>
      <c r="BK5">
        <v>101.529136507</v>
      </c>
      <c r="BL5">
        <v>99.536683754899997</v>
      </c>
      <c r="BM5">
        <v>92.747323253499999</v>
      </c>
      <c r="BN5">
        <v>99.025451324000002</v>
      </c>
      <c r="BO5">
        <v>103.44027779</v>
      </c>
      <c r="BP5">
        <v>103.255495536</v>
      </c>
      <c r="BQ5">
        <v>101.000504463</v>
      </c>
      <c r="BR5">
        <v>100.89557301799999</v>
      </c>
      <c r="BS5">
        <v>105.559326406</v>
      </c>
      <c r="BT5">
        <v>98.876713627399994</v>
      </c>
      <c r="BU5">
        <v>101.621291957</v>
      </c>
      <c r="BV5">
        <v>100.672696523</v>
      </c>
      <c r="BW5">
        <v>102.172405674</v>
      </c>
      <c r="BX5">
        <v>104.38358220400001</v>
      </c>
      <c r="BY5">
        <v>102.65893015</v>
      </c>
      <c r="BZ5">
        <v>104.38386507600001</v>
      </c>
      <c r="CA5">
        <v>94.946185076700004</v>
      </c>
      <c r="CB5">
        <v>100.542135788</v>
      </c>
      <c r="CC5">
        <v>95.516157472499998</v>
      </c>
      <c r="CD5">
        <v>101.70884218499999</v>
      </c>
      <c r="CE5">
        <v>104.462536525</v>
      </c>
      <c r="CF5">
        <v>96.865085425800004</v>
      </c>
      <c r="CG5">
        <v>106.78562235699999</v>
      </c>
      <c r="CH5">
        <v>96.013131849999994</v>
      </c>
      <c r="CI5">
        <v>97.064577077500005</v>
      </c>
      <c r="CJ5">
        <v>99.754432854000001</v>
      </c>
      <c r="CK5">
        <v>104.733084361</v>
      </c>
      <c r="CL5">
        <v>99.335934592200005</v>
      </c>
      <c r="CM5">
        <v>101.708067794</v>
      </c>
      <c r="CN5">
        <v>99.916428409199995</v>
      </c>
      <c r="CO5">
        <v>97.347160310199996</v>
      </c>
      <c r="CP5">
        <v>99.680541555000005</v>
      </c>
      <c r="CQ5">
        <v>99.489390581400002</v>
      </c>
      <c r="CR5">
        <v>96.220713634099994</v>
      </c>
      <c r="CS5">
        <v>100.99199132</v>
      </c>
      <c r="CT5">
        <v>102.319782484</v>
      </c>
      <c r="CU5">
        <v>100.012642887</v>
      </c>
      <c r="CV5">
        <v>102.065154749</v>
      </c>
      <c r="CW5">
        <v>100.496623744</v>
      </c>
      <c r="CX5">
        <v>100.491783842</v>
      </c>
      <c r="CY5">
        <v>98.719081844399994</v>
      </c>
      <c r="CZ5">
        <v>99.733208740099997</v>
      </c>
      <c r="DA5">
        <v>97.563252268300005</v>
      </c>
    </row>
    <row r="6" spans="5:105" x14ac:dyDescent="0.25">
      <c r="E6">
        <f>S_plus!L6</f>
        <v>0.04</v>
      </c>
      <c r="F6">
        <v>105.949103267</v>
      </c>
      <c r="G6">
        <v>107.50834622799999</v>
      </c>
      <c r="H6">
        <v>90.608285950699994</v>
      </c>
      <c r="I6">
        <v>98.009969593199997</v>
      </c>
      <c r="J6">
        <v>101.401456071</v>
      </c>
      <c r="K6">
        <v>99.891790597899998</v>
      </c>
      <c r="L6">
        <v>96.310966304399997</v>
      </c>
      <c r="M6">
        <v>101.074722705</v>
      </c>
      <c r="N6">
        <v>93.332072614099999</v>
      </c>
      <c r="O6">
        <v>104.518527639</v>
      </c>
      <c r="P6">
        <v>98.122759939199995</v>
      </c>
      <c r="Q6">
        <v>102.534639574</v>
      </c>
      <c r="R6">
        <v>99.483710741500005</v>
      </c>
      <c r="S6">
        <v>103.704849104</v>
      </c>
      <c r="T6">
        <v>98.968234961899995</v>
      </c>
      <c r="U6">
        <v>103.992125488</v>
      </c>
      <c r="V6">
        <v>103.133460965</v>
      </c>
      <c r="W6">
        <v>102.96612184999999</v>
      </c>
      <c r="X6">
        <v>103.391137212</v>
      </c>
      <c r="Y6">
        <v>102.775768443</v>
      </c>
      <c r="Z6">
        <v>99.036097280999996</v>
      </c>
      <c r="AA6">
        <v>102.568662624</v>
      </c>
      <c r="AB6">
        <v>96.843907750599996</v>
      </c>
      <c r="AC6">
        <v>97.468349344700002</v>
      </c>
      <c r="AD6">
        <v>94.682512774599999</v>
      </c>
      <c r="AE6">
        <v>99.151175932699999</v>
      </c>
      <c r="AF6">
        <v>100.070111192</v>
      </c>
      <c r="AG6">
        <v>94.120607230100006</v>
      </c>
      <c r="AH6">
        <v>98.101160902000004</v>
      </c>
      <c r="AI6">
        <v>104.54891082899999</v>
      </c>
      <c r="AJ6">
        <v>102.99429648</v>
      </c>
      <c r="AK6">
        <v>98.246881124799998</v>
      </c>
      <c r="AL6">
        <v>104.430927919</v>
      </c>
      <c r="AM6">
        <v>103.834490432</v>
      </c>
      <c r="AN6">
        <v>100.855992028</v>
      </c>
      <c r="AO6">
        <v>104.59441843499999</v>
      </c>
      <c r="AP6">
        <v>93.4989214127</v>
      </c>
      <c r="AQ6">
        <v>99.918845083999997</v>
      </c>
      <c r="AR6">
        <v>94.598912575900002</v>
      </c>
      <c r="AS6">
        <v>97.054662655599998</v>
      </c>
      <c r="AT6">
        <v>98.149621658800001</v>
      </c>
      <c r="AU6">
        <v>101.423052787</v>
      </c>
      <c r="AV6">
        <v>103.623362867</v>
      </c>
      <c r="AW6">
        <v>106.29409119</v>
      </c>
      <c r="AX6">
        <v>105.19344128500001</v>
      </c>
      <c r="AY6">
        <v>96.796866024699995</v>
      </c>
      <c r="AZ6">
        <v>106.947265286</v>
      </c>
      <c r="BA6">
        <v>100.35226064299999</v>
      </c>
      <c r="BB6">
        <v>99.116076260300005</v>
      </c>
      <c r="BC6">
        <v>94.165919136599996</v>
      </c>
      <c r="BD6">
        <v>101.64616364699999</v>
      </c>
      <c r="BE6">
        <v>101.048755492</v>
      </c>
      <c r="BF6">
        <v>107.51072247</v>
      </c>
      <c r="BG6">
        <v>98.233288050799999</v>
      </c>
      <c r="BH6">
        <v>101.885205529</v>
      </c>
      <c r="BI6">
        <v>102.85101359799999</v>
      </c>
      <c r="BJ6">
        <v>100.51026309300001</v>
      </c>
      <c r="BK6">
        <v>103.802408308</v>
      </c>
      <c r="BL6">
        <v>97.624140523099996</v>
      </c>
      <c r="BM6">
        <v>93.300655042700001</v>
      </c>
      <c r="BN6">
        <v>100.01637411900001</v>
      </c>
      <c r="BO6">
        <v>101.84371700299999</v>
      </c>
      <c r="BP6">
        <v>106.572506359</v>
      </c>
      <c r="BQ6">
        <v>99.639463229900002</v>
      </c>
      <c r="BR6">
        <v>98.804333168300005</v>
      </c>
      <c r="BS6">
        <v>106.123375358</v>
      </c>
      <c r="BT6">
        <v>96.804976526600001</v>
      </c>
      <c r="BU6">
        <v>98.673394278499998</v>
      </c>
      <c r="BV6">
        <v>101.649487609</v>
      </c>
      <c r="BW6">
        <v>105.83488532699999</v>
      </c>
      <c r="BX6">
        <v>104.981304462</v>
      </c>
      <c r="BY6">
        <v>104.238900539</v>
      </c>
      <c r="BZ6">
        <v>106.061855294</v>
      </c>
      <c r="CA6">
        <v>95.406094412599998</v>
      </c>
      <c r="CB6">
        <v>105.506968599</v>
      </c>
      <c r="CC6">
        <v>96.286375140000004</v>
      </c>
      <c r="CD6">
        <v>102.659738608</v>
      </c>
      <c r="CE6">
        <v>106.29209382499999</v>
      </c>
      <c r="CF6">
        <v>95.335972630000001</v>
      </c>
      <c r="CG6">
        <v>104.61602077400001</v>
      </c>
      <c r="CH6">
        <v>97.647269501599993</v>
      </c>
      <c r="CI6">
        <v>96.542974890799997</v>
      </c>
      <c r="CJ6">
        <v>100.371514469</v>
      </c>
      <c r="CK6">
        <v>102.195282444</v>
      </c>
      <c r="CL6">
        <v>98.6857096138</v>
      </c>
      <c r="CM6">
        <v>99.7229248867</v>
      </c>
      <c r="CN6">
        <v>100.859588027</v>
      </c>
      <c r="CO6">
        <v>99.856745180299995</v>
      </c>
      <c r="CP6">
        <v>101.050068716</v>
      </c>
      <c r="CQ6">
        <v>100.28901689</v>
      </c>
      <c r="CR6">
        <v>101.145729288</v>
      </c>
      <c r="CS6">
        <v>100.4416815</v>
      </c>
      <c r="CT6">
        <v>102.587391919</v>
      </c>
      <c r="CU6">
        <v>98.675352021400002</v>
      </c>
      <c r="CV6">
        <v>102.39690498100001</v>
      </c>
      <c r="CW6">
        <v>98.145185397099993</v>
      </c>
      <c r="CX6">
        <v>98.438981507500003</v>
      </c>
      <c r="CY6">
        <v>97.970227965999996</v>
      </c>
      <c r="CZ6">
        <v>100.487122554</v>
      </c>
      <c r="DA6">
        <v>97.600617861399996</v>
      </c>
    </row>
    <row r="7" spans="5:105" x14ac:dyDescent="0.25">
      <c r="E7">
        <f>S_plus!L7</f>
        <v>0.05</v>
      </c>
      <c r="F7">
        <v>106.293715009</v>
      </c>
      <c r="G7">
        <v>104.580890905</v>
      </c>
      <c r="H7">
        <v>89.845935655999995</v>
      </c>
      <c r="I7">
        <v>101.785154871</v>
      </c>
      <c r="J7">
        <v>97.931599211600002</v>
      </c>
      <c r="K7">
        <v>98.629471461600005</v>
      </c>
      <c r="L7">
        <v>92.371188437599997</v>
      </c>
      <c r="M7">
        <v>99.1264188233</v>
      </c>
      <c r="N7">
        <v>90.425332843099994</v>
      </c>
      <c r="O7">
        <v>105.51775081300001</v>
      </c>
      <c r="P7">
        <v>98.969577421400004</v>
      </c>
      <c r="Q7">
        <v>99.942135563999997</v>
      </c>
      <c r="R7">
        <v>100.379197734</v>
      </c>
      <c r="S7">
        <v>102.817584035</v>
      </c>
      <c r="T7">
        <v>96.191936678600001</v>
      </c>
      <c r="U7">
        <v>106.386442141</v>
      </c>
      <c r="V7">
        <v>105.120909883</v>
      </c>
      <c r="W7">
        <v>106.24362197799999</v>
      </c>
      <c r="X7">
        <v>102.554591856</v>
      </c>
      <c r="Y7">
        <v>105.973913792</v>
      </c>
      <c r="Z7">
        <v>95.802035894900001</v>
      </c>
      <c r="AA7">
        <v>104.478207235</v>
      </c>
      <c r="AB7">
        <v>98.408146251700003</v>
      </c>
      <c r="AC7">
        <v>100.180417087</v>
      </c>
      <c r="AD7">
        <v>96.313065123000001</v>
      </c>
      <c r="AE7">
        <v>101.62401947799999</v>
      </c>
      <c r="AF7">
        <v>100.45637662</v>
      </c>
      <c r="AG7">
        <v>92.863955973700001</v>
      </c>
      <c r="AH7">
        <v>96.007718634499994</v>
      </c>
      <c r="AI7">
        <v>101.71888508399999</v>
      </c>
      <c r="AJ7">
        <v>100.43694227500001</v>
      </c>
      <c r="AK7">
        <v>97.607860981000002</v>
      </c>
      <c r="AL7">
        <v>100.98183036</v>
      </c>
      <c r="AM7">
        <v>103.886356085</v>
      </c>
      <c r="AN7">
        <v>99.836900586400006</v>
      </c>
      <c r="AO7">
        <v>107.629776702</v>
      </c>
      <c r="AP7">
        <v>92.581628577100005</v>
      </c>
      <c r="AQ7">
        <v>99.268810631700006</v>
      </c>
      <c r="AR7">
        <v>93.616879402999999</v>
      </c>
      <c r="AS7">
        <v>96.705126670599995</v>
      </c>
      <c r="AT7">
        <v>95.747005492400007</v>
      </c>
      <c r="AU7">
        <v>96.737941630899996</v>
      </c>
      <c r="AV7">
        <v>101.593952933</v>
      </c>
      <c r="AW7">
        <v>106.924312716</v>
      </c>
      <c r="AX7">
        <v>108.02560736700001</v>
      </c>
      <c r="AY7">
        <v>97.476828814900003</v>
      </c>
      <c r="AZ7">
        <v>112.53173074199999</v>
      </c>
      <c r="BA7">
        <v>100.771616399</v>
      </c>
      <c r="BB7">
        <v>97.154917245799993</v>
      </c>
      <c r="BC7">
        <v>91.943868719999998</v>
      </c>
      <c r="BD7">
        <v>96.572762000799997</v>
      </c>
      <c r="BE7">
        <v>101.44751384600001</v>
      </c>
      <c r="BF7">
        <v>107.13301070599999</v>
      </c>
      <c r="BG7">
        <v>98.893401735799998</v>
      </c>
      <c r="BH7">
        <v>103.97483865300001</v>
      </c>
      <c r="BI7">
        <v>101.35905334</v>
      </c>
      <c r="BJ7">
        <v>105.57522440699999</v>
      </c>
      <c r="BK7">
        <v>104.574369465</v>
      </c>
      <c r="BL7">
        <v>98.502844049800004</v>
      </c>
      <c r="BM7">
        <v>90.471617478900001</v>
      </c>
      <c r="BN7">
        <v>100.62713765399999</v>
      </c>
      <c r="BO7">
        <v>104.306214965</v>
      </c>
      <c r="BP7">
        <v>104.90102993399999</v>
      </c>
      <c r="BQ7">
        <v>101.009166044</v>
      </c>
      <c r="BR7">
        <v>99.415687066299995</v>
      </c>
      <c r="BS7">
        <v>106.76054558600001</v>
      </c>
      <c r="BT7">
        <v>96.041098212600005</v>
      </c>
      <c r="BU7">
        <v>98.9718371803</v>
      </c>
      <c r="BV7">
        <v>102.763947929</v>
      </c>
      <c r="BW7">
        <v>104.92185878399999</v>
      </c>
      <c r="BX7">
        <v>102.908715618</v>
      </c>
      <c r="BY7">
        <v>104.65064588600001</v>
      </c>
      <c r="BZ7">
        <v>109.39836851600001</v>
      </c>
      <c r="CA7">
        <v>94.335446482600005</v>
      </c>
      <c r="CB7">
        <v>105.77214095399999</v>
      </c>
      <c r="CC7">
        <v>96.957000261700003</v>
      </c>
      <c r="CD7">
        <v>105.51149588299999</v>
      </c>
      <c r="CE7">
        <v>108.045992103</v>
      </c>
      <c r="CF7">
        <v>96.375482351299993</v>
      </c>
      <c r="CG7">
        <v>104.720739333</v>
      </c>
      <c r="CH7">
        <v>95.825620178700007</v>
      </c>
      <c r="CI7">
        <v>93.694749344800002</v>
      </c>
      <c r="CJ7">
        <v>101.23310233799999</v>
      </c>
      <c r="CK7">
        <v>102.026445494</v>
      </c>
      <c r="CL7">
        <v>97.824091976600002</v>
      </c>
      <c r="CM7">
        <v>99.572204190400001</v>
      </c>
      <c r="CN7">
        <v>101.970498324</v>
      </c>
      <c r="CO7">
        <v>99.774041191600006</v>
      </c>
      <c r="CP7">
        <v>100.25454008200001</v>
      </c>
      <c r="CQ7">
        <v>99.766403833599995</v>
      </c>
      <c r="CR7">
        <v>99.060554162800003</v>
      </c>
      <c r="CS7">
        <v>97.164832837099993</v>
      </c>
      <c r="CT7">
        <v>103.692791173</v>
      </c>
      <c r="CU7">
        <v>99.626154009399997</v>
      </c>
      <c r="CV7">
        <v>102.00415722</v>
      </c>
      <c r="CW7">
        <v>96.853679677700001</v>
      </c>
      <c r="CX7">
        <v>97.121042389099998</v>
      </c>
      <c r="CY7">
        <v>97.302480412700007</v>
      </c>
      <c r="CZ7">
        <v>99.298890146000005</v>
      </c>
      <c r="DA7">
        <v>97.929452514199994</v>
      </c>
    </row>
    <row r="8" spans="5:105" x14ac:dyDescent="0.25">
      <c r="E8">
        <f>S_plus!L8</f>
        <v>6.0000000000000005E-2</v>
      </c>
      <c r="F8">
        <v>103.847587076</v>
      </c>
      <c r="G8">
        <v>105.252602884</v>
      </c>
      <c r="H8">
        <v>91.642943409899999</v>
      </c>
      <c r="I8">
        <v>102.74091038100001</v>
      </c>
      <c r="J8">
        <v>95.876984717400006</v>
      </c>
      <c r="K8">
        <v>98.096197653900006</v>
      </c>
      <c r="L8">
        <v>91.779298358999995</v>
      </c>
      <c r="M8">
        <v>98.794328171999993</v>
      </c>
      <c r="N8">
        <v>88.322487436200007</v>
      </c>
      <c r="O8">
        <v>105.888073534</v>
      </c>
      <c r="P8">
        <v>99.806584839199999</v>
      </c>
      <c r="Q8">
        <v>95.668921691999998</v>
      </c>
      <c r="R8">
        <v>102.71520076</v>
      </c>
      <c r="S8">
        <v>101.165266144</v>
      </c>
      <c r="T8">
        <v>95.238676817499993</v>
      </c>
      <c r="U8">
        <v>106.843058642</v>
      </c>
      <c r="V8">
        <v>109.989766725</v>
      </c>
      <c r="W8">
        <v>103.93075623199999</v>
      </c>
      <c r="X8">
        <v>102.950953676</v>
      </c>
      <c r="Y8">
        <v>104.54943484499999</v>
      </c>
      <c r="Z8">
        <v>94.535567125100002</v>
      </c>
      <c r="AA8">
        <v>105.07238736799999</v>
      </c>
      <c r="AB8">
        <v>100.373748621</v>
      </c>
      <c r="AC8">
        <v>99.327728798500004</v>
      </c>
      <c r="AD8">
        <v>95.074077838899996</v>
      </c>
      <c r="AE8">
        <v>100.354158234</v>
      </c>
      <c r="AF8">
        <v>100.156476508</v>
      </c>
      <c r="AG8">
        <v>95.1621067313</v>
      </c>
      <c r="AH8">
        <v>91.953395085899999</v>
      </c>
      <c r="AI8">
        <v>107.38676387300001</v>
      </c>
      <c r="AJ8">
        <v>97.4767561771</v>
      </c>
      <c r="AK8">
        <v>97.291943208500001</v>
      </c>
      <c r="AL8">
        <v>97.253892061200006</v>
      </c>
      <c r="AM8">
        <v>106.680396121</v>
      </c>
      <c r="AN8">
        <v>100.490653157</v>
      </c>
      <c r="AO8">
        <v>106.03502796399999</v>
      </c>
      <c r="AP8">
        <v>96.3706494292</v>
      </c>
      <c r="AQ8">
        <v>101.018491685</v>
      </c>
      <c r="AR8">
        <v>91.481672616200001</v>
      </c>
      <c r="AS8">
        <v>95.717707166300002</v>
      </c>
      <c r="AT8">
        <v>94.592457635599999</v>
      </c>
      <c r="AU8">
        <v>96.630157850800003</v>
      </c>
      <c r="AV8">
        <v>100.91073957099999</v>
      </c>
      <c r="AW8">
        <v>104.766851968</v>
      </c>
      <c r="AX8">
        <v>109.301592461</v>
      </c>
      <c r="AY8">
        <v>100.239208991</v>
      </c>
      <c r="AZ8">
        <v>111.698632069</v>
      </c>
      <c r="BA8">
        <v>96.899631540300007</v>
      </c>
      <c r="BB8">
        <v>97.605785656500004</v>
      </c>
      <c r="BC8">
        <v>93.703345018199997</v>
      </c>
      <c r="BD8">
        <v>97.110451201800004</v>
      </c>
      <c r="BE8">
        <v>99.449287616000007</v>
      </c>
      <c r="BF8">
        <v>109.901457413</v>
      </c>
      <c r="BG8">
        <v>94.7062808461</v>
      </c>
      <c r="BH8">
        <v>109.849368051</v>
      </c>
      <c r="BI8">
        <v>102.874339608</v>
      </c>
      <c r="BJ8">
        <v>105.293480843</v>
      </c>
      <c r="BK8">
        <v>103.00122612600001</v>
      </c>
      <c r="BL8">
        <v>98.963337360699995</v>
      </c>
      <c r="BM8">
        <v>90.810117118700006</v>
      </c>
      <c r="BN8">
        <v>98.405667381100002</v>
      </c>
      <c r="BO8">
        <v>103.889265384</v>
      </c>
      <c r="BP8">
        <v>109.08221422699999</v>
      </c>
      <c r="BQ8">
        <v>100.905667337</v>
      </c>
      <c r="BR8">
        <v>99.605345465799999</v>
      </c>
      <c r="BS8">
        <v>109.497605904</v>
      </c>
      <c r="BT8">
        <v>97.312587736599994</v>
      </c>
      <c r="BU8">
        <v>101.86438717999999</v>
      </c>
      <c r="BV8">
        <v>102.104665298</v>
      </c>
      <c r="BW8">
        <v>106.157640778</v>
      </c>
      <c r="BX8">
        <v>104.60558396499999</v>
      </c>
      <c r="BY8">
        <v>105.47756024500001</v>
      </c>
      <c r="BZ8">
        <v>109.619530375</v>
      </c>
      <c r="CA8">
        <v>93.694253370699997</v>
      </c>
      <c r="CB8">
        <v>108.299374691</v>
      </c>
      <c r="CC8">
        <v>97.579005922600004</v>
      </c>
      <c r="CD8">
        <v>104.932118002</v>
      </c>
      <c r="CE8">
        <v>107.348750416</v>
      </c>
      <c r="CF8">
        <v>98.039762410600005</v>
      </c>
      <c r="CG8">
        <v>107.259392007</v>
      </c>
      <c r="CH8">
        <v>96.865479066999995</v>
      </c>
      <c r="CI8">
        <v>93.249786235599998</v>
      </c>
      <c r="CJ8">
        <v>97.809905904499999</v>
      </c>
      <c r="CK8">
        <v>98.263782084300004</v>
      </c>
      <c r="CL8">
        <v>96.433478481700007</v>
      </c>
      <c r="CM8">
        <v>100.02578044800001</v>
      </c>
      <c r="CN8">
        <v>98.060453204699996</v>
      </c>
      <c r="CO8">
        <v>99.000588139000001</v>
      </c>
      <c r="CP8">
        <v>100.592041997</v>
      </c>
      <c r="CQ8">
        <v>101.403253479</v>
      </c>
      <c r="CR8">
        <v>99.139435593599998</v>
      </c>
      <c r="CS8">
        <v>96.824557969099999</v>
      </c>
      <c r="CT8">
        <v>107.284915376</v>
      </c>
      <c r="CU8">
        <v>99.608715080300001</v>
      </c>
      <c r="CV8">
        <v>101.86939028800001</v>
      </c>
      <c r="CW8">
        <v>95.730338176700002</v>
      </c>
      <c r="CX8">
        <v>97.529684964200001</v>
      </c>
      <c r="CY8">
        <v>97.011965118299997</v>
      </c>
      <c r="CZ8">
        <v>101.011402843</v>
      </c>
      <c r="DA8">
        <v>99.725853250300005</v>
      </c>
    </row>
    <row r="9" spans="5:105" x14ac:dyDescent="0.25">
      <c r="E9">
        <f>S_plus!L9</f>
        <v>7.0000000000000007E-2</v>
      </c>
      <c r="F9">
        <v>106.850571242</v>
      </c>
      <c r="G9">
        <v>104.263986781</v>
      </c>
      <c r="H9">
        <v>91.483310236199998</v>
      </c>
      <c r="I9">
        <v>99.946380550599997</v>
      </c>
      <c r="J9">
        <v>96.574779564300002</v>
      </c>
      <c r="K9">
        <v>101.694433026</v>
      </c>
      <c r="L9">
        <v>93.195091649800005</v>
      </c>
      <c r="M9">
        <v>100.38919242999999</v>
      </c>
      <c r="N9">
        <v>92.5521211927</v>
      </c>
      <c r="O9">
        <v>103.182606526</v>
      </c>
      <c r="P9">
        <v>100.898793674</v>
      </c>
      <c r="Q9">
        <v>95.2147539897</v>
      </c>
      <c r="R9">
        <v>97.017037221899997</v>
      </c>
      <c r="S9">
        <v>103.32452389700001</v>
      </c>
      <c r="T9">
        <v>95.578675886300005</v>
      </c>
      <c r="U9">
        <v>106.988682004</v>
      </c>
      <c r="V9">
        <v>111.414308779</v>
      </c>
      <c r="W9">
        <v>104.889599434</v>
      </c>
      <c r="X9">
        <v>100.816589639</v>
      </c>
      <c r="Y9">
        <v>108.328402203</v>
      </c>
      <c r="Z9">
        <v>94.244828752299995</v>
      </c>
      <c r="AA9">
        <v>106.334626138</v>
      </c>
      <c r="AB9">
        <v>97.194947784899995</v>
      </c>
      <c r="AC9">
        <v>100.66206545199999</v>
      </c>
      <c r="AD9">
        <v>96.508169766500004</v>
      </c>
      <c r="AE9">
        <v>102.265921345</v>
      </c>
      <c r="AF9">
        <v>99.855001852100003</v>
      </c>
      <c r="AG9">
        <v>93.631921603199999</v>
      </c>
      <c r="AH9">
        <v>91.857397748899999</v>
      </c>
      <c r="AI9">
        <v>105.073367186</v>
      </c>
      <c r="AJ9">
        <v>97.473354982800004</v>
      </c>
      <c r="AK9">
        <v>99.431136005799999</v>
      </c>
      <c r="AL9">
        <v>96.809719200499998</v>
      </c>
      <c r="AM9">
        <v>109.226468336</v>
      </c>
      <c r="AN9">
        <v>103.11125794100001</v>
      </c>
      <c r="AO9">
        <v>104.757367589</v>
      </c>
      <c r="AP9">
        <v>96.564677663599994</v>
      </c>
      <c r="AQ9">
        <v>103.38863580100001</v>
      </c>
      <c r="AR9">
        <v>92.133258017100005</v>
      </c>
      <c r="AS9">
        <v>96.080214991199995</v>
      </c>
      <c r="AT9">
        <v>95.636866863600005</v>
      </c>
      <c r="AU9">
        <v>97.663184804799997</v>
      </c>
      <c r="AV9">
        <v>98.763085255899995</v>
      </c>
      <c r="AW9">
        <v>105.86879645400001</v>
      </c>
      <c r="AX9">
        <v>113.51029853999999</v>
      </c>
      <c r="AY9">
        <v>103.776852389</v>
      </c>
      <c r="AZ9">
        <v>115.89346258499999</v>
      </c>
      <c r="BA9">
        <v>98.030789544399994</v>
      </c>
      <c r="BB9">
        <v>94.554662031299998</v>
      </c>
      <c r="BC9">
        <v>96.627239278900007</v>
      </c>
      <c r="BD9">
        <v>99.903129437299995</v>
      </c>
      <c r="BE9">
        <v>98.503572318099998</v>
      </c>
      <c r="BF9">
        <v>109.85507192999999</v>
      </c>
      <c r="BG9">
        <v>95.217109201699998</v>
      </c>
      <c r="BH9">
        <v>110.020340852</v>
      </c>
      <c r="BI9">
        <v>102.829693947</v>
      </c>
      <c r="BJ9">
        <v>102.754234338</v>
      </c>
      <c r="BK9">
        <v>103.82249347699999</v>
      </c>
      <c r="BL9">
        <v>101.115263613</v>
      </c>
      <c r="BM9">
        <v>93.150098348900002</v>
      </c>
      <c r="BN9">
        <v>98.693925089000004</v>
      </c>
      <c r="BO9">
        <v>105.044621651</v>
      </c>
      <c r="BP9">
        <v>107.261244042</v>
      </c>
      <c r="BQ9">
        <v>98.6211480411</v>
      </c>
      <c r="BR9">
        <v>99.569329476199997</v>
      </c>
      <c r="BS9">
        <v>110.147871061</v>
      </c>
      <c r="BT9">
        <v>100.418812011</v>
      </c>
      <c r="BU9">
        <v>104.33716511999999</v>
      </c>
      <c r="BV9">
        <v>103.241886343</v>
      </c>
      <c r="BW9">
        <v>104.439346478</v>
      </c>
      <c r="BX9">
        <v>101.582902147</v>
      </c>
      <c r="BY9">
        <v>104.089437891</v>
      </c>
      <c r="BZ9">
        <v>110.348643903</v>
      </c>
      <c r="CA9">
        <v>95.860020740300001</v>
      </c>
      <c r="CB9">
        <v>110.199677627</v>
      </c>
      <c r="CC9">
        <v>97.966484941199994</v>
      </c>
      <c r="CD9">
        <v>103.131745514</v>
      </c>
      <c r="CE9">
        <v>106.72170083</v>
      </c>
      <c r="CF9">
        <v>102.499085937</v>
      </c>
      <c r="CG9">
        <v>104.32190221099999</v>
      </c>
      <c r="CH9">
        <v>95.589966627899997</v>
      </c>
      <c r="CI9">
        <v>95.094624061999994</v>
      </c>
      <c r="CJ9">
        <v>102.533580614</v>
      </c>
      <c r="CK9">
        <v>99.105275473600003</v>
      </c>
      <c r="CL9">
        <v>97.474254184399996</v>
      </c>
      <c r="CM9">
        <v>98.558176242800002</v>
      </c>
      <c r="CN9">
        <v>96.991553696899999</v>
      </c>
      <c r="CO9">
        <v>96.199223512499998</v>
      </c>
      <c r="CP9">
        <v>101.900962537</v>
      </c>
      <c r="CQ9">
        <v>97.490653983800001</v>
      </c>
      <c r="CR9">
        <v>101.745295704</v>
      </c>
      <c r="CS9">
        <v>95.648440565200005</v>
      </c>
      <c r="CT9">
        <v>107.657184472</v>
      </c>
      <c r="CU9">
        <v>97.199998423500006</v>
      </c>
      <c r="CV9">
        <v>101.30628911399999</v>
      </c>
      <c r="CW9">
        <v>96.597467648000006</v>
      </c>
      <c r="CX9">
        <v>95.6620033592</v>
      </c>
      <c r="CY9">
        <v>95.474591174300002</v>
      </c>
      <c r="CZ9">
        <v>104.219882703</v>
      </c>
      <c r="DA9">
        <v>97.969907402399997</v>
      </c>
    </row>
    <row r="10" spans="5:105" x14ac:dyDescent="0.25">
      <c r="E10">
        <f>S_plus!L10</f>
        <v>0.08</v>
      </c>
      <c r="F10">
        <v>106.607455903</v>
      </c>
      <c r="G10">
        <v>104.326469387</v>
      </c>
      <c r="H10">
        <v>92.7542474137</v>
      </c>
      <c r="I10">
        <v>102.418158174</v>
      </c>
      <c r="J10">
        <v>95.760631910100003</v>
      </c>
      <c r="K10">
        <v>101.571083644</v>
      </c>
      <c r="L10">
        <v>92.215690092200006</v>
      </c>
      <c r="M10">
        <v>98.445094496799996</v>
      </c>
      <c r="N10">
        <v>92.532105942399994</v>
      </c>
      <c r="O10">
        <v>100.13171464600001</v>
      </c>
      <c r="P10">
        <v>101.313440118</v>
      </c>
      <c r="Q10">
        <v>95.182127319900005</v>
      </c>
      <c r="R10">
        <v>100.483723797</v>
      </c>
      <c r="S10">
        <v>101.87270333399999</v>
      </c>
      <c r="T10">
        <v>98.657771607300006</v>
      </c>
      <c r="U10">
        <v>105.965882154</v>
      </c>
      <c r="V10">
        <v>113.210747084</v>
      </c>
      <c r="W10">
        <v>103.438007095</v>
      </c>
      <c r="X10">
        <v>98.463004538000007</v>
      </c>
      <c r="Y10">
        <v>109.166103577</v>
      </c>
      <c r="Z10">
        <v>94.253237992099997</v>
      </c>
      <c r="AA10">
        <v>103.73915348</v>
      </c>
      <c r="AB10">
        <v>97.091738112200005</v>
      </c>
      <c r="AC10">
        <v>102.13607633399999</v>
      </c>
      <c r="AD10">
        <v>95.123420609799993</v>
      </c>
      <c r="AE10">
        <v>103.014529811</v>
      </c>
      <c r="AF10">
        <v>99.208487397400006</v>
      </c>
      <c r="AG10">
        <v>91.444979081</v>
      </c>
      <c r="AH10">
        <v>91.602733948199997</v>
      </c>
      <c r="AI10">
        <v>105.054561108</v>
      </c>
      <c r="AJ10">
        <v>100.400733555</v>
      </c>
      <c r="AK10">
        <v>97.564819035900001</v>
      </c>
      <c r="AL10">
        <v>96.194786702499997</v>
      </c>
      <c r="AM10">
        <v>112.165211458</v>
      </c>
      <c r="AN10">
        <v>104.326252838</v>
      </c>
      <c r="AO10">
        <v>104.014264367</v>
      </c>
      <c r="AP10">
        <v>97.261417751699994</v>
      </c>
      <c r="AQ10">
        <v>103.824687662</v>
      </c>
      <c r="AR10">
        <v>89.497824167600001</v>
      </c>
      <c r="AS10">
        <v>96.170060742100006</v>
      </c>
      <c r="AT10">
        <v>95.912446436699994</v>
      </c>
      <c r="AU10">
        <v>97.249090841899999</v>
      </c>
      <c r="AV10">
        <v>97.699484940600001</v>
      </c>
      <c r="AW10">
        <v>105.48632821299999</v>
      </c>
      <c r="AX10">
        <v>113.536156148</v>
      </c>
      <c r="AY10">
        <v>106.02073054</v>
      </c>
      <c r="AZ10">
        <v>114.163244869</v>
      </c>
      <c r="BA10">
        <v>98.856385450100007</v>
      </c>
      <c r="BB10">
        <v>95.268617734900005</v>
      </c>
      <c r="BC10">
        <v>96.841080122500003</v>
      </c>
      <c r="BD10">
        <v>101.92317174199999</v>
      </c>
      <c r="BE10">
        <v>104.98413973700001</v>
      </c>
      <c r="BF10">
        <v>106.098021741</v>
      </c>
      <c r="BG10">
        <v>97.832758806200005</v>
      </c>
      <c r="BH10">
        <v>110.545493365</v>
      </c>
      <c r="BI10">
        <v>100.382112252</v>
      </c>
      <c r="BJ10">
        <v>104.690638823</v>
      </c>
      <c r="BK10">
        <v>101.40075992600001</v>
      </c>
      <c r="BL10">
        <v>99.381107130999993</v>
      </c>
      <c r="BM10">
        <v>96.610507128999998</v>
      </c>
      <c r="BN10">
        <v>99.036197534099998</v>
      </c>
      <c r="BO10">
        <v>105.510395378</v>
      </c>
      <c r="BP10">
        <v>105.355439348</v>
      </c>
      <c r="BQ10">
        <v>101.61345867599999</v>
      </c>
      <c r="BR10">
        <v>101.26562030700001</v>
      </c>
      <c r="BS10">
        <v>109.44458874199999</v>
      </c>
      <c r="BT10">
        <v>99.744884761899996</v>
      </c>
      <c r="BU10">
        <v>103.851821173</v>
      </c>
      <c r="BV10">
        <v>101.588780422</v>
      </c>
      <c r="BW10">
        <v>105.63315465700001</v>
      </c>
      <c r="BX10">
        <v>100.763974969</v>
      </c>
      <c r="BY10">
        <v>103.345479725</v>
      </c>
      <c r="BZ10">
        <v>109.16175090900001</v>
      </c>
      <c r="CA10">
        <v>94.703183291399995</v>
      </c>
      <c r="CB10">
        <v>112.138273813</v>
      </c>
      <c r="CC10">
        <v>98.676881358100005</v>
      </c>
      <c r="CD10">
        <v>101.329772077</v>
      </c>
      <c r="CE10">
        <v>108.08840571</v>
      </c>
      <c r="CF10">
        <v>102.608753038</v>
      </c>
      <c r="CG10">
        <v>108.074630185</v>
      </c>
      <c r="CH10">
        <v>95.4006135753</v>
      </c>
      <c r="CI10">
        <v>101.32435367399999</v>
      </c>
      <c r="CJ10">
        <v>99.739256013399995</v>
      </c>
      <c r="CK10">
        <v>101.28308371200001</v>
      </c>
      <c r="CL10">
        <v>96.925316832700005</v>
      </c>
      <c r="CM10">
        <v>97.312954465800004</v>
      </c>
      <c r="CN10">
        <v>96.0457105638</v>
      </c>
      <c r="CO10">
        <v>92.665627373899994</v>
      </c>
      <c r="CP10">
        <v>102.24963330600001</v>
      </c>
      <c r="CQ10">
        <v>97.1550829607</v>
      </c>
      <c r="CR10">
        <v>103.94908215</v>
      </c>
      <c r="CS10">
        <v>96.556152607399994</v>
      </c>
      <c r="CT10">
        <v>104.782291503</v>
      </c>
      <c r="CU10">
        <v>92.513932768900005</v>
      </c>
      <c r="CV10">
        <v>105.455498722</v>
      </c>
      <c r="CW10">
        <v>97.940121704999996</v>
      </c>
      <c r="CX10">
        <v>97.989977253999996</v>
      </c>
      <c r="CY10">
        <v>96.266340907599997</v>
      </c>
      <c r="CZ10">
        <v>103.81979687099999</v>
      </c>
      <c r="DA10">
        <v>99.640695306300003</v>
      </c>
    </row>
    <row r="11" spans="5:105" x14ac:dyDescent="0.25">
      <c r="E11">
        <f>S_plus!L11</f>
        <v>0.09</v>
      </c>
      <c r="F11">
        <v>108.669201746</v>
      </c>
      <c r="G11">
        <v>105.61736129499999</v>
      </c>
      <c r="H11">
        <v>91.274315928999997</v>
      </c>
      <c r="I11">
        <v>101.427820893</v>
      </c>
      <c r="J11">
        <v>96.999581468800002</v>
      </c>
      <c r="K11">
        <v>100.452538351</v>
      </c>
      <c r="L11">
        <v>90.811599829200006</v>
      </c>
      <c r="M11">
        <v>97.637659233999997</v>
      </c>
      <c r="N11">
        <v>91.066272700400006</v>
      </c>
      <c r="O11">
        <v>99.569526130499995</v>
      </c>
      <c r="P11">
        <v>100.09101836799999</v>
      </c>
      <c r="Q11">
        <v>94.935951989800003</v>
      </c>
      <c r="R11">
        <v>100.840928941</v>
      </c>
      <c r="S11">
        <v>98.600099346700006</v>
      </c>
      <c r="T11">
        <v>96.427256076700004</v>
      </c>
      <c r="U11">
        <v>104.81122433</v>
      </c>
      <c r="V11">
        <v>111.372150508</v>
      </c>
      <c r="W11">
        <v>103.734498057</v>
      </c>
      <c r="X11">
        <v>95.163076282000006</v>
      </c>
      <c r="Y11">
        <v>111.954680889</v>
      </c>
      <c r="Z11">
        <v>96.846689283399996</v>
      </c>
      <c r="AA11">
        <v>101.75931706900001</v>
      </c>
      <c r="AB11">
        <v>99.425818147900003</v>
      </c>
      <c r="AC11">
        <v>101.828154901</v>
      </c>
      <c r="AD11">
        <v>94.045531387799997</v>
      </c>
      <c r="AE11">
        <v>102.95076668</v>
      </c>
      <c r="AF11">
        <v>100.934158205</v>
      </c>
      <c r="AG11">
        <v>94.214991979800004</v>
      </c>
      <c r="AH11">
        <v>95.118392806100005</v>
      </c>
      <c r="AI11">
        <v>105.62203447</v>
      </c>
      <c r="AJ11">
        <v>103.783533945</v>
      </c>
      <c r="AK11">
        <v>98.575482038399997</v>
      </c>
      <c r="AL11">
        <v>95.210780115099993</v>
      </c>
      <c r="AM11">
        <v>107.76287140399999</v>
      </c>
      <c r="AN11">
        <v>102.354283489</v>
      </c>
      <c r="AO11">
        <v>99.341650015200003</v>
      </c>
      <c r="AP11">
        <v>98.108106565599996</v>
      </c>
      <c r="AQ11">
        <v>101.668485163</v>
      </c>
      <c r="AR11">
        <v>89.294101932000004</v>
      </c>
      <c r="AS11">
        <v>96.398430368299998</v>
      </c>
      <c r="AT11">
        <v>95.855456980300005</v>
      </c>
      <c r="AU11">
        <v>95.679783214400004</v>
      </c>
      <c r="AV11">
        <v>95.999196997400006</v>
      </c>
      <c r="AW11">
        <v>104.079542793</v>
      </c>
      <c r="AX11">
        <v>114.19537613200001</v>
      </c>
      <c r="AY11">
        <v>105.3298374</v>
      </c>
      <c r="AZ11">
        <v>109.89156959100001</v>
      </c>
      <c r="BA11">
        <v>99.752655097100003</v>
      </c>
      <c r="BB11">
        <v>94.187448244899997</v>
      </c>
      <c r="BC11">
        <v>97.018450265499993</v>
      </c>
      <c r="BD11">
        <v>101.925736431</v>
      </c>
      <c r="BE11">
        <v>107.205200353</v>
      </c>
      <c r="BF11">
        <v>105.40829170400001</v>
      </c>
      <c r="BG11">
        <v>101.23552238400001</v>
      </c>
      <c r="BH11">
        <v>111.21982854700001</v>
      </c>
      <c r="BI11">
        <v>100.637357599</v>
      </c>
      <c r="BJ11">
        <v>105.431244733</v>
      </c>
      <c r="BK11">
        <v>103.676449283</v>
      </c>
      <c r="BL11">
        <v>98.156923417399994</v>
      </c>
      <c r="BM11">
        <v>96.313742869799995</v>
      </c>
      <c r="BN11">
        <v>99.421967168099997</v>
      </c>
      <c r="BO11">
        <v>108.07420859600001</v>
      </c>
      <c r="BP11">
        <v>105.449778236</v>
      </c>
      <c r="BQ11">
        <v>101.795879427</v>
      </c>
      <c r="BR11">
        <v>99.256997869399996</v>
      </c>
      <c r="BS11">
        <v>109.85684390999999</v>
      </c>
      <c r="BT11">
        <v>99.426145512199994</v>
      </c>
      <c r="BU11">
        <v>102.913640388</v>
      </c>
      <c r="BV11">
        <v>102.417297796</v>
      </c>
      <c r="BW11">
        <v>102.024121635</v>
      </c>
      <c r="BX11">
        <v>102.57000312300001</v>
      </c>
      <c r="BY11">
        <v>103.987044313</v>
      </c>
      <c r="BZ11">
        <v>111.924474676</v>
      </c>
      <c r="CA11">
        <v>94.470061145900004</v>
      </c>
      <c r="CB11">
        <v>112.267260642</v>
      </c>
      <c r="CC11">
        <v>96.182336231600004</v>
      </c>
      <c r="CD11">
        <v>100.40056801</v>
      </c>
      <c r="CE11">
        <v>108.259538757</v>
      </c>
      <c r="CF11">
        <v>104.757837217</v>
      </c>
      <c r="CG11">
        <v>106.469710296</v>
      </c>
      <c r="CH11">
        <v>94.996663222500004</v>
      </c>
      <c r="CI11">
        <v>102.69129907200001</v>
      </c>
      <c r="CJ11">
        <v>98.582350950399999</v>
      </c>
      <c r="CK11">
        <v>98.816983161400003</v>
      </c>
      <c r="CL11">
        <v>96.242445731299995</v>
      </c>
      <c r="CM11">
        <v>95.364761727399994</v>
      </c>
      <c r="CN11">
        <v>96.276192494200004</v>
      </c>
      <c r="CO11">
        <v>94.089920300000003</v>
      </c>
      <c r="CP11">
        <v>99.616284671599999</v>
      </c>
      <c r="CQ11">
        <v>95.6766309267</v>
      </c>
      <c r="CR11">
        <v>104.949725478</v>
      </c>
      <c r="CS11">
        <v>98.085197400300004</v>
      </c>
      <c r="CT11">
        <v>106.73488512</v>
      </c>
      <c r="CU11">
        <v>93.632886856900001</v>
      </c>
      <c r="CV11">
        <v>100.785624313</v>
      </c>
      <c r="CW11">
        <v>97.854440141500007</v>
      </c>
      <c r="CX11">
        <v>98.061771912300003</v>
      </c>
      <c r="CY11">
        <v>95.933759476199995</v>
      </c>
      <c r="CZ11">
        <v>103.160364081</v>
      </c>
      <c r="DA11">
        <v>99.739772300300004</v>
      </c>
    </row>
    <row r="12" spans="5:105" x14ac:dyDescent="0.25">
      <c r="E12">
        <f>S_plus!L12</f>
        <v>9.9999999999999992E-2</v>
      </c>
      <c r="F12">
        <v>108.781731519</v>
      </c>
      <c r="G12">
        <v>107.998224069</v>
      </c>
      <c r="H12">
        <v>89.009051903900001</v>
      </c>
      <c r="I12">
        <v>102.201781969</v>
      </c>
      <c r="J12">
        <v>94.280002698199993</v>
      </c>
      <c r="K12">
        <v>99.754995992800005</v>
      </c>
      <c r="L12">
        <v>90.630238901499993</v>
      </c>
      <c r="M12">
        <v>101.35138679000001</v>
      </c>
      <c r="N12">
        <v>88.9887687863</v>
      </c>
      <c r="O12">
        <v>98.370955836600004</v>
      </c>
      <c r="P12">
        <v>101.244161357</v>
      </c>
      <c r="Q12">
        <v>98.7827962673</v>
      </c>
      <c r="R12">
        <v>99.4881182524</v>
      </c>
      <c r="S12">
        <v>102.60822163500001</v>
      </c>
      <c r="T12">
        <v>93.951293163100004</v>
      </c>
      <c r="U12">
        <v>104.82693673</v>
      </c>
      <c r="V12">
        <v>109.84984658</v>
      </c>
      <c r="W12">
        <v>106.238959776</v>
      </c>
      <c r="X12">
        <v>95.452402838899999</v>
      </c>
      <c r="Y12">
        <v>112.029425102</v>
      </c>
      <c r="Z12">
        <v>99.691253137100006</v>
      </c>
      <c r="AA12">
        <v>102.450068288</v>
      </c>
      <c r="AB12">
        <v>100.143572599</v>
      </c>
      <c r="AC12">
        <v>103.669569567</v>
      </c>
      <c r="AD12">
        <v>92.877250658199998</v>
      </c>
      <c r="AE12">
        <v>105.15988032</v>
      </c>
      <c r="AF12">
        <v>102.46267154</v>
      </c>
      <c r="AG12">
        <v>94.2779428005</v>
      </c>
      <c r="AH12">
        <v>93.099329918099997</v>
      </c>
      <c r="AI12">
        <v>103.73208577</v>
      </c>
      <c r="AJ12">
        <v>105.083486599</v>
      </c>
      <c r="AK12">
        <v>99.687759460600006</v>
      </c>
      <c r="AL12">
        <v>96.4815210143</v>
      </c>
      <c r="AM12">
        <v>107.74431570199999</v>
      </c>
      <c r="AN12">
        <v>104.34848505799999</v>
      </c>
      <c r="AO12">
        <v>100.67776153200001</v>
      </c>
      <c r="AP12">
        <v>95.523694691499998</v>
      </c>
      <c r="AQ12">
        <v>102.557637351</v>
      </c>
      <c r="AR12">
        <v>90.571965218100004</v>
      </c>
      <c r="AS12">
        <v>94.942692082400001</v>
      </c>
      <c r="AT12">
        <v>93.615608514399995</v>
      </c>
      <c r="AU12">
        <v>95.501045618899994</v>
      </c>
      <c r="AV12">
        <v>92.520492511800001</v>
      </c>
      <c r="AW12">
        <v>101.777557618</v>
      </c>
      <c r="AX12">
        <v>113.90018004300001</v>
      </c>
      <c r="AY12">
        <v>109.485061808</v>
      </c>
      <c r="AZ12">
        <v>107.42035543599999</v>
      </c>
      <c r="BA12">
        <v>100.25894462799999</v>
      </c>
      <c r="BB12">
        <v>94.310382609100003</v>
      </c>
      <c r="BC12">
        <v>94.652470688899996</v>
      </c>
      <c r="BD12">
        <v>100.420025009</v>
      </c>
      <c r="BE12">
        <v>106.34642440099999</v>
      </c>
      <c r="BF12">
        <v>101.893781987</v>
      </c>
      <c r="BG12">
        <v>99.401512285099997</v>
      </c>
      <c r="BH12">
        <v>112.39332123</v>
      </c>
      <c r="BI12">
        <v>98.517072893800005</v>
      </c>
      <c r="BJ12">
        <v>107.89527847799999</v>
      </c>
      <c r="BK12">
        <v>103.767854047</v>
      </c>
      <c r="BL12">
        <v>96.242783234000001</v>
      </c>
      <c r="BM12">
        <v>97.372375356700005</v>
      </c>
      <c r="BN12">
        <v>101.320403102</v>
      </c>
      <c r="BO12">
        <v>105.77323666300001</v>
      </c>
      <c r="BP12">
        <v>107.189207024</v>
      </c>
      <c r="BQ12">
        <v>98.445743223999997</v>
      </c>
      <c r="BR12">
        <v>97.567362808699997</v>
      </c>
      <c r="BS12">
        <v>107.891300669</v>
      </c>
      <c r="BT12">
        <v>101.210434041</v>
      </c>
      <c r="BU12">
        <v>100.26201763100001</v>
      </c>
      <c r="BV12">
        <v>100.834025619</v>
      </c>
      <c r="BW12">
        <v>100.71013114599999</v>
      </c>
      <c r="BX12">
        <v>99.757323865700002</v>
      </c>
      <c r="BY12">
        <v>102.975796823</v>
      </c>
      <c r="BZ12">
        <v>109.867043338</v>
      </c>
      <c r="CA12">
        <v>93.881257719100006</v>
      </c>
      <c r="CB12">
        <v>109.43634188599999</v>
      </c>
      <c r="CC12">
        <v>96.250143222099993</v>
      </c>
      <c r="CD12">
        <v>98.820595316999999</v>
      </c>
      <c r="CE12">
        <v>107.58351745900001</v>
      </c>
      <c r="CF12">
        <v>105.20728871599999</v>
      </c>
      <c r="CG12">
        <v>108.620688954</v>
      </c>
      <c r="CH12">
        <v>92.581208998099996</v>
      </c>
      <c r="CI12">
        <v>99.699279200299998</v>
      </c>
      <c r="CJ12">
        <v>95.011364632500005</v>
      </c>
      <c r="CK12">
        <v>96.544171133500001</v>
      </c>
      <c r="CL12">
        <v>94.7598049952</v>
      </c>
      <c r="CM12">
        <v>98.242618529500007</v>
      </c>
      <c r="CN12">
        <v>99.1386095294</v>
      </c>
      <c r="CO12">
        <v>94.016768657100002</v>
      </c>
      <c r="CP12">
        <v>97.912801628899999</v>
      </c>
      <c r="CQ12">
        <v>94.445029801000004</v>
      </c>
      <c r="CR12">
        <v>104.12895018499999</v>
      </c>
      <c r="CS12">
        <v>99.478614935799996</v>
      </c>
      <c r="CT12">
        <v>105.371490145</v>
      </c>
      <c r="CU12">
        <v>94.787296342000005</v>
      </c>
      <c r="CV12">
        <v>98.409171564900007</v>
      </c>
      <c r="CW12">
        <v>100.161670207</v>
      </c>
      <c r="CX12">
        <v>98.411023083900005</v>
      </c>
      <c r="CY12">
        <v>99.218322904299995</v>
      </c>
      <c r="CZ12">
        <v>105.982802932</v>
      </c>
      <c r="DA12">
        <v>100.286767165</v>
      </c>
    </row>
    <row r="13" spans="5:105" x14ac:dyDescent="0.25">
      <c r="E13">
        <f>S_plus!L13</f>
        <v>0.10999999999999999</v>
      </c>
      <c r="F13">
        <v>112.391443653</v>
      </c>
      <c r="G13">
        <v>110.73131695399999</v>
      </c>
      <c r="H13">
        <v>87.996022405199994</v>
      </c>
      <c r="I13">
        <v>100.456994361</v>
      </c>
      <c r="J13">
        <v>97.004735930699994</v>
      </c>
      <c r="K13">
        <v>102.881752775</v>
      </c>
      <c r="L13">
        <v>90.114782116699999</v>
      </c>
      <c r="M13">
        <v>104.596923761</v>
      </c>
      <c r="N13">
        <v>87.086430055600005</v>
      </c>
      <c r="O13">
        <v>102.46150233900001</v>
      </c>
      <c r="P13">
        <v>103.00102042100001</v>
      </c>
      <c r="Q13">
        <v>100.762042071</v>
      </c>
      <c r="R13">
        <v>98.537523289199996</v>
      </c>
      <c r="S13">
        <v>104.077635554</v>
      </c>
      <c r="T13">
        <v>91.715288637300006</v>
      </c>
      <c r="U13">
        <v>104.74067884900001</v>
      </c>
      <c r="V13">
        <v>110.824720985</v>
      </c>
      <c r="W13">
        <v>107.360254561</v>
      </c>
      <c r="X13">
        <v>94.992475010199996</v>
      </c>
      <c r="Y13">
        <v>112.921763255</v>
      </c>
      <c r="Z13">
        <v>99.450150713599996</v>
      </c>
      <c r="AA13">
        <v>103.919802824</v>
      </c>
      <c r="AB13">
        <v>100.382243547</v>
      </c>
      <c r="AC13">
        <v>100.916325457</v>
      </c>
      <c r="AD13">
        <v>93.7530190807</v>
      </c>
      <c r="AE13">
        <v>101.07796827599999</v>
      </c>
      <c r="AF13">
        <v>103.346240623</v>
      </c>
      <c r="AG13">
        <v>92.815694362100004</v>
      </c>
      <c r="AH13">
        <v>89.405344202199998</v>
      </c>
      <c r="AI13">
        <v>98.126331216599993</v>
      </c>
      <c r="AJ13">
        <v>105.07464797</v>
      </c>
      <c r="AK13">
        <v>100.533932565</v>
      </c>
      <c r="AL13">
        <v>92.395785528800005</v>
      </c>
      <c r="AM13">
        <v>107.25127727100001</v>
      </c>
      <c r="AN13">
        <v>106.520608072</v>
      </c>
      <c r="AO13">
        <v>100.669801221</v>
      </c>
      <c r="AP13">
        <v>94.754419742899998</v>
      </c>
      <c r="AQ13">
        <v>103.82570625300001</v>
      </c>
      <c r="AR13">
        <v>89.552862120900002</v>
      </c>
      <c r="AS13">
        <v>91.894398359700006</v>
      </c>
      <c r="AT13">
        <v>92.360582711099994</v>
      </c>
      <c r="AU13">
        <v>94.835535902100006</v>
      </c>
      <c r="AV13">
        <v>95.107524436199995</v>
      </c>
      <c r="AW13">
        <v>103.572042419</v>
      </c>
      <c r="AX13">
        <v>117.85858799499999</v>
      </c>
      <c r="AY13">
        <v>108.971421936</v>
      </c>
      <c r="AZ13">
        <v>106.053220098</v>
      </c>
      <c r="BA13">
        <v>103.26229967899999</v>
      </c>
      <c r="BB13">
        <v>94.806354730999999</v>
      </c>
      <c r="BC13">
        <v>93.925505695499993</v>
      </c>
      <c r="BD13">
        <v>102.660492425</v>
      </c>
      <c r="BE13">
        <v>105.45513741000001</v>
      </c>
      <c r="BF13">
        <v>103.295006394</v>
      </c>
      <c r="BG13">
        <v>98.217908124000004</v>
      </c>
      <c r="BH13">
        <v>112.91383619299999</v>
      </c>
      <c r="BI13">
        <v>97.583238534900005</v>
      </c>
      <c r="BJ13">
        <v>106.052390622</v>
      </c>
      <c r="BK13">
        <v>103.31822417399999</v>
      </c>
      <c r="BL13">
        <v>95.732312821400001</v>
      </c>
      <c r="BM13">
        <v>99.698374803899995</v>
      </c>
      <c r="BN13">
        <v>98.143948457400001</v>
      </c>
      <c r="BO13">
        <v>106.330377713</v>
      </c>
      <c r="BP13">
        <v>109.134249673</v>
      </c>
      <c r="BQ13">
        <v>99.005625337300003</v>
      </c>
      <c r="BR13">
        <v>99.763225825500001</v>
      </c>
      <c r="BS13">
        <v>106.71141012299999</v>
      </c>
      <c r="BT13">
        <v>98.903498530899995</v>
      </c>
      <c r="BU13">
        <v>98.653578174000003</v>
      </c>
      <c r="BV13">
        <v>97.186107646300002</v>
      </c>
      <c r="BW13">
        <v>100.6117447</v>
      </c>
      <c r="BX13">
        <v>99.452413948599997</v>
      </c>
      <c r="BY13">
        <v>102.07845000499999</v>
      </c>
      <c r="BZ13">
        <v>111.38279698300001</v>
      </c>
      <c r="CA13">
        <v>92.782389959699998</v>
      </c>
      <c r="CB13">
        <v>110.845358707</v>
      </c>
      <c r="CC13">
        <v>94.080912073999997</v>
      </c>
      <c r="CD13">
        <v>102.636149428</v>
      </c>
      <c r="CE13">
        <v>107.880248235</v>
      </c>
      <c r="CF13">
        <v>104.09653691699999</v>
      </c>
      <c r="CG13">
        <v>109.048801318</v>
      </c>
      <c r="CH13">
        <v>95.186358222500004</v>
      </c>
      <c r="CI13">
        <v>95.632753242000007</v>
      </c>
      <c r="CJ13">
        <v>95.977198871699997</v>
      </c>
      <c r="CK13">
        <v>96.3279919804</v>
      </c>
      <c r="CL13">
        <v>94.141187516299993</v>
      </c>
      <c r="CM13">
        <v>95.002752782100004</v>
      </c>
      <c r="CN13">
        <v>97.294333214399998</v>
      </c>
      <c r="CO13">
        <v>94.212783126199994</v>
      </c>
      <c r="CP13">
        <v>95.652307654099999</v>
      </c>
      <c r="CQ13">
        <v>94.922905199699997</v>
      </c>
      <c r="CR13">
        <v>103.19363518</v>
      </c>
      <c r="CS13">
        <v>99.257429055399996</v>
      </c>
      <c r="CT13">
        <v>106.210718415</v>
      </c>
      <c r="CU13">
        <v>93.3885561405</v>
      </c>
      <c r="CV13">
        <v>100.09278922</v>
      </c>
      <c r="CW13">
        <v>100.510729363</v>
      </c>
      <c r="CX13">
        <v>98.859543790100005</v>
      </c>
      <c r="CY13">
        <v>102.3464893</v>
      </c>
      <c r="CZ13">
        <v>104.34130779199999</v>
      </c>
      <c r="DA13">
        <v>100.754407969</v>
      </c>
    </row>
    <row r="14" spans="5:105" x14ac:dyDescent="0.25">
      <c r="E14">
        <f>S_plus!L14</f>
        <v>0.11999999999999998</v>
      </c>
      <c r="F14">
        <v>115.187667902</v>
      </c>
      <c r="G14">
        <v>111.62734914000001</v>
      </c>
      <c r="H14">
        <v>87.2144241835</v>
      </c>
      <c r="I14">
        <v>99.729657880100007</v>
      </c>
      <c r="J14">
        <v>94.2244648434</v>
      </c>
      <c r="K14">
        <v>104.293287429</v>
      </c>
      <c r="L14">
        <v>91.284119282700004</v>
      </c>
      <c r="M14">
        <v>105.808581249</v>
      </c>
      <c r="N14">
        <v>89.314171099999996</v>
      </c>
      <c r="O14">
        <v>105.54372709899999</v>
      </c>
      <c r="P14">
        <v>98.492247844299996</v>
      </c>
      <c r="Q14">
        <v>102.343927044</v>
      </c>
      <c r="R14">
        <v>100.310818137</v>
      </c>
      <c r="S14">
        <v>104.133097357</v>
      </c>
      <c r="T14">
        <v>94.562203465300001</v>
      </c>
      <c r="U14">
        <v>105.55526680299999</v>
      </c>
      <c r="V14">
        <v>111.726076241</v>
      </c>
      <c r="W14">
        <v>105.298947892</v>
      </c>
      <c r="X14">
        <v>93.738045721099994</v>
      </c>
      <c r="Y14">
        <v>109.245120231</v>
      </c>
      <c r="Z14">
        <v>98.658951432099997</v>
      </c>
      <c r="AA14">
        <v>105.058549579</v>
      </c>
      <c r="AB14">
        <v>101.030046803</v>
      </c>
      <c r="AC14">
        <v>99.962353850699998</v>
      </c>
      <c r="AD14">
        <v>91.550083695200001</v>
      </c>
      <c r="AE14">
        <v>97.046165932099996</v>
      </c>
      <c r="AF14">
        <v>104.077708098</v>
      </c>
      <c r="AG14">
        <v>95.077958605800006</v>
      </c>
      <c r="AH14">
        <v>86.993919423600005</v>
      </c>
      <c r="AI14">
        <v>97.585216115700007</v>
      </c>
      <c r="AJ14">
        <v>107.959107386</v>
      </c>
      <c r="AK14">
        <v>100.429766448</v>
      </c>
      <c r="AL14">
        <v>93.901837142399998</v>
      </c>
      <c r="AM14">
        <v>110.41394874300001</v>
      </c>
      <c r="AN14">
        <v>103.79826244100001</v>
      </c>
      <c r="AO14">
        <v>101.761442528</v>
      </c>
      <c r="AP14">
        <v>93.024203723799999</v>
      </c>
      <c r="AQ14">
        <v>103.161399402</v>
      </c>
      <c r="AR14">
        <v>91.110627790400002</v>
      </c>
      <c r="AS14">
        <v>92.067641302599995</v>
      </c>
      <c r="AT14">
        <v>92.1569567433</v>
      </c>
      <c r="AU14">
        <v>92.560816536600001</v>
      </c>
      <c r="AV14">
        <v>93.622880410899995</v>
      </c>
      <c r="AW14">
        <v>99.908619933099999</v>
      </c>
      <c r="AX14">
        <v>118.690461391</v>
      </c>
      <c r="AY14">
        <v>109.76143215</v>
      </c>
      <c r="AZ14">
        <v>104.806913055</v>
      </c>
      <c r="BA14">
        <v>102.103459617</v>
      </c>
      <c r="BB14">
        <v>98.825391778300002</v>
      </c>
      <c r="BC14">
        <v>91.750764555700002</v>
      </c>
      <c r="BD14">
        <v>103.975661335</v>
      </c>
      <c r="BE14">
        <v>106.08264839100001</v>
      </c>
      <c r="BF14">
        <v>103.583009245</v>
      </c>
      <c r="BG14">
        <v>100.640650542</v>
      </c>
      <c r="BH14">
        <v>114.93529565</v>
      </c>
      <c r="BI14">
        <v>102.537073467</v>
      </c>
      <c r="BJ14">
        <v>103.404918464</v>
      </c>
      <c r="BK14">
        <v>101.307235358</v>
      </c>
      <c r="BL14">
        <v>96.716821233900006</v>
      </c>
      <c r="BM14">
        <v>96.413258600299997</v>
      </c>
      <c r="BN14">
        <v>97.409032093299999</v>
      </c>
      <c r="BO14">
        <v>105.625294407</v>
      </c>
      <c r="BP14">
        <v>106.683437557</v>
      </c>
      <c r="BQ14">
        <v>101.492079234</v>
      </c>
      <c r="BR14">
        <v>98.955078329200006</v>
      </c>
      <c r="BS14">
        <v>108.169652716</v>
      </c>
      <c r="BT14">
        <v>100.06723498300001</v>
      </c>
      <c r="BU14">
        <v>98.651174788700004</v>
      </c>
      <c r="BV14">
        <v>98.2805683837</v>
      </c>
      <c r="BW14">
        <v>103.321416394</v>
      </c>
      <c r="BX14">
        <v>99.099104769500002</v>
      </c>
      <c r="BY14">
        <v>100.093000375</v>
      </c>
      <c r="BZ14">
        <v>111.54632399499999</v>
      </c>
      <c r="CA14">
        <v>91.348301429800003</v>
      </c>
      <c r="CB14">
        <v>110.240105422</v>
      </c>
      <c r="CC14">
        <v>93.273641395300004</v>
      </c>
      <c r="CD14">
        <v>106.952780084</v>
      </c>
      <c r="CE14">
        <v>109.491641692</v>
      </c>
      <c r="CF14">
        <v>105.292625603</v>
      </c>
      <c r="CG14">
        <v>110.10640318199999</v>
      </c>
      <c r="CH14">
        <v>96.788096789500003</v>
      </c>
      <c r="CI14">
        <v>92.9631923038</v>
      </c>
      <c r="CJ14">
        <v>95.8187826777</v>
      </c>
      <c r="CK14">
        <v>100.748457774</v>
      </c>
      <c r="CL14">
        <v>94.631609508400004</v>
      </c>
      <c r="CM14">
        <v>95.453770520899994</v>
      </c>
      <c r="CN14">
        <v>97.552314204599995</v>
      </c>
      <c r="CO14">
        <v>95.0424034519</v>
      </c>
      <c r="CP14">
        <v>96.883812646899997</v>
      </c>
      <c r="CQ14">
        <v>94.922076613800002</v>
      </c>
      <c r="CR14">
        <v>103.45862331799999</v>
      </c>
      <c r="CS14">
        <v>97.638381165300004</v>
      </c>
      <c r="CT14">
        <v>104.58237825800001</v>
      </c>
      <c r="CU14">
        <v>93.184884518499999</v>
      </c>
      <c r="CV14">
        <v>99.631066829900007</v>
      </c>
      <c r="CW14">
        <v>99.571750481099997</v>
      </c>
      <c r="CX14">
        <v>99.121043826100006</v>
      </c>
      <c r="CY14">
        <v>101.273767737</v>
      </c>
      <c r="CZ14">
        <v>105.338060457</v>
      </c>
      <c r="DA14">
        <v>99.106172478800005</v>
      </c>
    </row>
    <row r="15" spans="5:105" x14ac:dyDescent="0.25">
      <c r="E15">
        <f>S_plus!L15</f>
        <v>0.12999999999999998</v>
      </c>
      <c r="F15">
        <v>119.839675163</v>
      </c>
      <c r="G15">
        <v>113.33216919900001</v>
      </c>
      <c r="H15">
        <v>85.137374054999995</v>
      </c>
      <c r="I15">
        <v>99.534051421200004</v>
      </c>
      <c r="J15">
        <v>97.765122855100003</v>
      </c>
      <c r="K15">
        <v>101.053793781</v>
      </c>
      <c r="L15">
        <v>94.072474218699995</v>
      </c>
      <c r="M15">
        <v>111.45248971700001</v>
      </c>
      <c r="N15">
        <v>90.010220442399998</v>
      </c>
      <c r="O15">
        <v>105.464213775</v>
      </c>
      <c r="P15">
        <v>96.641120426900002</v>
      </c>
      <c r="Q15">
        <v>104.971569856</v>
      </c>
      <c r="R15">
        <v>102.51662649799999</v>
      </c>
      <c r="S15">
        <v>104.37096463899999</v>
      </c>
      <c r="T15">
        <v>93.223541678900006</v>
      </c>
      <c r="U15">
        <v>106.272899227</v>
      </c>
      <c r="V15">
        <v>111.40940478500001</v>
      </c>
      <c r="W15">
        <v>110.4834048</v>
      </c>
      <c r="X15">
        <v>93.036872565400003</v>
      </c>
      <c r="Y15">
        <v>114.43215803</v>
      </c>
      <c r="Z15">
        <v>98.984388171000006</v>
      </c>
      <c r="AA15">
        <v>103.956010191</v>
      </c>
      <c r="AB15">
        <v>105.463948844</v>
      </c>
      <c r="AC15">
        <v>98.272134417399997</v>
      </c>
      <c r="AD15">
        <v>90.287963194300005</v>
      </c>
      <c r="AE15">
        <v>99.370042983199994</v>
      </c>
      <c r="AF15">
        <v>104.970568339</v>
      </c>
      <c r="AG15">
        <v>92.444472746599999</v>
      </c>
      <c r="AH15">
        <v>86.725335097699997</v>
      </c>
      <c r="AI15">
        <v>101.15853325099999</v>
      </c>
      <c r="AJ15">
        <v>105.50573297</v>
      </c>
      <c r="AK15">
        <v>101.263369131</v>
      </c>
      <c r="AL15">
        <v>93.853689917899999</v>
      </c>
      <c r="AM15">
        <v>111.583326462</v>
      </c>
      <c r="AN15">
        <v>103.6202748</v>
      </c>
      <c r="AO15">
        <v>102.336978376</v>
      </c>
      <c r="AP15">
        <v>93.271619143899997</v>
      </c>
      <c r="AQ15">
        <v>101.366525397</v>
      </c>
      <c r="AR15">
        <v>91.4426929925</v>
      </c>
      <c r="AS15">
        <v>89.084538759799997</v>
      </c>
      <c r="AT15">
        <v>88.445317330999998</v>
      </c>
      <c r="AU15">
        <v>90.970094537199998</v>
      </c>
      <c r="AV15">
        <v>91.937170898800005</v>
      </c>
      <c r="AW15">
        <v>101.85361071600001</v>
      </c>
      <c r="AX15">
        <v>123.25616438599999</v>
      </c>
      <c r="AY15">
        <v>109.194639649</v>
      </c>
      <c r="AZ15">
        <v>107.667259797</v>
      </c>
      <c r="BA15">
        <v>102.84215084</v>
      </c>
      <c r="BB15">
        <v>96.9206682019</v>
      </c>
      <c r="BC15">
        <v>92.888310323900001</v>
      </c>
      <c r="BD15">
        <v>103.77815435799999</v>
      </c>
      <c r="BE15">
        <v>107.209801978</v>
      </c>
      <c r="BF15">
        <v>107.165350436</v>
      </c>
      <c r="BG15">
        <v>100.646790125</v>
      </c>
      <c r="BH15">
        <v>118.54992884799999</v>
      </c>
      <c r="BI15">
        <v>102.14110314600001</v>
      </c>
      <c r="BJ15">
        <v>102.618955777</v>
      </c>
      <c r="BK15">
        <v>99.663885755099997</v>
      </c>
      <c r="BL15">
        <v>96.284222615299996</v>
      </c>
      <c r="BM15">
        <v>95.654554765699999</v>
      </c>
      <c r="BN15">
        <v>96.977936211900001</v>
      </c>
      <c r="BO15">
        <v>105.049291348</v>
      </c>
      <c r="BP15">
        <v>107.06175720100001</v>
      </c>
      <c r="BQ15">
        <v>102.698104878</v>
      </c>
      <c r="BR15">
        <v>98.150926779800002</v>
      </c>
      <c r="BS15">
        <v>109.133806777</v>
      </c>
      <c r="BT15">
        <v>99.078715891900003</v>
      </c>
      <c r="BU15">
        <v>98.320616974399996</v>
      </c>
      <c r="BV15">
        <v>98.623846856100002</v>
      </c>
      <c r="BW15">
        <v>102.999892731</v>
      </c>
      <c r="BX15">
        <v>98.671672950499996</v>
      </c>
      <c r="BY15">
        <v>100.044373991</v>
      </c>
      <c r="BZ15">
        <v>112.36565953900001</v>
      </c>
      <c r="CA15">
        <v>90.411149092100004</v>
      </c>
      <c r="CB15">
        <v>112.085956279</v>
      </c>
      <c r="CC15">
        <v>94.905167218499997</v>
      </c>
      <c r="CD15">
        <v>107.475189237</v>
      </c>
      <c r="CE15">
        <v>111.16181493400001</v>
      </c>
      <c r="CF15">
        <v>109.06770938699999</v>
      </c>
      <c r="CG15">
        <v>107.628836662</v>
      </c>
      <c r="CH15">
        <v>95.277495531100001</v>
      </c>
      <c r="CI15">
        <v>97.209990396699993</v>
      </c>
      <c r="CJ15">
        <v>95.716251589600006</v>
      </c>
      <c r="CK15">
        <v>101.731362369</v>
      </c>
      <c r="CL15">
        <v>92.626535639799997</v>
      </c>
      <c r="CM15">
        <v>95.687197046700007</v>
      </c>
      <c r="CN15">
        <v>100.653386591</v>
      </c>
      <c r="CO15">
        <v>93.904513854100003</v>
      </c>
      <c r="CP15">
        <v>96.394516715400002</v>
      </c>
      <c r="CQ15">
        <v>92.844397343300002</v>
      </c>
      <c r="CR15">
        <v>101.34094946899999</v>
      </c>
      <c r="CS15">
        <v>97.901963327299995</v>
      </c>
      <c r="CT15">
        <v>102.783662326</v>
      </c>
      <c r="CU15">
        <v>93.910295645600002</v>
      </c>
      <c r="CV15">
        <v>104.252682908</v>
      </c>
      <c r="CW15">
        <v>101.446859108</v>
      </c>
      <c r="CX15">
        <v>98.796834337099995</v>
      </c>
      <c r="CY15">
        <v>101.926641043</v>
      </c>
      <c r="CZ15">
        <v>102.93063164599999</v>
      </c>
      <c r="DA15">
        <v>99.8863294067</v>
      </c>
    </row>
    <row r="16" spans="5:105" x14ac:dyDescent="0.25">
      <c r="E16">
        <f>S_plus!L16</f>
        <v>0.13999999999999999</v>
      </c>
      <c r="F16">
        <v>118.11275407799999</v>
      </c>
      <c r="G16">
        <v>113.05706545300001</v>
      </c>
      <c r="H16">
        <v>84.570521205700004</v>
      </c>
      <c r="I16">
        <v>99.941699188499996</v>
      </c>
      <c r="J16">
        <v>99.406271429699999</v>
      </c>
      <c r="K16">
        <v>98.224309938700003</v>
      </c>
      <c r="L16">
        <v>90.630525356000007</v>
      </c>
      <c r="M16">
        <v>112.147229473</v>
      </c>
      <c r="N16">
        <v>87.975918723500001</v>
      </c>
      <c r="O16">
        <v>106.940837758</v>
      </c>
      <c r="P16">
        <v>96.370851526400003</v>
      </c>
      <c r="Q16">
        <v>103.59296260399999</v>
      </c>
      <c r="R16">
        <v>104.43040056300001</v>
      </c>
      <c r="S16">
        <v>101.836321086</v>
      </c>
      <c r="T16">
        <v>92.403068421599997</v>
      </c>
      <c r="U16">
        <v>112.875660805</v>
      </c>
      <c r="V16">
        <v>113.071508229</v>
      </c>
      <c r="W16">
        <v>111.072731976</v>
      </c>
      <c r="X16">
        <v>96.186125259299999</v>
      </c>
      <c r="Y16">
        <v>112.88324727200001</v>
      </c>
      <c r="Z16">
        <v>96.160250233799999</v>
      </c>
      <c r="AA16">
        <v>100.688001306</v>
      </c>
      <c r="AB16">
        <v>108.271869751</v>
      </c>
      <c r="AC16">
        <v>99.122411695899999</v>
      </c>
      <c r="AD16">
        <v>94.012671535699994</v>
      </c>
      <c r="AE16">
        <v>97.765784956999994</v>
      </c>
      <c r="AF16">
        <v>106.61501746</v>
      </c>
      <c r="AG16">
        <v>93.267167789699997</v>
      </c>
      <c r="AH16">
        <v>90.771921903700004</v>
      </c>
      <c r="AI16">
        <v>100.240394286</v>
      </c>
      <c r="AJ16">
        <v>103.519411057</v>
      </c>
      <c r="AK16">
        <v>104.71588058</v>
      </c>
      <c r="AL16">
        <v>92.349958332699998</v>
      </c>
      <c r="AM16">
        <v>108.96879124</v>
      </c>
      <c r="AN16">
        <v>105.642339785</v>
      </c>
      <c r="AO16">
        <v>102.63702531200001</v>
      </c>
      <c r="AP16">
        <v>93.290620738599998</v>
      </c>
      <c r="AQ16">
        <v>98.105781660000005</v>
      </c>
      <c r="AR16">
        <v>92.089640054599997</v>
      </c>
      <c r="AS16">
        <v>91.257630223299998</v>
      </c>
      <c r="AT16">
        <v>90.668845464200004</v>
      </c>
      <c r="AU16">
        <v>94.535111399900003</v>
      </c>
      <c r="AV16">
        <v>90.244556157700003</v>
      </c>
      <c r="AW16">
        <v>99.956984912199999</v>
      </c>
      <c r="AX16">
        <v>122.49226687399999</v>
      </c>
      <c r="AY16">
        <v>111.40144949800001</v>
      </c>
      <c r="AZ16">
        <v>105.871257254</v>
      </c>
      <c r="BA16">
        <v>103.07912019600001</v>
      </c>
      <c r="BB16">
        <v>96.526458338799998</v>
      </c>
      <c r="BC16">
        <v>93.366038102100006</v>
      </c>
      <c r="BD16">
        <v>107.26920490400001</v>
      </c>
      <c r="BE16">
        <v>105.813460256</v>
      </c>
      <c r="BF16">
        <v>110.109863467</v>
      </c>
      <c r="BG16">
        <v>100.29027215399999</v>
      </c>
      <c r="BH16">
        <v>116.32527759600001</v>
      </c>
      <c r="BI16">
        <v>100.592811809</v>
      </c>
      <c r="BJ16">
        <v>101.66929116199999</v>
      </c>
      <c r="BK16">
        <v>100.03261240800001</v>
      </c>
      <c r="BL16">
        <v>95.507384117800001</v>
      </c>
      <c r="BM16">
        <v>94.205157254900001</v>
      </c>
      <c r="BN16">
        <v>97.433451044700007</v>
      </c>
      <c r="BO16">
        <v>109.46576008700001</v>
      </c>
      <c r="BP16">
        <v>107.68734342</v>
      </c>
      <c r="BQ16">
        <v>106.210645812</v>
      </c>
      <c r="BR16">
        <v>101.32835435299999</v>
      </c>
      <c r="BS16">
        <v>107.406712453</v>
      </c>
      <c r="BT16">
        <v>100.472941217</v>
      </c>
      <c r="BU16">
        <v>99.203408549800002</v>
      </c>
      <c r="BV16">
        <v>100.650140588</v>
      </c>
      <c r="BW16">
        <v>102.19823914600001</v>
      </c>
      <c r="BX16">
        <v>96.510649631099994</v>
      </c>
      <c r="BY16">
        <v>101.651067862</v>
      </c>
      <c r="BZ16">
        <v>114.81242070899999</v>
      </c>
      <c r="CA16">
        <v>93.000047970699995</v>
      </c>
      <c r="CB16">
        <v>112.00079240300001</v>
      </c>
      <c r="CC16">
        <v>98.621216974299998</v>
      </c>
      <c r="CD16">
        <v>107.900940613</v>
      </c>
      <c r="CE16">
        <v>111.369876316</v>
      </c>
      <c r="CF16">
        <v>110.99790819499999</v>
      </c>
      <c r="CG16">
        <v>107.552656287</v>
      </c>
      <c r="CH16">
        <v>96.203179668600001</v>
      </c>
      <c r="CI16">
        <v>94.804054903400001</v>
      </c>
      <c r="CJ16">
        <v>90.909984137400002</v>
      </c>
      <c r="CK16">
        <v>97.029016345800002</v>
      </c>
      <c r="CL16">
        <v>90.804267115100004</v>
      </c>
      <c r="CM16">
        <v>92.211344353000001</v>
      </c>
      <c r="CN16">
        <v>98.687319780099998</v>
      </c>
      <c r="CO16">
        <v>92.703974006899998</v>
      </c>
      <c r="CP16">
        <v>94.456396397000006</v>
      </c>
      <c r="CQ16">
        <v>96.403827712600005</v>
      </c>
      <c r="CR16">
        <v>96.825408492799994</v>
      </c>
      <c r="CS16">
        <v>96.533234308100006</v>
      </c>
      <c r="CT16">
        <v>99.890464220699997</v>
      </c>
      <c r="CU16">
        <v>98.481012568400004</v>
      </c>
      <c r="CV16">
        <v>103.031924757</v>
      </c>
      <c r="CW16">
        <v>103.798072029</v>
      </c>
      <c r="CX16">
        <v>96.2422088613</v>
      </c>
      <c r="CY16">
        <v>104.35413317699999</v>
      </c>
      <c r="CZ16">
        <v>102.66474668799999</v>
      </c>
      <c r="DA16">
        <v>101.408890533</v>
      </c>
    </row>
    <row r="17" spans="5:105" x14ac:dyDescent="0.25">
      <c r="E17">
        <f>S_plus!L17</f>
        <v>0.15</v>
      </c>
      <c r="F17">
        <v>118.34418497</v>
      </c>
      <c r="G17">
        <v>109.89447411800001</v>
      </c>
      <c r="H17">
        <v>87.170136132300001</v>
      </c>
      <c r="I17">
        <v>98.339112786499996</v>
      </c>
      <c r="J17">
        <v>102.720198461</v>
      </c>
      <c r="K17">
        <v>98.174698883999994</v>
      </c>
      <c r="L17">
        <v>91.291838776999995</v>
      </c>
      <c r="M17">
        <v>114.56846457</v>
      </c>
      <c r="N17">
        <v>91.412448364599996</v>
      </c>
      <c r="O17">
        <v>106.153310158</v>
      </c>
      <c r="P17">
        <v>96.295845468699994</v>
      </c>
      <c r="Q17">
        <v>102.74527237</v>
      </c>
      <c r="R17">
        <v>104.895885093</v>
      </c>
      <c r="S17">
        <v>101.328664014</v>
      </c>
      <c r="T17">
        <v>91.6844849095</v>
      </c>
      <c r="U17">
        <v>110.978402841</v>
      </c>
      <c r="V17">
        <v>106.343710728</v>
      </c>
      <c r="W17">
        <v>111.25459752099999</v>
      </c>
      <c r="X17">
        <v>93.834188692200001</v>
      </c>
      <c r="Y17">
        <v>113.36987969099999</v>
      </c>
      <c r="Z17">
        <v>94.525255992699996</v>
      </c>
      <c r="AA17">
        <v>98.000659063900002</v>
      </c>
      <c r="AB17">
        <v>107.54795242</v>
      </c>
      <c r="AC17">
        <v>95.309268379299994</v>
      </c>
      <c r="AD17">
        <v>89.211516970000005</v>
      </c>
      <c r="AE17">
        <v>96.242083422199997</v>
      </c>
      <c r="AF17">
        <v>107.481480336</v>
      </c>
      <c r="AG17">
        <v>90.440293378099994</v>
      </c>
      <c r="AH17">
        <v>92.204729479099996</v>
      </c>
      <c r="AI17">
        <v>99.779922915300006</v>
      </c>
      <c r="AJ17">
        <v>102.69706217700001</v>
      </c>
      <c r="AK17">
        <v>105.463165348</v>
      </c>
      <c r="AL17">
        <v>91.496073890399998</v>
      </c>
      <c r="AM17">
        <v>108.55077694000001</v>
      </c>
      <c r="AN17">
        <v>103.79391634300001</v>
      </c>
      <c r="AO17">
        <v>101.527306471</v>
      </c>
      <c r="AP17">
        <v>91.8731802354</v>
      </c>
      <c r="AQ17">
        <v>102.303698594</v>
      </c>
      <c r="AR17">
        <v>92.745682665700002</v>
      </c>
      <c r="AS17">
        <v>93.511469013999999</v>
      </c>
      <c r="AT17">
        <v>92.290237107199999</v>
      </c>
      <c r="AU17">
        <v>93.392849072199994</v>
      </c>
      <c r="AV17">
        <v>88.286971701400006</v>
      </c>
      <c r="AW17">
        <v>98.224793804399994</v>
      </c>
      <c r="AX17">
        <v>121.358410724</v>
      </c>
      <c r="AY17">
        <v>109.62773505299999</v>
      </c>
      <c r="AZ17">
        <v>105.212124336</v>
      </c>
      <c r="BA17">
        <v>104.90531058800001</v>
      </c>
      <c r="BB17">
        <v>95.078600420000001</v>
      </c>
      <c r="BC17">
        <v>92.260093209999994</v>
      </c>
      <c r="BD17">
        <v>105.78997092</v>
      </c>
      <c r="BE17">
        <v>107.183133551</v>
      </c>
      <c r="BF17">
        <v>109.738702929</v>
      </c>
      <c r="BG17">
        <v>99.191110055099998</v>
      </c>
      <c r="BH17">
        <v>117.161998311</v>
      </c>
      <c r="BI17">
        <v>99.287635340700007</v>
      </c>
      <c r="BJ17">
        <v>106.725002545</v>
      </c>
      <c r="BK17">
        <v>97.9094047894</v>
      </c>
      <c r="BL17">
        <v>96.086676592100005</v>
      </c>
      <c r="BM17">
        <v>92.207005501099999</v>
      </c>
      <c r="BN17">
        <v>93.887324618700006</v>
      </c>
      <c r="BO17">
        <v>109.546958418</v>
      </c>
      <c r="BP17">
        <v>106.912475546</v>
      </c>
      <c r="BQ17">
        <v>105.786571943</v>
      </c>
      <c r="BR17">
        <v>102.504585177</v>
      </c>
      <c r="BS17">
        <v>107.510340012</v>
      </c>
      <c r="BT17">
        <v>104.285041495</v>
      </c>
      <c r="BU17">
        <v>97.950198863699995</v>
      </c>
      <c r="BV17">
        <v>103.513956999</v>
      </c>
      <c r="BW17">
        <v>102.395387951</v>
      </c>
      <c r="BX17">
        <v>97.117370710499998</v>
      </c>
      <c r="BY17">
        <v>106.146094742</v>
      </c>
      <c r="BZ17">
        <v>113.926544061</v>
      </c>
      <c r="CA17">
        <v>92.312173007599995</v>
      </c>
      <c r="CB17">
        <v>111.391312453</v>
      </c>
      <c r="CC17">
        <v>95.560096543599997</v>
      </c>
      <c r="CD17">
        <v>108.15477969</v>
      </c>
      <c r="CE17">
        <v>108.445151696</v>
      </c>
      <c r="CF17">
        <v>109.143033324</v>
      </c>
      <c r="CG17">
        <v>109.197692872</v>
      </c>
      <c r="CH17">
        <v>97.914213221699995</v>
      </c>
      <c r="CI17">
        <v>93.798136655799993</v>
      </c>
      <c r="CJ17">
        <v>86.579370039799997</v>
      </c>
      <c r="CK17">
        <v>96.845466227100005</v>
      </c>
      <c r="CL17">
        <v>87.541377192900001</v>
      </c>
      <c r="CM17">
        <v>91.056136197399994</v>
      </c>
      <c r="CN17">
        <v>101.543270093</v>
      </c>
      <c r="CO17">
        <v>89.248313421399999</v>
      </c>
      <c r="CP17">
        <v>92.645852802799993</v>
      </c>
      <c r="CQ17">
        <v>94.882598027100002</v>
      </c>
      <c r="CR17">
        <v>98.030591501200007</v>
      </c>
      <c r="CS17">
        <v>97.193134883599996</v>
      </c>
      <c r="CT17">
        <v>97.731031896700003</v>
      </c>
      <c r="CU17">
        <v>97.762650395799994</v>
      </c>
      <c r="CV17">
        <v>101.080757799</v>
      </c>
      <c r="CW17">
        <v>110.32963982</v>
      </c>
      <c r="CX17">
        <v>94.018214917199998</v>
      </c>
      <c r="CY17">
        <v>103.175222138</v>
      </c>
      <c r="CZ17">
        <v>103.282770666</v>
      </c>
      <c r="DA17">
        <v>102.55923783599999</v>
      </c>
    </row>
    <row r="18" spans="5:105" x14ac:dyDescent="0.25">
      <c r="E18">
        <f>S_plus!L18</f>
        <v>0.16</v>
      </c>
      <c r="F18">
        <v>117.886796234</v>
      </c>
      <c r="G18">
        <v>111.99800066100001</v>
      </c>
      <c r="H18">
        <v>88.567478454600007</v>
      </c>
      <c r="I18">
        <v>101.90514288200001</v>
      </c>
      <c r="J18">
        <v>103.98189889299999</v>
      </c>
      <c r="K18">
        <v>98.364974554400007</v>
      </c>
      <c r="L18">
        <v>92.269629393100004</v>
      </c>
      <c r="M18">
        <v>116.095333967</v>
      </c>
      <c r="N18">
        <v>91.215397446799997</v>
      </c>
      <c r="O18">
        <v>106.771485916</v>
      </c>
      <c r="P18">
        <v>101.28059918300001</v>
      </c>
      <c r="Q18">
        <v>101.676825057</v>
      </c>
      <c r="R18">
        <v>106.23603706900001</v>
      </c>
      <c r="S18">
        <v>101.845030626</v>
      </c>
      <c r="T18">
        <v>92.967501081199998</v>
      </c>
      <c r="U18">
        <v>113.286975934</v>
      </c>
      <c r="V18">
        <v>107.511064381</v>
      </c>
      <c r="W18">
        <v>112.42911506199999</v>
      </c>
      <c r="X18">
        <v>89.821577609599998</v>
      </c>
      <c r="Y18">
        <v>112.748688864</v>
      </c>
      <c r="Z18">
        <v>96.2119329569</v>
      </c>
      <c r="AA18">
        <v>97.372029577399999</v>
      </c>
      <c r="AB18">
        <v>106.034128204</v>
      </c>
      <c r="AC18">
        <v>97.901316621899994</v>
      </c>
      <c r="AD18">
        <v>86.560474123000006</v>
      </c>
      <c r="AE18">
        <v>95.997833292600006</v>
      </c>
      <c r="AF18">
        <v>110.074707926</v>
      </c>
      <c r="AG18">
        <v>86.860661383799993</v>
      </c>
      <c r="AH18">
        <v>94.113202599199994</v>
      </c>
      <c r="AI18">
        <v>103.216797556</v>
      </c>
      <c r="AJ18">
        <v>100.685184799</v>
      </c>
      <c r="AK18">
        <v>105.484451716</v>
      </c>
      <c r="AL18">
        <v>89.524893039999995</v>
      </c>
      <c r="AM18">
        <v>106.120775229</v>
      </c>
      <c r="AN18">
        <v>103.173292745</v>
      </c>
      <c r="AO18">
        <v>105.366611315</v>
      </c>
      <c r="AP18">
        <v>90.020601954200004</v>
      </c>
      <c r="AQ18">
        <v>104.289184517</v>
      </c>
      <c r="AR18">
        <v>94.519055651800002</v>
      </c>
      <c r="AS18">
        <v>92.902375402900006</v>
      </c>
      <c r="AT18">
        <v>92.175577610299996</v>
      </c>
      <c r="AU18">
        <v>91.860191207599996</v>
      </c>
      <c r="AV18">
        <v>86.763847189299995</v>
      </c>
      <c r="AW18">
        <v>97.113282207799998</v>
      </c>
      <c r="AX18">
        <v>119.40696953</v>
      </c>
      <c r="AY18">
        <v>106.625646608</v>
      </c>
      <c r="AZ18">
        <v>105.787573396</v>
      </c>
      <c r="BA18">
        <v>104.12265183</v>
      </c>
      <c r="BB18">
        <v>93.480821675499996</v>
      </c>
      <c r="BC18">
        <v>92.243307626999993</v>
      </c>
      <c r="BD18">
        <v>103.473100812</v>
      </c>
      <c r="BE18">
        <v>110.384714609</v>
      </c>
      <c r="BF18">
        <v>111.292897864</v>
      </c>
      <c r="BG18">
        <v>96.542878485399996</v>
      </c>
      <c r="BH18">
        <v>116.096770999</v>
      </c>
      <c r="BI18">
        <v>100.870061972</v>
      </c>
      <c r="BJ18">
        <v>107.259040158</v>
      </c>
      <c r="BK18">
        <v>100.37654867800001</v>
      </c>
      <c r="BL18">
        <v>94.680010419799999</v>
      </c>
      <c r="BM18">
        <v>90.240594300200001</v>
      </c>
      <c r="BN18">
        <v>96.168353979499997</v>
      </c>
      <c r="BO18">
        <v>106.983259768</v>
      </c>
      <c r="BP18">
        <v>108.941660623</v>
      </c>
      <c r="BQ18">
        <v>109.459544456</v>
      </c>
      <c r="BR18">
        <v>99.912542150500002</v>
      </c>
      <c r="BS18">
        <v>106.018869166</v>
      </c>
      <c r="BT18">
        <v>105.369332579</v>
      </c>
      <c r="BU18">
        <v>97.543853517599999</v>
      </c>
      <c r="BV18">
        <v>106.10611142800001</v>
      </c>
      <c r="BW18">
        <v>100.35848315600001</v>
      </c>
      <c r="BX18">
        <v>98.145517630300006</v>
      </c>
      <c r="BY18">
        <v>106.599526012</v>
      </c>
      <c r="BZ18">
        <v>113.795854135</v>
      </c>
      <c r="CA18">
        <v>91.055622306100005</v>
      </c>
      <c r="CB18">
        <v>110.69990877799999</v>
      </c>
      <c r="CC18">
        <v>95.644158095199998</v>
      </c>
      <c r="CD18">
        <v>109.50024926499999</v>
      </c>
      <c r="CE18">
        <v>107.245883158</v>
      </c>
      <c r="CF18">
        <v>106.69373750600001</v>
      </c>
      <c r="CG18">
        <v>105.205959847</v>
      </c>
      <c r="CH18">
        <v>96.476440389800004</v>
      </c>
      <c r="CI18">
        <v>93.081098733499999</v>
      </c>
      <c r="CJ18">
        <v>85.702289766700005</v>
      </c>
      <c r="CK18">
        <v>98.993139451100006</v>
      </c>
      <c r="CL18">
        <v>88.249417097800006</v>
      </c>
      <c r="CM18">
        <v>91.499770358000006</v>
      </c>
      <c r="CN18">
        <v>99.102643467999997</v>
      </c>
      <c r="CO18">
        <v>91.562428350199994</v>
      </c>
      <c r="CP18">
        <v>92.725625540600007</v>
      </c>
      <c r="CQ18">
        <v>92.785180353900003</v>
      </c>
      <c r="CR18">
        <v>95.835792074699995</v>
      </c>
      <c r="CS18">
        <v>99.300682570899994</v>
      </c>
      <c r="CT18">
        <v>97.696883218899998</v>
      </c>
      <c r="CU18">
        <v>97.343112784599995</v>
      </c>
      <c r="CV18">
        <v>102.155928936</v>
      </c>
      <c r="CW18">
        <v>109.945398528</v>
      </c>
      <c r="CX18">
        <v>96.716259865799998</v>
      </c>
      <c r="CY18">
        <v>102.273939607</v>
      </c>
      <c r="CZ18">
        <v>103.310535742</v>
      </c>
      <c r="DA18">
        <v>107.891505329</v>
      </c>
    </row>
    <row r="19" spans="5:105" x14ac:dyDescent="0.25">
      <c r="E19">
        <f>S_plus!L19</f>
        <v>0.17</v>
      </c>
      <c r="F19">
        <v>118.96454616600001</v>
      </c>
      <c r="G19">
        <v>111.30828977</v>
      </c>
      <c r="H19">
        <v>90.105694075499997</v>
      </c>
      <c r="I19">
        <v>100.55515554900001</v>
      </c>
      <c r="J19">
        <v>100.69158945700001</v>
      </c>
      <c r="K19">
        <v>101.36982482499999</v>
      </c>
      <c r="L19">
        <v>90.184517786900003</v>
      </c>
      <c r="M19">
        <v>112.928054893</v>
      </c>
      <c r="N19">
        <v>89.952549693600005</v>
      </c>
      <c r="O19">
        <v>106.456021647</v>
      </c>
      <c r="P19">
        <v>99.763739113300005</v>
      </c>
      <c r="Q19">
        <v>100.73883369000001</v>
      </c>
      <c r="R19">
        <v>106.002458522</v>
      </c>
      <c r="S19">
        <v>103.086171256</v>
      </c>
      <c r="T19">
        <v>93.989560089799994</v>
      </c>
      <c r="U19">
        <v>109.938835099</v>
      </c>
      <c r="V19">
        <v>110.78283859699999</v>
      </c>
      <c r="W19">
        <v>110.318847776</v>
      </c>
      <c r="X19">
        <v>91.914093393100003</v>
      </c>
      <c r="Y19">
        <v>111.90920654999999</v>
      </c>
      <c r="Z19">
        <v>92.7281436305</v>
      </c>
      <c r="AA19">
        <v>105.114362211</v>
      </c>
      <c r="AB19">
        <v>111.66794955500001</v>
      </c>
      <c r="AC19">
        <v>101.05716328</v>
      </c>
      <c r="AD19">
        <v>87.085951748400007</v>
      </c>
      <c r="AE19">
        <v>91.539319769900004</v>
      </c>
      <c r="AF19">
        <v>111.493081786</v>
      </c>
      <c r="AG19">
        <v>89.549182876900005</v>
      </c>
      <c r="AH19">
        <v>96.974490392000007</v>
      </c>
      <c r="AI19">
        <v>102.86952933000001</v>
      </c>
      <c r="AJ19">
        <v>99.483814720400005</v>
      </c>
      <c r="AK19">
        <v>101.935255953</v>
      </c>
      <c r="AL19">
        <v>91.092681620799993</v>
      </c>
      <c r="AM19">
        <v>107.709503926</v>
      </c>
      <c r="AN19">
        <v>101.664892271</v>
      </c>
      <c r="AO19">
        <v>103.970592049</v>
      </c>
      <c r="AP19">
        <v>87.576570844299994</v>
      </c>
      <c r="AQ19">
        <v>104.003131611</v>
      </c>
      <c r="AR19">
        <v>98.015941639100006</v>
      </c>
      <c r="AS19">
        <v>92.710731550399998</v>
      </c>
      <c r="AT19">
        <v>93.337048272000004</v>
      </c>
      <c r="AU19">
        <v>90.735728523800006</v>
      </c>
      <c r="AV19">
        <v>85.433951284599999</v>
      </c>
      <c r="AW19">
        <v>98.337016162899999</v>
      </c>
      <c r="AX19">
        <v>120.210703482</v>
      </c>
      <c r="AY19">
        <v>106.431640763</v>
      </c>
      <c r="AZ19">
        <v>106.574238439</v>
      </c>
      <c r="BA19">
        <v>101.493895675</v>
      </c>
      <c r="BB19">
        <v>91.299767318899995</v>
      </c>
      <c r="BC19">
        <v>93.812062690999994</v>
      </c>
      <c r="BD19">
        <v>106.129254907</v>
      </c>
      <c r="BE19">
        <v>111.55509077400001</v>
      </c>
      <c r="BF19">
        <v>113.15523476600001</v>
      </c>
      <c r="BG19">
        <v>98.331740337100001</v>
      </c>
      <c r="BH19">
        <v>119.420558837</v>
      </c>
      <c r="BI19">
        <v>103.649553677</v>
      </c>
      <c r="BJ19">
        <v>111.086856944</v>
      </c>
      <c r="BK19">
        <v>98.817062031600003</v>
      </c>
      <c r="BL19">
        <v>94.954498246699998</v>
      </c>
      <c r="BM19">
        <v>91.642972599299995</v>
      </c>
      <c r="BN19">
        <v>93.265585023599996</v>
      </c>
      <c r="BO19">
        <v>103.551012011</v>
      </c>
      <c r="BP19">
        <v>110.518654717</v>
      </c>
      <c r="BQ19">
        <v>110.842923011</v>
      </c>
      <c r="BR19">
        <v>101.150118785</v>
      </c>
      <c r="BS19">
        <v>107.8974819</v>
      </c>
      <c r="BT19">
        <v>106.029977277</v>
      </c>
      <c r="BU19">
        <v>94.883759740599999</v>
      </c>
      <c r="BV19">
        <v>105.82849785000001</v>
      </c>
      <c r="BW19">
        <v>101.78443239400001</v>
      </c>
      <c r="BX19">
        <v>101.137950221</v>
      </c>
      <c r="BY19">
        <v>105.93571664700001</v>
      </c>
      <c r="BZ19">
        <v>114.740474929</v>
      </c>
      <c r="CA19">
        <v>89.958180843299999</v>
      </c>
      <c r="CB19">
        <v>111.566872081</v>
      </c>
      <c r="CC19">
        <v>99.266480910699997</v>
      </c>
      <c r="CD19">
        <v>110.586142181</v>
      </c>
      <c r="CE19">
        <v>106.093605025</v>
      </c>
      <c r="CF19">
        <v>103.871644902</v>
      </c>
      <c r="CG19">
        <v>105.440357534</v>
      </c>
      <c r="CH19">
        <v>99.985321220599999</v>
      </c>
      <c r="CI19">
        <v>93.466519383999994</v>
      </c>
      <c r="CJ19">
        <v>87.478346102000003</v>
      </c>
      <c r="CK19">
        <v>97.982164096999995</v>
      </c>
      <c r="CL19">
        <v>89.212430438799998</v>
      </c>
      <c r="CM19">
        <v>91.765105287200001</v>
      </c>
      <c r="CN19">
        <v>101.708314198</v>
      </c>
      <c r="CO19">
        <v>91.713630250400001</v>
      </c>
      <c r="CP19">
        <v>92.568244868899995</v>
      </c>
      <c r="CQ19">
        <v>92.216372755400002</v>
      </c>
      <c r="CR19">
        <v>98.763230144399998</v>
      </c>
      <c r="CS19">
        <v>100.552818039</v>
      </c>
      <c r="CT19">
        <v>96.807997547499994</v>
      </c>
      <c r="CU19">
        <v>100.474908697</v>
      </c>
      <c r="CV19">
        <v>98.554616409000005</v>
      </c>
      <c r="CW19">
        <v>108.429773289</v>
      </c>
      <c r="CX19">
        <v>94.109312678199998</v>
      </c>
      <c r="CY19">
        <v>103.321599081</v>
      </c>
      <c r="CZ19">
        <v>106.30157485399999</v>
      </c>
      <c r="DA19">
        <v>109.289900281</v>
      </c>
    </row>
    <row r="20" spans="5:105" x14ac:dyDescent="0.25">
      <c r="E20">
        <f>S_plus!L20</f>
        <v>0.18000000000000002</v>
      </c>
      <c r="F20">
        <v>115.526658277</v>
      </c>
      <c r="G20">
        <v>110.98243092200001</v>
      </c>
      <c r="H20">
        <v>87.131807128399998</v>
      </c>
      <c r="I20">
        <v>101.042720309</v>
      </c>
      <c r="J20">
        <v>104.272057007</v>
      </c>
      <c r="K20">
        <v>100.03427272099999</v>
      </c>
      <c r="L20">
        <v>88.997323437700004</v>
      </c>
      <c r="M20">
        <v>119.377219858</v>
      </c>
      <c r="N20">
        <v>91.093614777100001</v>
      </c>
      <c r="O20">
        <v>104.571045322</v>
      </c>
      <c r="P20">
        <v>99.015790383099997</v>
      </c>
      <c r="Q20">
        <v>100.587741945</v>
      </c>
      <c r="R20">
        <v>108.900678551</v>
      </c>
      <c r="S20">
        <v>102.05377736600001</v>
      </c>
      <c r="T20">
        <v>93.367853187700007</v>
      </c>
      <c r="U20">
        <v>108.157200042</v>
      </c>
      <c r="V20">
        <v>110.401626417</v>
      </c>
      <c r="W20">
        <v>111.23444682500001</v>
      </c>
      <c r="X20">
        <v>92.301827088400003</v>
      </c>
      <c r="Y20">
        <v>110.051219163</v>
      </c>
      <c r="Z20">
        <v>92.378276300300001</v>
      </c>
      <c r="AA20">
        <v>102.662344709</v>
      </c>
      <c r="AB20">
        <v>109.945839279</v>
      </c>
      <c r="AC20">
        <v>99.765267792299994</v>
      </c>
      <c r="AD20">
        <v>86.421770396699998</v>
      </c>
      <c r="AE20">
        <v>88.749576224600006</v>
      </c>
      <c r="AF20">
        <v>113.40476744999999</v>
      </c>
      <c r="AG20">
        <v>88.294699615300004</v>
      </c>
      <c r="AH20">
        <v>98.207432487199995</v>
      </c>
      <c r="AI20">
        <v>105.361731173</v>
      </c>
      <c r="AJ20">
        <v>99.292064497499993</v>
      </c>
      <c r="AK20">
        <v>102.031968651</v>
      </c>
      <c r="AL20">
        <v>90.633664478599997</v>
      </c>
      <c r="AM20">
        <v>104.875387891</v>
      </c>
      <c r="AN20">
        <v>98.666822714800006</v>
      </c>
      <c r="AO20">
        <v>103.73665020200001</v>
      </c>
      <c r="AP20">
        <v>88.290191652000004</v>
      </c>
      <c r="AQ20">
        <v>105.173132815</v>
      </c>
      <c r="AR20">
        <v>99.868783102699993</v>
      </c>
      <c r="AS20">
        <v>93.521027070399995</v>
      </c>
      <c r="AT20">
        <v>93.607054564600006</v>
      </c>
      <c r="AU20">
        <v>89.739798609700003</v>
      </c>
      <c r="AV20">
        <v>85.967879129099998</v>
      </c>
      <c r="AW20">
        <v>100.630606157</v>
      </c>
      <c r="AX20">
        <v>116.92755197</v>
      </c>
      <c r="AY20">
        <v>103.488846137</v>
      </c>
      <c r="AZ20">
        <v>107.43596432299999</v>
      </c>
      <c r="BA20">
        <v>100.31816050499999</v>
      </c>
      <c r="BB20">
        <v>88.690333993400003</v>
      </c>
      <c r="BC20">
        <v>92.121421258200002</v>
      </c>
      <c r="BD20">
        <v>108.01050889</v>
      </c>
      <c r="BE20">
        <v>113.660524845</v>
      </c>
      <c r="BF20">
        <v>111.105451202</v>
      </c>
      <c r="BG20">
        <v>99.999045263100001</v>
      </c>
      <c r="BH20">
        <v>124.41229857499999</v>
      </c>
      <c r="BI20">
        <v>105.885240607</v>
      </c>
      <c r="BJ20">
        <v>110.255213674</v>
      </c>
      <c r="BK20">
        <v>100.43714449799999</v>
      </c>
      <c r="BL20">
        <v>93.341207958400005</v>
      </c>
      <c r="BM20">
        <v>91.510344253200003</v>
      </c>
      <c r="BN20">
        <v>94.628320461499996</v>
      </c>
      <c r="BO20">
        <v>101.360032291</v>
      </c>
      <c r="BP20">
        <v>108.439082735</v>
      </c>
      <c r="BQ20">
        <v>114.73249446</v>
      </c>
      <c r="BR20">
        <v>100.235706197</v>
      </c>
      <c r="BS20">
        <v>106.992656251</v>
      </c>
      <c r="BT20">
        <v>106.523292317</v>
      </c>
      <c r="BU20">
        <v>93.327928146600001</v>
      </c>
      <c r="BV20">
        <v>108.899094506</v>
      </c>
      <c r="BW20">
        <v>99.710366653700007</v>
      </c>
      <c r="BX20">
        <v>94.714037252300002</v>
      </c>
      <c r="BY20">
        <v>107.801937499</v>
      </c>
      <c r="BZ20">
        <v>113.302514554</v>
      </c>
      <c r="CA20">
        <v>86.803277840199996</v>
      </c>
      <c r="CB20">
        <v>112.680128291</v>
      </c>
      <c r="CC20">
        <v>99.847322588799997</v>
      </c>
      <c r="CD20">
        <v>109.696705239</v>
      </c>
      <c r="CE20">
        <v>107.82492320999999</v>
      </c>
      <c r="CF20">
        <v>101.64895366</v>
      </c>
      <c r="CG20">
        <v>104.39998038100001</v>
      </c>
      <c r="CH20">
        <v>99.027232281400003</v>
      </c>
      <c r="CI20">
        <v>95.116484329900004</v>
      </c>
      <c r="CJ20">
        <v>89.757690812800007</v>
      </c>
      <c r="CK20">
        <v>98.175159888400003</v>
      </c>
      <c r="CL20">
        <v>90.683881034600006</v>
      </c>
      <c r="CM20">
        <v>94.360624847599993</v>
      </c>
      <c r="CN20">
        <v>99.712530130199994</v>
      </c>
      <c r="CO20">
        <v>92.798049126500004</v>
      </c>
      <c r="CP20">
        <v>91.4070524216</v>
      </c>
      <c r="CQ20">
        <v>91.186185357400007</v>
      </c>
      <c r="CR20">
        <v>98.972536675100002</v>
      </c>
      <c r="CS20">
        <v>101.155115052</v>
      </c>
      <c r="CT20">
        <v>93.519752996999998</v>
      </c>
      <c r="CU20">
        <v>101.55849490200001</v>
      </c>
      <c r="CV20">
        <v>95.956510289700006</v>
      </c>
      <c r="CW20">
        <v>109.859684212</v>
      </c>
      <c r="CX20">
        <v>94.925545204800002</v>
      </c>
      <c r="CY20">
        <v>101.208651532</v>
      </c>
      <c r="CZ20">
        <v>107.80720714</v>
      </c>
      <c r="DA20">
        <v>106.38801721199999</v>
      </c>
    </row>
    <row r="21" spans="5:105" x14ac:dyDescent="0.25">
      <c r="E21">
        <f>S_plus!L21</f>
        <v>0.19000000000000003</v>
      </c>
      <c r="F21">
        <v>119.92093120299999</v>
      </c>
      <c r="G21">
        <v>111.092274559</v>
      </c>
      <c r="H21">
        <v>87.355626761600007</v>
      </c>
      <c r="I21">
        <v>102.242954017</v>
      </c>
      <c r="J21">
        <v>105.89104363</v>
      </c>
      <c r="K21">
        <v>100.626919908</v>
      </c>
      <c r="L21">
        <v>89.787236273399998</v>
      </c>
      <c r="M21">
        <v>119.958147295</v>
      </c>
      <c r="N21">
        <v>92.476882662099996</v>
      </c>
      <c r="O21">
        <v>104.53081105</v>
      </c>
      <c r="P21">
        <v>101.104569934</v>
      </c>
      <c r="Q21">
        <v>98.039332887900002</v>
      </c>
      <c r="R21">
        <v>108.809143146</v>
      </c>
      <c r="S21">
        <v>102.628826266</v>
      </c>
      <c r="T21">
        <v>92.867300857399997</v>
      </c>
      <c r="U21">
        <v>108.804638614</v>
      </c>
      <c r="V21">
        <v>106.65379982100001</v>
      </c>
      <c r="W21">
        <v>108.629224642</v>
      </c>
      <c r="X21">
        <v>89.015810697999996</v>
      </c>
      <c r="Y21">
        <v>111.34533362000001</v>
      </c>
      <c r="Z21">
        <v>93.466499358899995</v>
      </c>
      <c r="AA21">
        <v>102.333333356</v>
      </c>
      <c r="AB21">
        <v>111.70349948</v>
      </c>
      <c r="AC21">
        <v>100.626611975</v>
      </c>
      <c r="AD21">
        <v>86.987129242799995</v>
      </c>
      <c r="AE21">
        <v>89.297557656600006</v>
      </c>
      <c r="AF21">
        <v>117.067158511</v>
      </c>
      <c r="AG21">
        <v>84.852183906899995</v>
      </c>
      <c r="AH21">
        <v>97.101048164600002</v>
      </c>
      <c r="AI21">
        <v>103.707782882</v>
      </c>
      <c r="AJ21">
        <v>99.927333586900005</v>
      </c>
      <c r="AK21">
        <v>100.12995424</v>
      </c>
      <c r="AL21">
        <v>86.016306044999993</v>
      </c>
      <c r="AM21">
        <v>105.51541953100001</v>
      </c>
      <c r="AN21">
        <v>101.450390373</v>
      </c>
      <c r="AO21">
        <v>103.06238314300001</v>
      </c>
      <c r="AP21">
        <v>86.226856952700004</v>
      </c>
      <c r="AQ21">
        <v>103.271454781</v>
      </c>
      <c r="AR21">
        <v>99.644701982399994</v>
      </c>
      <c r="AS21">
        <v>88.886411808199995</v>
      </c>
      <c r="AT21">
        <v>94.111069930799999</v>
      </c>
      <c r="AU21">
        <v>88.792266205499999</v>
      </c>
      <c r="AV21">
        <v>86.504445263899996</v>
      </c>
      <c r="AW21">
        <v>101.51047568600001</v>
      </c>
      <c r="AX21">
        <v>118.192909314</v>
      </c>
      <c r="AY21">
        <v>103.547588862</v>
      </c>
      <c r="AZ21">
        <v>110.29547755900001</v>
      </c>
      <c r="BA21">
        <v>100.480565654</v>
      </c>
      <c r="BB21">
        <v>90.0933624412</v>
      </c>
      <c r="BC21">
        <v>93.1526196226</v>
      </c>
      <c r="BD21">
        <v>107.74821117899999</v>
      </c>
      <c r="BE21">
        <v>113.773808405</v>
      </c>
      <c r="BF21">
        <v>110.392654354</v>
      </c>
      <c r="BG21">
        <v>101.14665488999999</v>
      </c>
      <c r="BH21">
        <v>122.616623015</v>
      </c>
      <c r="BI21">
        <v>106.870600498</v>
      </c>
      <c r="BJ21">
        <v>115.31883261500001</v>
      </c>
      <c r="BK21">
        <v>98.541825933200002</v>
      </c>
      <c r="BL21">
        <v>92.611331954899995</v>
      </c>
      <c r="BM21">
        <v>91.257145744599995</v>
      </c>
      <c r="BN21">
        <v>94.767024119200002</v>
      </c>
      <c r="BO21">
        <v>101.750570815</v>
      </c>
      <c r="BP21">
        <v>114.543421795</v>
      </c>
      <c r="BQ21">
        <v>116.539990288</v>
      </c>
      <c r="BR21">
        <v>100.09983559200001</v>
      </c>
      <c r="BS21">
        <v>109.722330375</v>
      </c>
      <c r="BT21">
        <v>108.591761292</v>
      </c>
      <c r="BU21">
        <v>92.515770009700006</v>
      </c>
      <c r="BV21">
        <v>111.998484206</v>
      </c>
      <c r="BW21">
        <v>102.52887472099999</v>
      </c>
      <c r="BX21">
        <v>94.638876506900004</v>
      </c>
      <c r="BY21">
        <v>107.62803890399999</v>
      </c>
      <c r="BZ21">
        <v>109.598351662</v>
      </c>
      <c r="CA21">
        <v>86.525493749999995</v>
      </c>
      <c r="CB21">
        <v>112.309959355</v>
      </c>
      <c r="CC21">
        <v>101.744985481</v>
      </c>
      <c r="CD21">
        <v>110.753239556</v>
      </c>
      <c r="CE21">
        <v>111.459468329</v>
      </c>
      <c r="CF21">
        <v>99.195810990699997</v>
      </c>
      <c r="CG21">
        <v>101.563667854</v>
      </c>
      <c r="CH21">
        <v>95.066848858100002</v>
      </c>
      <c r="CI21">
        <v>95.700122036099998</v>
      </c>
      <c r="CJ21">
        <v>88.122572465100006</v>
      </c>
      <c r="CK21">
        <v>99.512824148799993</v>
      </c>
      <c r="CL21">
        <v>93.553276018600002</v>
      </c>
      <c r="CM21">
        <v>95.392558977299998</v>
      </c>
      <c r="CN21">
        <v>101.551693458</v>
      </c>
      <c r="CO21">
        <v>97.368845924799999</v>
      </c>
      <c r="CP21">
        <v>92.2488744443</v>
      </c>
      <c r="CQ21">
        <v>92.393534316499995</v>
      </c>
      <c r="CR21">
        <v>100.19788165600001</v>
      </c>
      <c r="CS21">
        <v>98.958350377399995</v>
      </c>
      <c r="CT21">
        <v>95.735352322500006</v>
      </c>
      <c r="CU21">
        <v>102.399450251</v>
      </c>
      <c r="CV21">
        <v>96.096564676100002</v>
      </c>
      <c r="CW21">
        <v>111.336756958</v>
      </c>
      <c r="CX21">
        <v>94.135221154899995</v>
      </c>
      <c r="CY21">
        <v>105.582334703</v>
      </c>
      <c r="CZ21">
        <v>108.46120507800001</v>
      </c>
      <c r="DA21">
        <v>108.62922344099999</v>
      </c>
    </row>
    <row r="22" spans="5:105" x14ac:dyDescent="0.25">
      <c r="E22">
        <f>S_plus!L22</f>
        <v>0.20000000000000004</v>
      </c>
      <c r="F22">
        <v>118.780226825</v>
      </c>
      <c r="G22">
        <v>111.59192994599999</v>
      </c>
      <c r="H22">
        <v>90.897659395199994</v>
      </c>
      <c r="I22">
        <v>100.251894154</v>
      </c>
      <c r="J22">
        <v>110.11040866099999</v>
      </c>
      <c r="K22">
        <v>102.783648591</v>
      </c>
      <c r="L22">
        <v>85.537266013500002</v>
      </c>
      <c r="M22">
        <v>119.780771577</v>
      </c>
      <c r="N22">
        <v>92.078947726999999</v>
      </c>
      <c r="O22">
        <v>104.274916748</v>
      </c>
      <c r="P22">
        <v>99.326296163799995</v>
      </c>
      <c r="Q22">
        <v>95.700842730100007</v>
      </c>
      <c r="R22">
        <v>108.773785473</v>
      </c>
      <c r="S22">
        <v>100.687247227</v>
      </c>
      <c r="T22">
        <v>90.805345795299999</v>
      </c>
      <c r="U22">
        <v>108.54926098599999</v>
      </c>
      <c r="V22">
        <v>104.82969448599999</v>
      </c>
      <c r="W22">
        <v>105.62397062700001</v>
      </c>
      <c r="X22">
        <v>90.197611176099997</v>
      </c>
      <c r="Y22">
        <v>112.927683277</v>
      </c>
      <c r="Z22">
        <v>93.1076502608</v>
      </c>
      <c r="AA22">
        <v>100.994446533</v>
      </c>
      <c r="AB22">
        <v>110.974048165</v>
      </c>
      <c r="AC22">
        <v>102.696071769</v>
      </c>
      <c r="AD22">
        <v>86.167130900199993</v>
      </c>
      <c r="AE22">
        <v>91.354375444300004</v>
      </c>
      <c r="AF22">
        <v>116.12817156</v>
      </c>
      <c r="AG22">
        <v>82.333805105799996</v>
      </c>
      <c r="AH22">
        <v>97.595943706300005</v>
      </c>
      <c r="AI22">
        <v>108.413051321</v>
      </c>
      <c r="AJ22">
        <v>100.137128116</v>
      </c>
      <c r="AK22">
        <v>101.304888353</v>
      </c>
      <c r="AL22">
        <v>85.185609717800006</v>
      </c>
      <c r="AM22">
        <v>108.573810545</v>
      </c>
      <c r="AN22">
        <v>100.124104938</v>
      </c>
      <c r="AO22">
        <v>102.313172415</v>
      </c>
      <c r="AP22">
        <v>88.329378420400005</v>
      </c>
      <c r="AQ22">
        <v>105.305401222</v>
      </c>
      <c r="AR22">
        <v>103.639853874</v>
      </c>
      <c r="AS22">
        <v>88.5606228786</v>
      </c>
      <c r="AT22">
        <v>93.178349772299995</v>
      </c>
      <c r="AU22">
        <v>90.618511592499999</v>
      </c>
      <c r="AV22">
        <v>88.272573817799994</v>
      </c>
      <c r="AW22">
        <v>103.07037693300001</v>
      </c>
      <c r="AX22">
        <v>119.80994544000001</v>
      </c>
      <c r="AY22">
        <v>105.90435361599999</v>
      </c>
      <c r="AZ22">
        <v>111.25997769999999</v>
      </c>
      <c r="BA22">
        <v>100.221943518</v>
      </c>
      <c r="BB22">
        <v>88.739093901700002</v>
      </c>
      <c r="BC22">
        <v>94.328045012299995</v>
      </c>
      <c r="BD22">
        <v>108.22110454</v>
      </c>
      <c r="BE22">
        <v>112.88643816299999</v>
      </c>
      <c r="BF22">
        <v>107.492990267</v>
      </c>
      <c r="BG22">
        <v>98.955739782600006</v>
      </c>
      <c r="BH22">
        <v>121.45022597099999</v>
      </c>
      <c r="BI22">
        <v>107.161742425</v>
      </c>
      <c r="BJ22">
        <v>116.15396653400001</v>
      </c>
      <c r="BK22">
        <v>99.646270311099997</v>
      </c>
      <c r="BL22">
        <v>95.447962888399999</v>
      </c>
      <c r="BM22">
        <v>90.398098107600006</v>
      </c>
      <c r="BN22">
        <v>98.878328622699996</v>
      </c>
      <c r="BO22">
        <v>99.443334289600003</v>
      </c>
      <c r="BP22">
        <v>111.439920003</v>
      </c>
      <c r="BQ22">
        <v>120.850158812</v>
      </c>
      <c r="BR22">
        <v>98.748407103600002</v>
      </c>
      <c r="BS22">
        <v>111.340067082</v>
      </c>
      <c r="BT22">
        <v>105.111368035</v>
      </c>
      <c r="BU22">
        <v>92.650697149199999</v>
      </c>
      <c r="BV22">
        <v>110.858005332</v>
      </c>
      <c r="BW22">
        <v>102.653591756</v>
      </c>
      <c r="BX22">
        <v>93.772420544200003</v>
      </c>
      <c r="BY22">
        <v>109.729188593</v>
      </c>
      <c r="BZ22">
        <v>108.714364485</v>
      </c>
      <c r="CA22">
        <v>87.7033093366</v>
      </c>
      <c r="CB22">
        <v>113.581450292</v>
      </c>
      <c r="CC22">
        <v>98.882011914299994</v>
      </c>
      <c r="CD22">
        <v>108.459306266</v>
      </c>
      <c r="CE22">
        <v>115.072242723</v>
      </c>
      <c r="CF22">
        <v>96.964927532199994</v>
      </c>
      <c r="CG22">
        <v>101.901454081</v>
      </c>
      <c r="CH22">
        <v>94.661679254500001</v>
      </c>
      <c r="CI22">
        <v>96.781565408600002</v>
      </c>
      <c r="CJ22">
        <v>88.8565430134</v>
      </c>
      <c r="CK22">
        <v>100.112268461</v>
      </c>
      <c r="CL22">
        <v>97.273349769399999</v>
      </c>
      <c r="CM22">
        <v>94.183335660799997</v>
      </c>
      <c r="CN22">
        <v>101.33672234300001</v>
      </c>
      <c r="CO22">
        <v>100.909862968</v>
      </c>
      <c r="CP22">
        <v>90.769455285399999</v>
      </c>
      <c r="CQ22">
        <v>90.810416946299995</v>
      </c>
      <c r="CR22">
        <v>99.814971288500004</v>
      </c>
      <c r="CS22">
        <v>98.938920164400002</v>
      </c>
      <c r="CT22">
        <v>91.377490361100001</v>
      </c>
      <c r="CU22">
        <v>104.87447226</v>
      </c>
      <c r="CV22">
        <v>95.072231328000001</v>
      </c>
      <c r="CW22">
        <v>110.38038854</v>
      </c>
      <c r="CX22">
        <v>95.914474348300004</v>
      </c>
      <c r="CY22">
        <v>107.857893217</v>
      </c>
      <c r="CZ22">
        <v>109.346279254</v>
      </c>
      <c r="DA22">
        <v>107.266460534</v>
      </c>
    </row>
    <row r="23" spans="5:105" x14ac:dyDescent="0.25">
      <c r="E23">
        <f>S_plus!L23</f>
        <v>0.21000000000000005</v>
      </c>
      <c r="F23">
        <v>119.80197092100001</v>
      </c>
      <c r="G23">
        <v>107.279650066</v>
      </c>
      <c r="H23">
        <v>89.7935218179</v>
      </c>
      <c r="I23">
        <v>101.159685354</v>
      </c>
      <c r="J23">
        <v>110.828531842</v>
      </c>
      <c r="K23">
        <v>102.707050843</v>
      </c>
      <c r="L23">
        <v>82.963831242799998</v>
      </c>
      <c r="M23">
        <v>120.776581564</v>
      </c>
      <c r="N23">
        <v>90.655357456600001</v>
      </c>
      <c r="O23">
        <v>100.600719845</v>
      </c>
      <c r="P23">
        <v>102.32772917600001</v>
      </c>
      <c r="Q23">
        <v>94.030500566399994</v>
      </c>
      <c r="R23">
        <v>111.599140455</v>
      </c>
      <c r="S23">
        <v>99.799673533299995</v>
      </c>
      <c r="T23">
        <v>92.781209866099999</v>
      </c>
      <c r="U23">
        <v>106.29906889999999</v>
      </c>
      <c r="V23">
        <v>104.27591891</v>
      </c>
      <c r="W23">
        <v>102.927669288</v>
      </c>
      <c r="X23">
        <v>89.173782313800004</v>
      </c>
      <c r="Y23">
        <v>109.97801099199999</v>
      </c>
      <c r="Z23">
        <v>93.527331702699996</v>
      </c>
      <c r="AA23">
        <v>99.884316840599993</v>
      </c>
      <c r="AB23">
        <v>109.23219716200001</v>
      </c>
      <c r="AC23">
        <v>100.751974469</v>
      </c>
      <c r="AD23">
        <v>85.481210820800001</v>
      </c>
      <c r="AE23">
        <v>91.774828628500003</v>
      </c>
      <c r="AF23">
        <v>116.26276245699999</v>
      </c>
      <c r="AG23">
        <v>83.5823306825</v>
      </c>
      <c r="AH23">
        <v>100.620111141</v>
      </c>
      <c r="AI23">
        <v>108.566302767</v>
      </c>
      <c r="AJ23">
        <v>100.875554384</v>
      </c>
      <c r="AK23">
        <v>102.190292829</v>
      </c>
      <c r="AL23">
        <v>82.914246162400005</v>
      </c>
      <c r="AM23">
        <v>110.561641025</v>
      </c>
      <c r="AN23">
        <v>102.884759379</v>
      </c>
      <c r="AO23">
        <v>104.89032769400001</v>
      </c>
      <c r="AP23">
        <v>88.904638423600005</v>
      </c>
      <c r="AQ23">
        <v>108.831504782</v>
      </c>
      <c r="AR23">
        <v>109.784994266</v>
      </c>
      <c r="AS23">
        <v>87.000193025499996</v>
      </c>
      <c r="AT23">
        <v>95.039704788799995</v>
      </c>
      <c r="AU23">
        <v>90.449996556599999</v>
      </c>
      <c r="AV23">
        <v>86.996268827199998</v>
      </c>
      <c r="AW23">
        <v>100.982033284</v>
      </c>
      <c r="AX23">
        <v>118.973323291</v>
      </c>
      <c r="AY23">
        <v>107.380508838</v>
      </c>
      <c r="AZ23">
        <v>111.449750438</v>
      </c>
      <c r="BA23">
        <v>97.714012627399995</v>
      </c>
      <c r="BB23">
        <v>91.122599167800004</v>
      </c>
      <c r="BC23">
        <v>94.169284992599998</v>
      </c>
      <c r="BD23">
        <v>108.832989966</v>
      </c>
      <c r="BE23">
        <v>109.23576523</v>
      </c>
      <c r="BF23">
        <v>108.285551431</v>
      </c>
      <c r="BG23">
        <v>99.0827479477</v>
      </c>
      <c r="BH23">
        <v>119.108299886</v>
      </c>
      <c r="BI23">
        <v>107.668900294</v>
      </c>
      <c r="BJ23">
        <v>117.33778413100001</v>
      </c>
      <c r="BK23">
        <v>99.323896152200007</v>
      </c>
      <c r="BL23">
        <v>95.809235874899997</v>
      </c>
      <c r="BM23">
        <v>90.857949711000003</v>
      </c>
      <c r="BN23">
        <v>98.560401810900004</v>
      </c>
      <c r="BO23">
        <v>102.07317641500001</v>
      </c>
      <c r="BP23">
        <v>112.16147322800001</v>
      </c>
      <c r="BQ23">
        <v>121.14967344599999</v>
      </c>
      <c r="BR23">
        <v>103.242120192</v>
      </c>
      <c r="BS23">
        <v>115.124944074</v>
      </c>
      <c r="BT23">
        <v>108.728104624</v>
      </c>
      <c r="BU23">
        <v>90.3617061737</v>
      </c>
      <c r="BV23">
        <v>107.171701208</v>
      </c>
      <c r="BW23">
        <v>101.03911348699999</v>
      </c>
      <c r="BX23">
        <v>92.1851994142</v>
      </c>
      <c r="BY23">
        <v>109.309109111</v>
      </c>
      <c r="BZ23">
        <v>111.30777617299999</v>
      </c>
      <c r="CA23">
        <v>82.216651135500001</v>
      </c>
      <c r="CB23">
        <v>112.140072183</v>
      </c>
      <c r="CC23">
        <v>99.029039918300001</v>
      </c>
      <c r="CD23">
        <v>107.34509682700001</v>
      </c>
      <c r="CE23">
        <v>116.255989554</v>
      </c>
      <c r="CF23">
        <v>92.961711298899999</v>
      </c>
      <c r="CG23">
        <v>102.952512243</v>
      </c>
      <c r="CH23">
        <v>91.958373604000002</v>
      </c>
      <c r="CI23">
        <v>97.0027323467</v>
      </c>
      <c r="CJ23">
        <v>90.320006327900003</v>
      </c>
      <c r="CK23">
        <v>97.807361017900007</v>
      </c>
      <c r="CL23">
        <v>94.725729097799999</v>
      </c>
      <c r="CM23">
        <v>91.531832223899997</v>
      </c>
      <c r="CN23">
        <v>101.999505771</v>
      </c>
      <c r="CO23">
        <v>103.438698358</v>
      </c>
      <c r="CP23">
        <v>89.968907239000004</v>
      </c>
      <c r="CQ23">
        <v>89.255694235500002</v>
      </c>
      <c r="CR23">
        <v>101.57677493200001</v>
      </c>
      <c r="CS23">
        <v>97.939485789700001</v>
      </c>
      <c r="CT23">
        <v>90.324278521799997</v>
      </c>
      <c r="CU23">
        <v>103.86850326699999</v>
      </c>
      <c r="CV23">
        <v>93.854532300299994</v>
      </c>
      <c r="CW23">
        <v>110.387833793</v>
      </c>
      <c r="CX23">
        <v>97.607686842999996</v>
      </c>
      <c r="CY23">
        <v>110.571120761</v>
      </c>
      <c r="CZ23">
        <v>111.869828302</v>
      </c>
      <c r="DA23">
        <v>104.670321137</v>
      </c>
    </row>
    <row r="24" spans="5:105" x14ac:dyDescent="0.25">
      <c r="E24">
        <f>S_plus!L24</f>
        <v>0.22000000000000006</v>
      </c>
      <c r="F24">
        <v>116.23371871000001</v>
      </c>
      <c r="G24">
        <v>103.328838045</v>
      </c>
      <c r="H24">
        <v>91.744849497499999</v>
      </c>
      <c r="I24">
        <v>101.954179665</v>
      </c>
      <c r="J24">
        <v>111.457386192</v>
      </c>
      <c r="K24">
        <v>104.665186609</v>
      </c>
      <c r="L24">
        <v>81.192485455099998</v>
      </c>
      <c r="M24">
        <v>118.79456789300001</v>
      </c>
      <c r="N24">
        <v>92.022820058500002</v>
      </c>
      <c r="O24">
        <v>100.11406827899999</v>
      </c>
      <c r="P24">
        <v>101.287710151</v>
      </c>
      <c r="Q24">
        <v>91.745869673900003</v>
      </c>
      <c r="R24">
        <v>112.64317566299999</v>
      </c>
      <c r="S24">
        <v>97.7909962194</v>
      </c>
      <c r="T24">
        <v>96.6786831724</v>
      </c>
      <c r="U24">
        <v>106.90169621699999</v>
      </c>
      <c r="V24">
        <v>107.01902976300001</v>
      </c>
      <c r="W24">
        <v>103.013393163</v>
      </c>
      <c r="X24">
        <v>89.263972584100003</v>
      </c>
      <c r="Y24">
        <v>107.659610093</v>
      </c>
      <c r="Z24">
        <v>95.523753096899995</v>
      </c>
      <c r="AA24">
        <v>102.133850595</v>
      </c>
      <c r="AB24">
        <v>110.082972156</v>
      </c>
      <c r="AC24">
        <v>101.657544856</v>
      </c>
      <c r="AD24">
        <v>85.419609297999997</v>
      </c>
      <c r="AE24">
        <v>94.021992146100004</v>
      </c>
      <c r="AF24">
        <v>112.884386916</v>
      </c>
      <c r="AG24">
        <v>81.636244572799995</v>
      </c>
      <c r="AH24">
        <v>101.376489795</v>
      </c>
      <c r="AI24">
        <v>107.874983349</v>
      </c>
      <c r="AJ24">
        <v>100.646160819</v>
      </c>
      <c r="AK24">
        <v>103.906077575</v>
      </c>
      <c r="AL24">
        <v>81.052833385599996</v>
      </c>
      <c r="AM24">
        <v>113.326313961</v>
      </c>
      <c r="AN24">
        <v>101.061884315</v>
      </c>
      <c r="AO24">
        <v>103.955258707</v>
      </c>
      <c r="AP24">
        <v>89.645143148100004</v>
      </c>
      <c r="AQ24">
        <v>107.13350658500001</v>
      </c>
      <c r="AR24">
        <v>105.543727879</v>
      </c>
      <c r="AS24">
        <v>89.036945224600004</v>
      </c>
      <c r="AT24">
        <v>95.357728650799999</v>
      </c>
      <c r="AU24">
        <v>91.996903484699999</v>
      </c>
      <c r="AV24">
        <v>90.082754649400002</v>
      </c>
      <c r="AW24">
        <v>97.628283319399998</v>
      </c>
      <c r="AX24">
        <v>118.019248092</v>
      </c>
      <c r="AY24">
        <v>108.431781896</v>
      </c>
      <c r="AZ24">
        <v>110.478384979</v>
      </c>
      <c r="BA24">
        <v>99.763949282300004</v>
      </c>
      <c r="BB24">
        <v>95.511699376300001</v>
      </c>
      <c r="BC24">
        <v>90.417259464099999</v>
      </c>
      <c r="BD24">
        <v>108.14028121299999</v>
      </c>
      <c r="BE24">
        <v>111.051351727</v>
      </c>
      <c r="BF24">
        <v>102.35851260600001</v>
      </c>
      <c r="BG24">
        <v>99.150013608099997</v>
      </c>
      <c r="BH24">
        <v>118.978308676</v>
      </c>
      <c r="BI24">
        <v>110.91089401799999</v>
      </c>
      <c r="BJ24">
        <v>120.84928906499999</v>
      </c>
      <c r="BK24">
        <v>101.462410881</v>
      </c>
      <c r="BL24">
        <v>94.194543381399995</v>
      </c>
      <c r="BM24">
        <v>89.6093007658</v>
      </c>
      <c r="BN24">
        <v>95.061303884099999</v>
      </c>
      <c r="BO24">
        <v>100.248510709</v>
      </c>
      <c r="BP24">
        <v>109.62574404199999</v>
      </c>
      <c r="BQ24">
        <v>116.550693258</v>
      </c>
      <c r="BR24">
        <v>102.549312732</v>
      </c>
      <c r="BS24">
        <v>113.519299352</v>
      </c>
      <c r="BT24">
        <v>109.190407263</v>
      </c>
      <c r="BU24">
        <v>94.571556385500003</v>
      </c>
      <c r="BV24">
        <v>107.65562754</v>
      </c>
      <c r="BW24">
        <v>101.64819963399999</v>
      </c>
      <c r="BX24">
        <v>91.140770183599997</v>
      </c>
      <c r="BY24">
        <v>111.269883591</v>
      </c>
      <c r="BZ24">
        <v>110.09450258</v>
      </c>
      <c r="CA24">
        <v>82.230083993799994</v>
      </c>
      <c r="CB24">
        <v>109.290799878</v>
      </c>
      <c r="CC24">
        <v>98.207609953800002</v>
      </c>
      <c r="CD24">
        <v>109.504535096</v>
      </c>
      <c r="CE24">
        <v>115.91385858300001</v>
      </c>
      <c r="CF24">
        <v>94.502941207700005</v>
      </c>
      <c r="CG24">
        <v>104.747676975</v>
      </c>
      <c r="CH24">
        <v>89.767986082799993</v>
      </c>
      <c r="CI24">
        <v>97.799026215699996</v>
      </c>
      <c r="CJ24">
        <v>91.395039102699997</v>
      </c>
      <c r="CK24">
        <v>95.580990931700001</v>
      </c>
      <c r="CL24">
        <v>94.623367832499994</v>
      </c>
      <c r="CM24">
        <v>89.566874068999994</v>
      </c>
      <c r="CN24">
        <v>100.953052603</v>
      </c>
      <c r="CO24">
        <v>105.134592153</v>
      </c>
      <c r="CP24">
        <v>91.228100232800003</v>
      </c>
      <c r="CQ24">
        <v>89.213173667299998</v>
      </c>
      <c r="CR24">
        <v>99.678281249799994</v>
      </c>
      <c r="CS24">
        <v>96.213464820599995</v>
      </c>
      <c r="CT24">
        <v>89.257969709999998</v>
      </c>
      <c r="CU24">
        <v>109.005132092</v>
      </c>
      <c r="CV24">
        <v>95.010875610400007</v>
      </c>
      <c r="CW24">
        <v>108.985983104</v>
      </c>
      <c r="CX24">
        <v>95.800228981999993</v>
      </c>
      <c r="CY24">
        <v>116.189892449</v>
      </c>
      <c r="CZ24">
        <v>110.170358291</v>
      </c>
      <c r="DA24">
        <v>103.445086346</v>
      </c>
    </row>
    <row r="25" spans="5:105" x14ac:dyDescent="0.25">
      <c r="E25">
        <f>S_plus!L25</f>
        <v>0.23000000000000007</v>
      </c>
      <c r="F25">
        <v>114.143739052</v>
      </c>
      <c r="G25">
        <v>102.233801859</v>
      </c>
      <c r="H25">
        <v>91.960823030699999</v>
      </c>
      <c r="I25">
        <v>101.93463063199999</v>
      </c>
      <c r="J25">
        <v>112.39230603199999</v>
      </c>
      <c r="K25">
        <v>101.60520097200001</v>
      </c>
      <c r="L25">
        <v>80.488169099800004</v>
      </c>
      <c r="M25">
        <v>117.66792707899999</v>
      </c>
      <c r="N25">
        <v>89.2095547391</v>
      </c>
      <c r="O25">
        <v>100.356957909</v>
      </c>
      <c r="P25">
        <v>102.20329328</v>
      </c>
      <c r="Q25">
        <v>90.816185545699994</v>
      </c>
      <c r="R25">
        <v>111.83434272</v>
      </c>
      <c r="S25">
        <v>93.278438421100006</v>
      </c>
      <c r="T25">
        <v>99.372266852400003</v>
      </c>
      <c r="U25">
        <v>107.54725517999999</v>
      </c>
      <c r="V25">
        <v>106.898274563</v>
      </c>
      <c r="W25">
        <v>100.674208609</v>
      </c>
      <c r="X25">
        <v>88.031906302899998</v>
      </c>
      <c r="Y25">
        <v>108.226382855</v>
      </c>
      <c r="Z25">
        <v>94.703142914400004</v>
      </c>
      <c r="AA25">
        <v>102.278606104</v>
      </c>
      <c r="AB25">
        <v>110.721133428</v>
      </c>
      <c r="AC25">
        <v>104.242676094</v>
      </c>
      <c r="AD25">
        <v>86.742025559400005</v>
      </c>
      <c r="AE25">
        <v>93.796958044799993</v>
      </c>
      <c r="AF25">
        <v>112.989248741</v>
      </c>
      <c r="AG25">
        <v>83.413269865999993</v>
      </c>
      <c r="AH25">
        <v>100.139229456</v>
      </c>
      <c r="AI25">
        <v>107.740775982</v>
      </c>
      <c r="AJ25">
        <v>98.3795608219</v>
      </c>
      <c r="AK25">
        <v>103.053386258</v>
      </c>
      <c r="AL25">
        <v>83.029651263100007</v>
      </c>
      <c r="AM25">
        <v>111.551845417</v>
      </c>
      <c r="AN25">
        <v>105.166148178</v>
      </c>
      <c r="AO25">
        <v>107.730746258</v>
      </c>
      <c r="AP25">
        <v>90.459409224200002</v>
      </c>
      <c r="AQ25">
        <v>106.227586308</v>
      </c>
      <c r="AR25">
        <v>106.120688402</v>
      </c>
      <c r="AS25">
        <v>89.511628690799995</v>
      </c>
      <c r="AT25">
        <v>94.826864673200006</v>
      </c>
      <c r="AU25">
        <v>93.297714043900001</v>
      </c>
      <c r="AV25">
        <v>90.261173372200005</v>
      </c>
      <c r="AW25">
        <v>95.978121604899997</v>
      </c>
      <c r="AX25">
        <v>118.036407313</v>
      </c>
      <c r="AY25">
        <v>105.929572013</v>
      </c>
      <c r="AZ25">
        <v>109.02063045</v>
      </c>
      <c r="BA25">
        <v>97.677565448799996</v>
      </c>
      <c r="BB25">
        <v>95.150557220699994</v>
      </c>
      <c r="BC25">
        <v>89.490408780199999</v>
      </c>
      <c r="BD25">
        <v>111.739768826</v>
      </c>
      <c r="BE25">
        <v>111.50437047200001</v>
      </c>
      <c r="BF25">
        <v>104.274625945</v>
      </c>
      <c r="BG25">
        <v>99.097311420699995</v>
      </c>
      <c r="BH25">
        <v>119.591629772</v>
      </c>
      <c r="BI25">
        <v>111.583049171</v>
      </c>
      <c r="BJ25">
        <v>125.560644913</v>
      </c>
      <c r="BK25">
        <v>97.996921718400003</v>
      </c>
      <c r="BL25">
        <v>95.556443275600003</v>
      </c>
      <c r="BM25">
        <v>89.600287113099995</v>
      </c>
      <c r="BN25">
        <v>94.520221376400002</v>
      </c>
      <c r="BO25">
        <v>103.521696541</v>
      </c>
      <c r="BP25">
        <v>110.79080437499999</v>
      </c>
      <c r="BQ25">
        <v>117.370835086</v>
      </c>
      <c r="BR25">
        <v>101.579900717</v>
      </c>
      <c r="BS25">
        <v>113.78489628600001</v>
      </c>
      <c r="BT25">
        <v>106.529764746</v>
      </c>
      <c r="BU25">
        <v>94.443368700400001</v>
      </c>
      <c r="BV25">
        <v>107.88301078000001</v>
      </c>
      <c r="BW25">
        <v>100.745190142</v>
      </c>
      <c r="BX25">
        <v>90.258596822200005</v>
      </c>
      <c r="BY25">
        <v>107.629078029</v>
      </c>
      <c r="BZ25">
        <v>109.08664555199999</v>
      </c>
      <c r="CA25">
        <v>80.714594967400004</v>
      </c>
      <c r="CB25">
        <v>107.83117983699999</v>
      </c>
      <c r="CC25">
        <v>100.70018642700001</v>
      </c>
      <c r="CD25">
        <v>112.097019866</v>
      </c>
      <c r="CE25">
        <v>117.967365691</v>
      </c>
      <c r="CF25">
        <v>94.078079759199994</v>
      </c>
      <c r="CG25">
        <v>108.40408941299999</v>
      </c>
      <c r="CH25">
        <v>91.751693644499994</v>
      </c>
      <c r="CI25">
        <v>100.270225803</v>
      </c>
      <c r="CJ25">
        <v>93.2572702099</v>
      </c>
      <c r="CK25">
        <v>96.194822345399999</v>
      </c>
      <c r="CL25">
        <v>93.038523584299995</v>
      </c>
      <c r="CM25">
        <v>88.818014148100005</v>
      </c>
      <c r="CN25">
        <v>102.766906689</v>
      </c>
      <c r="CO25">
        <v>107.624902609</v>
      </c>
      <c r="CP25">
        <v>85.354720912199994</v>
      </c>
      <c r="CQ25">
        <v>90.178962272999996</v>
      </c>
      <c r="CR25">
        <v>98.828396880400007</v>
      </c>
      <c r="CS25">
        <v>97.495774518900006</v>
      </c>
      <c r="CT25">
        <v>88.453310470299996</v>
      </c>
      <c r="CU25">
        <v>111.40993522700001</v>
      </c>
      <c r="CV25">
        <v>97.178920926999993</v>
      </c>
      <c r="CW25">
        <v>111.226011808</v>
      </c>
      <c r="CX25">
        <v>97.562576519900006</v>
      </c>
      <c r="CY25">
        <v>116.238815276</v>
      </c>
      <c r="CZ25">
        <v>109.927291715</v>
      </c>
      <c r="DA25">
        <v>105.311115617</v>
      </c>
    </row>
    <row r="26" spans="5:105" x14ac:dyDescent="0.25">
      <c r="E26">
        <f>S_plus!L26</f>
        <v>0.24000000000000007</v>
      </c>
      <c r="F26">
        <v>115.09845275399999</v>
      </c>
      <c r="G26">
        <v>103.53652474099999</v>
      </c>
      <c r="H26">
        <v>96.245042537200007</v>
      </c>
      <c r="I26">
        <v>103.129621469</v>
      </c>
      <c r="J26">
        <v>112.47392133300001</v>
      </c>
      <c r="K26">
        <v>104.003574597</v>
      </c>
      <c r="L26">
        <v>78.134785995100003</v>
      </c>
      <c r="M26">
        <v>121.938406625</v>
      </c>
      <c r="N26">
        <v>88.843910011000006</v>
      </c>
      <c r="O26">
        <v>97.980930595299995</v>
      </c>
      <c r="P26">
        <v>101.977457508</v>
      </c>
      <c r="Q26">
        <v>89.344732458600006</v>
      </c>
      <c r="R26">
        <v>111.984594047</v>
      </c>
      <c r="S26">
        <v>91.041871858500002</v>
      </c>
      <c r="T26">
        <v>101.835285955</v>
      </c>
      <c r="U26">
        <v>106.97878283999999</v>
      </c>
      <c r="V26">
        <v>107.67373637199999</v>
      </c>
      <c r="W26">
        <v>100.89589151200001</v>
      </c>
      <c r="X26">
        <v>86.669376771399996</v>
      </c>
      <c r="Y26">
        <v>102.98546243200001</v>
      </c>
      <c r="Z26">
        <v>94.414508206099995</v>
      </c>
      <c r="AA26">
        <v>104.750490478</v>
      </c>
      <c r="AB26">
        <v>109.540286538</v>
      </c>
      <c r="AC26">
        <v>104.801361378</v>
      </c>
      <c r="AD26">
        <v>86.969190230300001</v>
      </c>
      <c r="AE26">
        <v>91.568443549799994</v>
      </c>
      <c r="AF26">
        <v>112.860924888</v>
      </c>
      <c r="AG26">
        <v>82.760595902299997</v>
      </c>
      <c r="AH26">
        <v>101.73791833200001</v>
      </c>
      <c r="AI26">
        <v>107.702061199</v>
      </c>
      <c r="AJ26">
        <v>97.713361013799997</v>
      </c>
      <c r="AK26">
        <v>100.891792982</v>
      </c>
      <c r="AL26">
        <v>85.713721417000002</v>
      </c>
      <c r="AM26">
        <v>118.808387072</v>
      </c>
      <c r="AN26">
        <v>104.691244923</v>
      </c>
      <c r="AO26">
        <v>106.53998320700001</v>
      </c>
      <c r="AP26">
        <v>88.665232282999995</v>
      </c>
      <c r="AQ26">
        <v>107.805028566</v>
      </c>
      <c r="AR26">
        <v>111.792932824</v>
      </c>
      <c r="AS26">
        <v>88.316827721699994</v>
      </c>
      <c r="AT26">
        <v>93.346487933700004</v>
      </c>
      <c r="AU26">
        <v>93.701915790100003</v>
      </c>
      <c r="AV26">
        <v>90.673570453799996</v>
      </c>
      <c r="AW26">
        <v>97.580664853100004</v>
      </c>
      <c r="AX26">
        <v>120.55465675000001</v>
      </c>
      <c r="AY26">
        <v>108.164193005</v>
      </c>
      <c r="AZ26">
        <v>108.612454232</v>
      </c>
      <c r="BA26">
        <v>97.524538746600001</v>
      </c>
      <c r="BB26">
        <v>91.869197976400002</v>
      </c>
      <c r="BC26">
        <v>90.946420884700004</v>
      </c>
      <c r="BD26">
        <v>110.55612143099999</v>
      </c>
      <c r="BE26">
        <v>112.32820619899999</v>
      </c>
      <c r="BF26">
        <v>104.048930015</v>
      </c>
      <c r="BG26">
        <v>96.832415065099994</v>
      </c>
      <c r="BH26">
        <v>119.547437389</v>
      </c>
      <c r="BI26">
        <v>112.489859142</v>
      </c>
      <c r="BJ26">
        <v>124.716370775</v>
      </c>
      <c r="BK26">
        <v>95.828941098000001</v>
      </c>
      <c r="BL26">
        <v>94.896904376999998</v>
      </c>
      <c r="BM26">
        <v>88.161823871500005</v>
      </c>
      <c r="BN26">
        <v>93.5256318351</v>
      </c>
      <c r="BO26">
        <v>101.915593378</v>
      </c>
      <c r="BP26">
        <v>113.018311224</v>
      </c>
      <c r="BQ26">
        <v>121.712087045</v>
      </c>
      <c r="BR26">
        <v>99.844366202100005</v>
      </c>
      <c r="BS26">
        <v>112.444319651</v>
      </c>
      <c r="BT26">
        <v>106.077839492</v>
      </c>
      <c r="BU26">
        <v>94.510503080399999</v>
      </c>
      <c r="BV26">
        <v>106.967424604</v>
      </c>
      <c r="BW26">
        <v>99.537975166199999</v>
      </c>
      <c r="BX26">
        <v>92.751963840299993</v>
      </c>
      <c r="BY26">
        <v>110.68709990799999</v>
      </c>
      <c r="BZ26">
        <v>113.24073561100001</v>
      </c>
      <c r="CA26">
        <v>81.815688969700005</v>
      </c>
      <c r="CB26">
        <v>105.966408272</v>
      </c>
      <c r="CC26">
        <v>99.806405411100002</v>
      </c>
      <c r="CD26">
        <v>113.929332022</v>
      </c>
      <c r="CE26">
        <v>117.156796868</v>
      </c>
      <c r="CF26">
        <v>91.7781885383</v>
      </c>
      <c r="CG26">
        <v>112.48137370400001</v>
      </c>
      <c r="CH26">
        <v>90.830850454</v>
      </c>
      <c r="CI26">
        <v>103.390819557</v>
      </c>
      <c r="CJ26">
        <v>92.555368980500006</v>
      </c>
      <c r="CK26">
        <v>95.273932670299999</v>
      </c>
      <c r="CL26">
        <v>92.036973841099993</v>
      </c>
      <c r="CM26">
        <v>88.007909436999995</v>
      </c>
      <c r="CN26">
        <v>104.322956432</v>
      </c>
      <c r="CO26">
        <v>109.016888947</v>
      </c>
      <c r="CP26">
        <v>84.348596518299999</v>
      </c>
      <c r="CQ26">
        <v>89.223839562699993</v>
      </c>
      <c r="CR26">
        <v>98.335012132499998</v>
      </c>
      <c r="CS26">
        <v>98.457447755999993</v>
      </c>
      <c r="CT26">
        <v>85.831165080399998</v>
      </c>
      <c r="CU26">
        <v>115.36907452600001</v>
      </c>
      <c r="CV26">
        <v>99.373805586399996</v>
      </c>
      <c r="CW26">
        <v>113.13388737699999</v>
      </c>
      <c r="CX26">
        <v>94.792792425000002</v>
      </c>
      <c r="CY26">
        <v>115.739484187</v>
      </c>
      <c r="CZ26">
        <v>108.380700516</v>
      </c>
      <c r="DA26">
        <v>101.287720466</v>
      </c>
    </row>
    <row r="27" spans="5:105" x14ac:dyDescent="0.25">
      <c r="E27">
        <f>S_plus!L27</f>
        <v>0.25000000000000006</v>
      </c>
      <c r="F27">
        <v>117.255911431</v>
      </c>
      <c r="G27">
        <v>100.694692864</v>
      </c>
      <c r="H27">
        <v>97.812318563100007</v>
      </c>
      <c r="I27">
        <v>101.679734153</v>
      </c>
      <c r="J27">
        <v>113.901830539</v>
      </c>
      <c r="K27">
        <v>104.565916363</v>
      </c>
      <c r="L27">
        <v>79.785987445900005</v>
      </c>
      <c r="M27">
        <v>121.90343834700001</v>
      </c>
      <c r="N27">
        <v>88.893744096299997</v>
      </c>
      <c r="O27">
        <v>96.852130527400007</v>
      </c>
      <c r="P27">
        <v>100.091867589</v>
      </c>
      <c r="Q27">
        <v>87.317746540800002</v>
      </c>
      <c r="R27">
        <v>110.967705004</v>
      </c>
      <c r="S27">
        <v>92.2611025824</v>
      </c>
      <c r="T27">
        <v>101.54715002899999</v>
      </c>
      <c r="U27">
        <v>113.929594954</v>
      </c>
      <c r="V27">
        <v>108.90766451499999</v>
      </c>
      <c r="W27">
        <v>102.29424776</v>
      </c>
      <c r="X27">
        <v>86.463945781700005</v>
      </c>
      <c r="Y27">
        <v>105.27807217199999</v>
      </c>
      <c r="Z27">
        <v>94.680621047499997</v>
      </c>
      <c r="AA27">
        <v>105.671737904</v>
      </c>
      <c r="AB27">
        <v>112.426474305</v>
      </c>
      <c r="AC27">
        <v>106.954620353</v>
      </c>
      <c r="AD27">
        <v>87.220425753399994</v>
      </c>
      <c r="AE27">
        <v>92.976391076699997</v>
      </c>
      <c r="AF27">
        <v>112.019269346</v>
      </c>
      <c r="AG27">
        <v>84.107959995200005</v>
      </c>
      <c r="AH27">
        <v>104.42009583700001</v>
      </c>
      <c r="AI27">
        <v>106.956767716</v>
      </c>
      <c r="AJ27">
        <v>99.789396946799997</v>
      </c>
      <c r="AK27">
        <v>97.9216675901</v>
      </c>
      <c r="AL27">
        <v>85.515883660300005</v>
      </c>
      <c r="AM27">
        <v>116.69197319600001</v>
      </c>
      <c r="AN27">
        <v>106.70319925</v>
      </c>
      <c r="AO27">
        <v>107.290622054</v>
      </c>
      <c r="AP27">
        <v>88.854317943599995</v>
      </c>
      <c r="AQ27">
        <v>105.88854274800001</v>
      </c>
      <c r="AR27">
        <v>111.366023434</v>
      </c>
      <c r="AS27">
        <v>86.375790064499995</v>
      </c>
      <c r="AT27">
        <v>94.622061097699998</v>
      </c>
      <c r="AU27">
        <v>96.701951320700005</v>
      </c>
      <c r="AV27">
        <v>93.154685011200002</v>
      </c>
      <c r="AW27">
        <v>98.561421444700002</v>
      </c>
      <c r="AX27">
        <v>122.029005215</v>
      </c>
      <c r="AY27">
        <v>109.744872943</v>
      </c>
      <c r="AZ27">
        <v>106.247348847</v>
      </c>
      <c r="BA27">
        <v>98.909180464599999</v>
      </c>
      <c r="BB27">
        <v>90.699055251499999</v>
      </c>
      <c r="BC27">
        <v>92.044338441099995</v>
      </c>
      <c r="BD27">
        <v>109.95768561200001</v>
      </c>
      <c r="BE27">
        <v>109.203061875</v>
      </c>
      <c r="BF27">
        <v>103.873804909</v>
      </c>
      <c r="BG27">
        <v>99.318297155300002</v>
      </c>
      <c r="BH27">
        <v>121.182913691</v>
      </c>
      <c r="BI27">
        <v>111.034891716</v>
      </c>
      <c r="BJ27">
        <v>121.444061056</v>
      </c>
      <c r="BK27">
        <v>92.6439329249</v>
      </c>
      <c r="BL27">
        <v>97.303360502299995</v>
      </c>
      <c r="BM27">
        <v>88.242554108199997</v>
      </c>
      <c r="BN27">
        <v>96.384122195900005</v>
      </c>
      <c r="BO27">
        <v>102.252890358</v>
      </c>
      <c r="BP27">
        <v>112.168525887</v>
      </c>
      <c r="BQ27">
        <v>124.544481985</v>
      </c>
      <c r="BR27">
        <v>98.260425599900003</v>
      </c>
      <c r="BS27">
        <v>110.54844961000001</v>
      </c>
      <c r="BT27">
        <v>107.906964629</v>
      </c>
      <c r="BU27">
        <v>96.088741778900001</v>
      </c>
      <c r="BV27">
        <v>105.05949860299999</v>
      </c>
      <c r="BW27">
        <v>100.52673158</v>
      </c>
      <c r="BX27">
        <v>91.778931761600006</v>
      </c>
      <c r="BY27">
        <v>111.304076012</v>
      </c>
      <c r="BZ27">
        <v>110.311570809</v>
      </c>
      <c r="CA27">
        <v>85.144878681199998</v>
      </c>
      <c r="CB27">
        <v>103.80143843</v>
      </c>
      <c r="CC27">
        <v>102.811087511</v>
      </c>
      <c r="CD27">
        <v>113.80317662100001</v>
      </c>
      <c r="CE27">
        <v>117.295493775</v>
      </c>
      <c r="CF27">
        <v>93.306591805899998</v>
      </c>
      <c r="CG27">
        <v>111.852660188</v>
      </c>
      <c r="CH27">
        <v>87.780019639399995</v>
      </c>
      <c r="CI27">
        <v>103.79346341500001</v>
      </c>
      <c r="CJ27">
        <v>96.982914103699997</v>
      </c>
      <c r="CK27">
        <v>96.9132717281</v>
      </c>
      <c r="CL27">
        <v>92.462336003900006</v>
      </c>
      <c r="CM27">
        <v>90.989220113800002</v>
      </c>
      <c r="CN27">
        <v>102.84614203300001</v>
      </c>
      <c r="CO27">
        <v>112.61833287</v>
      </c>
      <c r="CP27">
        <v>87.234402157199995</v>
      </c>
      <c r="CQ27">
        <v>89.259343401099997</v>
      </c>
      <c r="CR27">
        <v>100.976120311</v>
      </c>
      <c r="CS27">
        <v>94.769193157800004</v>
      </c>
      <c r="CT27">
        <v>88.419375413899999</v>
      </c>
      <c r="CU27">
        <v>121.29725042699999</v>
      </c>
      <c r="CV27">
        <v>102.237756467</v>
      </c>
      <c r="CW27">
        <v>112.798845106</v>
      </c>
      <c r="CX27">
        <v>95.408883428099998</v>
      </c>
      <c r="CY27">
        <v>119.056302444</v>
      </c>
      <c r="CZ27">
        <v>110.38436400400001</v>
      </c>
      <c r="DA27">
        <v>100.334219343</v>
      </c>
    </row>
    <row r="28" spans="5:105" x14ac:dyDescent="0.25">
      <c r="E28">
        <f>S_plus!L28</f>
        <v>0.26000000000000006</v>
      </c>
      <c r="F28">
        <v>116.65161188800001</v>
      </c>
      <c r="G28">
        <v>98.284385331799996</v>
      </c>
      <c r="H28">
        <v>97.712142787000005</v>
      </c>
      <c r="I28">
        <v>102.722064546</v>
      </c>
      <c r="J28">
        <v>118.976726025</v>
      </c>
      <c r="K28">
        <v>104.32127701500001</v>
      </c>
      <c r="L28">
        <v>81.636362321899995</v>
      </c>
      <c r="M28">
        <v>123.718943014</v>
      </c>
      <c r="N28">
        <v>87.941716345499998</v>
      </c>
      <c r="O28">
        <v>97.1650233007</v>
      </c>
      <c r="P28">
        <v>97.537369162000005</v>
      </c>
      <c r="Q28">
        <v>87.036499465700004</v>
      </c>
      <c r="R28">
        <v>112.296549782</v>
      </c>
      <c r="S28">
        <v>92.668819146700002</v>
      </c>
      <c r="T28">
        <v>101.51210955800001</v>
      </c>
      <c r="U28">
        <v>111.93807225099999</v>
      </c>
      <c r="V28">
        <v>111.414396235</v>
      </c>
      <c r="W28">
        <v>105.293585282</v>
      </c>
      <c r="X28">
        <v>84.715744414400007</v>
      </c>
      <c r="Y28">
        <v>103.419626014</v>
      </c>
      <c r="Z28">
        <v>95.317582180800002</v>
      </c>
      <c r="AA28">
        <v>105.890472156</v>
      </c>
      <c r="AB28">
        <v>113.261330597</v>
      </c>
      <c r="AC28">
        <v>107.013804663</v>
      </c>
      <c r="AD28">
        <v>86.136990559699996</v>
      </c>
      <c r="AE28">
        <v>92.1382286889</v>
      </c>
      <c r="AF28">
        <v>110.507343789</v>
      </c>
      <c r="AG28">
        <v>82.472274949600006</v>
      </c>
      <c r="AH28">
        <v>105.856307186</v>
      </c>
      <c r="AI28">
        <v>105.119431529</v>
      </c>
      <c r="AJ28">
        <v>100.40499620600001</v>
      </c>
      <c r="AK28">
        <v>99.693211401499994</v>
      </c>
      <c r="AL28">
        <v>84.075964653300005</v>
      </c>
      <c r="AM28">
        <v>114.805447368</v>
      </c>
      <c r="AN28">
        <v>108.34250701400001</v>
      </c>
      <c r="AO28">
        <v>107.495251322</v>
      </c>
      <c r="AP28">
        <v>88.157360556599997</v>
      </c>
      <c r="AQ28">
        <v>104.275651665</v>
      </c>
      <c r="AR28">
        <v>109.86929549200001</v>
      </c>
      <c r="AS28">
        <v>85.585803898799995</v>
      </c>
      <c r="AT28">
        <v>94.914724231400001</v>
      </c>
      <c r="AU28">
        <v>95.836146651000007</v>
      </c>
      <c r="AV28">
        <v>93.813498990599996</v>
      </c>
      <c r="AW28">
        <v>98.358522513799997</v>
      </c>
      <c r="AX28">
        <v>120.530916484</v>
      </c>
      <c r="AY28">
        <v>114.21474637599999</v>
      </c>
      <c r="AZ28">
        <v>108.52794545</v>
      </c>
      <c r="BA28">
        <v>97.468639935300004</v>
      </c>
      <c r="BB28">
        <v>90.444443865599993</v>
      </c>
      <c r="BC28">
        <v>94.352300633499993</v>
      </c>
      <c r="BD28">
        <v>110.046335027</v>
      </c>
      <c r="BE28">
        <v>112.00087384699999</v>
      </c>
      <c r="BF28">
        <v>102.69670922100001</v>
      </c>
      <c r="BG28">
        <v>103.42489760399999</v>
      </c>
      <c r="BH28">
        <v>120.539823075</v>
      </c>
      <c r="BI28">
        <v>110.97256468400001</v>
      </c>
      <c r="BJ28">
        <v>124.40481193799999</v>
      </c>
      <c r="BK28">
        <v>91.440216374399995</v>
      </c>
      <c r="BL28">
        <v>98.096105563500004</v>
      </c>
      <c r="BM28">
        <v>90.293316368399999</v>
      </c>
      <c r="BN28">
        <v>97.765345228399994</v>
      </c>
      <c r="BO28">
        <v>103.108673067</v>
      </c>
      <c r="BP28">
        <v>114.862338951</v>
      </c>
      <c r="BQ28">
        <v>125.089025092</v>
      </c>
      <c r="BR28">
        <v>98.304802437500001</v>
      </c>
      <c r="BS28">
        <v>112.68846707199999</v>
      </c>
      <c r="BT28">
        <v>108.417952954</v>
      </c>
      <c r="BU28">
        <v>96.932514173499996</v>
      </c>
      <c r="BV28">
        <v>104.37942291</v>
      </c>
      <c r="BW28">
        <v>100.730392044</v>
      </c>
      <c r="BX28">
        <v>96.810683753299998</v>
      </c>
      <c r="BY28">
        <v>111.75048578400001</v>
      </c>
      <c r="BZ28">
        <v>111.62417857600001</v>
      </c>
      <c r="CA28">
        <v>84.918372891399997</v>
      </c>
      <c r="CB28">
        <v>103.594607032</v>
      </c>
      <c r="CC28">
        <v>106.254422891</v>
      </c>
      <c r="CD28">
        <v>118.66176024000001</v>
      </c>
      <c r="CE28">
        <v>119.20692769999999</v>
      </c>
      <c r="CF28">
        <v>89.846759495800001</v>
      </c>
      <c r="CG28">
        <v>117.066640166</v>
      </c>
      <c r="CH28">
        <v>84.102723812899995</v>
      </c>
      <c r="CI28">
        <v>107.67367515700001</v>
      </c>
      <c r="CJ28">
        <v>97.970620608199994</v>
      </c>
      <c r="CK28">
        <v>100.272553913</v>
      </c>
      <c r="CL28">
        <v>95.143416778700001</v>
      </c>
      <c r="CM28">
        <v>93.199019387500002</v>
      </c>
      <c r="CN28">
        <v>102.99214299499999</v>
      </c>
      <c r="CO28">
        <v>118.67869971899999</v>
      </c>
      <c r="CP28">
        <v>90.180608844299996</v>
      </c>
      <c r="CQ28">
        <v>89.315825075899994</v>
      </c>
      <c r="CR28">
        <v>99.674303547500003</v>
      </c>
      <c r="CS28">
        <v>92.912565693700003</v>
      </c>
      <c r="CT28">
        <v>89.995727221799996</v>
      </c>
      <c r="CU28">
        <v>118.66656829900001</v>
      </c>
      <c r="CV28">
        <v>101.941599391</v>
      </c>
      <c r="CW28">
        <v>116.498942822</v>
      </c>
      <c r="CX28">
        <v>97.806768329799993</v>
      </c>
      <c r="CY28">
        <v>114.80574285100001</v>
      </c>
      <c r="CZ28">
        <v>111.486131027</v>
      </c>
      <c r="DA28">
        <v>100.65159805</v>
      </c>
    </row>
    <row r="29" spans="5:105" x14ac:dyDescent="0.25">
      <c r="E29">
        <f>S_plus!L29</f>
        <v>0.27000000000000007</v>
      </c>
      <c r="F29">
        <v>118.7633122</v>
      </c>
      <c r="G29">
        <v>98.816406643600004</v>
      </c>
      <c r="H29">
        <v>98.633713856200004</v>
      </c>
      <c r="I29">
        <v>101.17483108099999</v>
      </c>
      <c r="J29">
        <v>117.74083873799999</v>
      </c>
      <c r="K29">
        <v>104.129720652</v>
      </c>
      <c r="L29">
        <v>81.646968785799999</v>
      </c>
      <c r="M29">
        <v>122.731119393</v>
      </c>
      <c r="N29">
        <v>86.229821723599997</v>
      </c>
      <c r="O29">
        <v>96.398581559899995</v>
      </c>
      <c r="P29">
        <v>98.581182695300001</v>
      </c>
      <c r="Q29">
        <v>84.768728206000006</v>
      </c>
      <c r="R29">
        <v>111.25598116499999</v>
      </c>
      <c r="S29">
        <v>93.179677088700004</v>
      </c>
      <c r="T29">
        <v>99.821192203600006</v>
      </c>
      <c r="U29">
        <v>108.517979779</v>
      </c>
      <c r="V29">
        <v>109.247425553</v>
      </c>
      <c r="W29">
        <v>107.83593328400001</v>
      </c>
      <c r="X29">
        <v>82.743117663000007</v>
      </c>
      <c r="Y29">
        <v>102.10243492399999</v>
      </c>
      <c r="Z29">
        <v>96.097960158399999</v>
      </c>
      <c r="AA29">
        <v>102.32553564299999</v>
      </c>
      <c r="AB29">
        <v>119.65678960299999</v>
      </c>
      <c r="AC29">
        <v>107.773231843</v>
      </c>
      <c r="AD29">
        <v>85.186387491100007</v>
      </c>
      <c r="AE29">
        <v>95.819513106800002</v>
      </c>
      <c r="AF29">
        <v>107.61803594200001</v>
      </c>
      <c r="AG29">
        <v>79.770483341100004</v>
      </c>
      <c r="AH29">
        <v>103.788540459</v>
      </c>
      <c r="AI29">
        <v>105.82019266</v>
      </c>
      <c r="AJ29">
        <v>103.96476848899999</v>
      </c>
      <c r="AK29">
        <v>96.063021839300006</v>
      </c>
      <c r="AL29">
        <v>83.266437683800007</v>
      </c>
      <c r="AM29">
        <v>111.760858317</v>
      </c>
      <c r="AN29">
        <v>107.485255829</v>
      </c>
      <c r="AO29">
        <v>102.81171028999999</v>
      </c>
      <c r="AP29">
        <v>89.580896796299996</v>
      </c>
      <c r="AQ29">
        <v>104.08293202</v>
      </c>
      <c r="AR29">
        <v>112.344914395</v>
      </c>
      <c r="AS29">
        <v>84.737221633199994</v>
      </c>
      <c r="AT29">
        <v>92.518639716500005</v>
      </c>
      <c r="AU29">
        <v>96.844914751399997</v>
      </c>
      <c r="AV29">
        <v>94.068241012000001</v>
      </c>
      <c r="AW29">
        <v>96.986453751900001</v>
      </c>
      <c r="AX29">
        <v>117.560815538</v>
      </c>
      <c r="AY29">
        <v>111.700762838</v>
      </c>
      <c r="AZ29">
        <v>108.437043809</v>
      </c>
      <c r="BA29">
        <v>98.249989917299999</v>
      </c>
      <c r="BB29">
        <v>91.179156826899998</v>
      </c>
      <c r="BC29">
        <v>94.906636315900002</v>
      </c>
      <c r="BD29">
        <v>108.06794094599999</v>
      </c>
      <c r="BE29">
        <v>112.887196363</v>
      </c>
      <c r="BF29">
        <v>102.99627447500001</v>
      </c>
      <c r="BG29">
        <v>100.691278317</v>
      </c>
      <c r="BH29">
        <v>123.35129832</v>
      </c>
      <c r="BI29">
        <v>109.914876933</v>
      </c>
      <c r="BJ29">
        <v>124.226238337</v>
      </c>
      <c r="BK29">
        <v>94.310306405000006</v>
      </c>
      <c r="BL29">
        <v>96.448092845700003</v>
      </c>
      <c r="BM29">
        <v>89.234194458999994</v>
      </c>
      <c r="BN29">
        <v>98.449541709900004</v>
      </c>
      <c r="BO29">
        <v>104.942521421</v>
      </c>
      <c r="BP29">
        <v>115.972085824</v>
      </c>
      <c r="BQ29">
        <v>124.728451452</v>
      </c>
      <c r="BR29">
        <v>99.099784698799994</v>
      </c>
      <c r="BS29">
        <v>110.947009925</v>
      </c>
      <c r="BT29">
        <v>105.31609746700001</v>
      </c>
      <c r="BU29">
        <v>98.564409059400006</v>
      </c>
      <c r="BV29">
        <v>105.77960008399999</v>
      </c>
      <c r="BW29">
        <v>100.06867871</v>
      </c>
      <c r="BX29">
        <v>93.998848673300003</v>
      </c>
      <c r="BY29">
        <v>112.901375372</v>
      </c>
      <c r="BZ29">
        <v>111.790758463</v>
      </c>
      <c r="CA29">
        <v>86.078576010800006</v>
      </c>
      <c r="CB29">
        <v>104.977872191</v>
      </c>
      <c r="CC29">
        <v>107.095512242</v>
      </c>
      <c r="CD29">
        <v>118.23249897700001</v>
      </c>
      <c r="CE29">
        <v>117.60823152899999</v>
      </c>
      <c r="CF29">
        <v>91.549443829099999</v>
      </c>
      <c r="CG29">
        <v>118.97921323200001</v>
      </c>
      <c r="CH29">
        <v>86.241142681900001</v>
      </c>
      <c r="CI29">
        <v>109.63010556499999</v>
      </c>
      <c r="CJ29">
        <v>98.328013320899998</v>
      </c>
      <c r="CK29">
        <v>101.268458002</v>
      </c>
      <c r="CL29">
        <v>96.739419539599993</v>
      </c>
      <c r="CM29">
        <v>92.269563437299993</v>
      </c>
      <c r="CN29">
        <v>101.832205382</v>
      </c>
      <c r="CO29">
        <v>117.882711641</v>
      </c>
      <c r="CP29">
        <v>90.316001113900001</v>
      </c>
      <c r="CQ29">
        <v>89.509184720799993</v>
      </c>
      <c r="CR29">
        <v>102.50406836800001</v>
      </c>
      <c r="CS29">
        <v>94.257856520600001</v>
      </c>
      <c r="CT29">
        <v>88.754534935899997</v>
      </c>
      <c r="CU29">
        <v>120.517720975</v>
      </c>
      <c r="CV29">
        <v>103.879420088</v>
      </c>
      <c r="CW29">
        <v>116.91153739799999</v>
      </c>
      <c r="CX29">
        <v>97.104472236000007</v>
      </c>
      <c r="CY29">
        <v>116.296312994</v>
      </c>
      <c r="CZ29">
        <v>112.63718581800001</v>
      </c>
      <c r="DA29">
        <v>97.660474653799994</v>
      </c>
    </row>
    <row r="30" spans="5:105" x14ac:dyDescent="0.25">
      <c r="E30">
        <f>S_plus!L30</f>
        <v>0.28000000000000008</v>
      </c>
      <c r="F30">
        <v>120.10009637100001</v>
      </c>
      <c r="G30">
        <v>100.742622169</v>
      </c>
      <c r="H30">
        <v>102.710871008</v>
      </c>
      <c r="I30">
        <v>99.617309555600002</v>
      </c>
      <c r="J30">
        <v>118.45643847300001</v>
      </c>
      <c r="K30">
        <v>99.915598263199996</v>
      </c>
      <c r="L30">
        <v>82.463878367299998</v>
      </c>
      <c r="M30">
        <v>123.955764153</v>
      </c>
      <c r="N30">
        <v>87.527283217199994</v>
      </c>
      <c r="O30">
        <v>98.030791387400001</v>
      </c>
      <c r="P30">
        <v>98.835998036999996</v>
      </c>
      <c r="Q30">
        <v>88.866947340799996</v>
      </c>
      <c r="R30">
        <v>110.86136695</v>
      </c>
      <c r="S30">
        <v>92.884774543500001</v>
      </c>
      <c r="T30">
        <v>96.356954811899996</v>
      </c>
      <c r="U30">
        <v>107.861760507</v>
      </c>
      <c r="V30">
        <v>111.354351257</v>
      </c>
      <c r="W30">
        <v>106.823724434</v>
      </c>
      <c r="X30">
        <v>84.909534680999997</v>
      </c>
      <c r="Y30">
        <v>104.13362778299999</v>
      </c>
      <c r="Z30">
        <v>94.151246394099999</v>
      </c>
      <c r="AA30">
        <v>102.048069165</v>
      </c>
      <c r="AB30">
        <v>122.588068134</v>
      </c>
      <c r="AC30">
        <v>107.66720816199999</v>
      </c>
      <c r="AD30">
        <v>84.046523793700004</v>
      </c>
      <c r="AE30">
        <v>95.112049194500003</v>
      </c>
      <c r="AF30">
        <v>105.537048119</v>
      </c>
      <c r="AG30">
        <v>78.386520581799999</v>
      </c>
      <c r="AH30">
        <v>103.645961269</v>
      </c>
      <c r="AI30">
        <v>106.961253892</v>
      </c>
      <c r="AJ30">
        <v>103.701314944</v>
      </c>
      <c r="AK30">
        <v>94.684974675700005</v>
      </c>
      <c r="AL30">
        <v>84.276228566200004</v>
      </c>
      <c r="AM30">
        <v>109.76346529999999</v>
      </c>
      <c r="AN30">
        <v>109.99887818099999</v>
      </c>
      <c r="AO30">
        <v>100.003708547</v>
      </c>
      <c r="AP30">
        <v>89.884917646000005</v>
      </c>
      <c r="AQ30">
        <v>103.185243871</v>
      </c>
      <c r="AR30">
        <v>114.022572803</v>
      </c>
      <c r="AS30">
        <v>85.144276536999996</v>
      </c>
      <c r="AT30">
        <v>89.262532314500007</v>
      </c>
      <c r="AU30">
        <v>97.434724022699996</v>
      </c>
      <c r="AV30">
        <v>94.327432861999995</v>
      </c>
      <c r="AW30">
        <v>97.016470621300002</v>
      </c>
      <c r="AX30">
        <v>114.797605557</v>
      </c>
      <c r="AY30">
        <v>113.84269105200001</v>
      </c>
      <c r="AZ30">
        <v>109.882395984</v>
      </c>
      <c r="BA30">
        <v>96.409127189100005</v>
      </c>
      <c r="BB30">
        <v>88.752951482</v>
      </c>
      <c r="BC30">
        <v>96.304348180199995</v>
      </c>
      <c r="BD30">
        <v>109.32695518</v>
      </c>
      <c r="BE30">
        <v>115.313682844</v>
      </c>
      <c r="BF30">
        <v>104.754276981</v>
      </c>
      <c r="BG30">
        <v>100.419892178</v>
      </c>
      <c r="BH30">
        <v>124.048393377</v>
      </c>
      <c r="BI30">
        <v>110.580588441</v>
      </c>
      <c r="BJ30">
        <v>123.18994884200001</v>
      </c>
      <c r="BK30">
        <v>96.642417273800007</v>
      </c>
      <c r="BL30">
        <v>96.926580673900006</v>
      </c>
      <c r="BM30">
        <v>88.138006239399999</v>
      </c>
      <c r="BN30">
        <v>98.402078292200002</v>
      </c>
      <c r="BO30">
        <v>108.055794823</v>
      </c>
      <c r="BP30">
        <v>115.78632555900001</v>
      </c>
      <c r="BQ30">
        <v>123.98667845200001</v>
      </c>
      <c r="BR30">
        <v>92.754749005400001</v>
      </c>
      <c r="BS30">
        <v>108.524235433</v>
      </c>
      <c r="BT30">
        <v>107.55439324699999</v>
      </c>
      <c r="BU30">
        <v>98.152500748999998</v>
      </c>
      <c r="BV30">
        <v>108.000947039</v>
      </c>
      <c r="BW30">
        <v>99.087692518799997</v>
      </c>
      <c r="BX30">
        <v>94.9878419745</v>
      </c>
      <c r="BY30">
        <v>114.48389109</v>
      </c>
      <c r="BZ30">
        <v>109.187829429</v>
      </c>
      <c r="CA30">
        <v>83.595188161300001</v>
      </c>
      <c r="CB30">
        <v>103.60128119399999</v>
      </c>
      <c r="CC30">
        <v>105.86284429600001</v>
      </c>
      <c r="CD30">
        <v>118.79302392</v>
      </c>
      <c r="CE30">
        <v>115.241199794</v>
      </c>
      <c r="CF30">
        <v>94.575846353900005</v>
      </c>
      <c r="CG30">
        <v>116.28321970099999</v>
      </c>
      <c r="CH30">
        <v>86.650106725200004</v>
      </c>
      <c r="CI30">
        <v>108.517146909</v>
      </c>
      <c r="CJ30">
        <v>99.812285968899999</v>
      </c>
      <c r="CK30">
        <v>99.287166985100001</v>
      </c>
      <c r="CL30">
        <v>95.114663529400005</v>
      </c>
      <c r="CM30">
        <v>91.697756565600002</v>
      </c>
      <c r="CN30">
        <v>100.758224005</v>
      </c>
      <c r="CO30">
        <v>119.64056314299999</v>
      </c>
      <c r="CP30">
        <v>91.853629011099997</v>
      </c>
      <c r="CQ30">
        <v>88.505787101799996</v>
      </c>
      <c r="CR30">
        <v>100.990463479</v>
      </c>
      <c r="CS30">
        <v>97.231947576600007</v>
      </c>
      <c r="CT30">
        <v>87.527833181000005</v>
      </c>
      <c r="CU30">
        <v>125.51755144099999</v>
      </c>
      <c r="CV30">
        <v>103.111496608</v>
      </c>
      <c r="CW30">
        <v>116.974965849</v>
      </c>
      <c r="CX30">
        <v>99.153339138500002</v>
      </c>
      <c r="CY30">
        <v>114.056786299</v>
      </c>
      <c r="CZ30">
        <v>113.50871788000001</v>
      </c>
      <c r="DA30">
        <v>96.057841302400007</v>
      </c>
    </row>
    <row r="31" spans="5:105" x14ac:dyDescent="0.25">
      <c r="E31">
        <f>S_plus!L31</f>
        <v>0.29000000000000009</v>
      </c>
      <c r="F31">
        <v>117.800472439</v>
      </c>
      <c r="G31">
        <v>101.31543936200001</v>
      </c>
      <c r="H31">
        <v>101.58474562000001</v>
      </c>
      <c r="I31">
        <v>99.070521271000004</v>
      </c>
      <c r="J31">
        <v>120.49683885</v>
      </c>
      <c r="K31">
        <v>101.584845376</v>
      </c>
      <c r="L31">
        <v>82.558492101300004</v>
      </c>
      <c r="M31">
        <v>122.88434758</v>
      </c>
      <c r="N31">
        <v>85.697138408100002</v>
      </c>
      <c r="O31">
        <v>101.949832149</v>
      </c>
      <c r="P31">
        <v>99.707253470799998</v>
      </c>
      <c r="Q31">
        <v>90.687317211899995</v>
      </c>
      <c r="R31">
        <v>112.685131282</v>
      </c>
      <c r="S31">
        <v>92.317212109300002</v>
      </c>
      <c r="T31">
        <v>96.067373034200003</v>
      </c>
      <c r="U31">
        <v>108.292456104</v>
      </c>
      <c r="V31">
        <v>108.42864978</v>
      </c>
      <c r="W31">
        <v>109.529310516</v>
      </c>
      <c r="X31">
        <v>83.313849320700001</v>
      </c>
      <c r="Y31">
        <v>102.96601271500001</v>
      </c>
      <c r="Z31">
        <v>94.244733691299999</v>
      </c>
      <c r="AA31">
        <v>100.472854154</v>
      </c>
      <c r="AB31">
        <v>125.35109835199999</v>
      </c>
      <c r="AC31">
        <v>107.922532054</v>
      </c>
      <c r="AD31">
        <v>85.539146137900005</v>
      </c>
      <c r="AE31">
        <v>94.868560059299995</v>
      </c>
      <c r="AF31">
        <v>106.172316821</v>
      </c>
      <c r="AG31">
        <v>80.235524612299997</v>
      </c>
      <c r="AH31">
        <v>106.22926259099999</v>
      </c>
      <c r="AI31">
        <v>113.042525811</v>
      </c>
      <c r="AJ31">
        <v>102.87982742</v>
      </c>
      <c r="AK31">
        <v>95.384782515799998</v>
      </c>
      <c r="AL31">
        <v>84.636543438199993</v>
      </c>
      <c r="AM31">
        <v>108.10436226500001</v>
      </c>
      <c r="AN31">
        <v>112.086045876</v>
      </c>
      <c r="AO31">
        <v>101.293346877</v>
      </c>
      <c r="AP31">
        <v>87.099960774400003</v>
      </c>
      <c r="AQ31">
        <v>102.80402676600001</v>
      </c>
      <c r="AR31">
        <v>112.31860915999999</v>
      </c>
      <c r="AS31">
        <v>84.323698714000002</v>
      </c>
      <c r="AT31">
        <v>94.093632973799998</v>
      </c>
      <c r="AU31">
        <v>95.998412733999999</v>
      </c>
      <c r="AV31">
        <v>95.923928078800003</v>
      </c>
      <c r="AW31">
        <v>95.238876252400004</v>
      </c>
      <c r="AX31">
        <v>117.301116725</v>
      </c>
      <c r="AY31">
        <v>117.715978216</v>
      </c>
      <c r="AZ31">
        <v>110.27023146400001</v>
      </c>
      <c r="BA31">
        <v>100.184473126</v>
      </c>
      <c r="BB31">
        <v>88.998271906100001</v>
      </c>
      <c r="BC31">
        <v>99.388711202400003</v>
      </c>
      <c r="BD31">
        <v>106.19848042700001</v>
      </c>
      <c r="BE31">
        <v>117.029532742</v>
      </c>
      <c r="BF31">
        <v>106.927348352</v>
      </c>
      <c r="BG31">
        <v>99.524939362599994</v>
      </c>
      <c r="BH31">
        <v>127.627719734</v>
      </c>
      <c r="BI31">
        <v>114.15932295899999</v>
      </c>
      <c r="BJ31">
        <v>121.499350659</v>
      </c>
      <c r="BK31">
        <v>97.3551518493</v>
      </c>
      <c r="BL31">
        <v>94.942408242100001</v>
      </c>
      <c r="BM31">
        <v>90.989793913499994</v>
      </c>
      <c r="BN31">
        <v>98.846487501499993</v>
      </c>
      <c r="BO31">
        <v>113.367398675</v>
      </c>
      <c r="BP31">
        <v>117.23291830399999</v>
      </c>
      <c r="BQ31">
        <v>127.37942303299999</v>
      </c>
      <c r="BR31">
        <v>92.813284998100002</v>
      </c>
      <c r="BS31">
        <v>105.652061331</v>
      </c>
      <c r="BT31">
        <v>104.73326455500001</v>
      </c>
      <c r="BU31">
        <v>100.598524199</v>
      </c>
      <c r="BV31">
        <v>107.86401791199999</v>
      </c>
      <c r="BW31">
        <v>99.326591872400002</v>
      </c>
      <c r="BX31">
        <v>95.974211992600004</v>
      </c>
      <c r="BY31">
        <v>115.383048848</v>
      </c>
      <c r="BZ31">
        <v>108.58102093799999</v>
      </c>
      <c r="CA31">
        <v>82.992408391400005</v>
      </c>
      <c r="CB31">
        <v>101.757224877</v>
      </c>
      <c r="CC31">
        <v>109.32295545300001</v>
      </c>
      <c r="CD31">
        <v>119.50444987500001</v>
      </c>
      <c r="CE31">
        <v>112.93253786699999</v>
      </c>
      <c r="CF31">
        <v>92.985688986699998</v>
      </c>
      <c r="CG31">
        <v>114.51557249299999</v>
      </c>
      <c r="CH31">
        <v>86.892761456599999</v>
      </c>
      <c r="CI31">
        <v>106.164344367</v>
      </c>
      <c r="CJ31">
        <v>101.139530314</v>
      </c>
      <c r="CK31">
        <v>99.6949080646</v>
      </c>
      <c r="CL31">
        <v>94.178973418400005</v>
      </c>
      <c r="CM31">
        <v>93.116305229199995</v>
      </c>
      <c r="CN31">
        <v>102.048199152</v>
      </c>
      <c r="CO31">
        <v>118.71489359</v>
      </c>
      <c r="CP31">
        <v>94.228293221499996</v>
      </c>
      <c r="CQ31">
        <v>87.962978083699994</v>
      </c>
      <c r="CR31">
        <v>100.358770756</v>
      </c>
      <c r="CS31">
        <v>95.828333386599994</v>
      </c>
      <c r="CT31">
        <v>92.021375066499999</v>
      </c>
      <c r="CU31">
        <v>125.900953855</v>
      </c>
      <c r="CV31">
        <v>103.89443471200001</v>
      </c>
      <c r="CW31">
        <v>116.648145075</v>
      </c>
      <c r="CX31">
        <v>97.396098071799997</v>
      </c>
      <c r="CY31">
        <v>116.56391381100001</v>
      </c>
      <c r="CZ31">
        <v>116.29867054100001</v>
      </c>
      <c r="DA31">
        <v>95.657595925899997</v>
      </c>
    </row>
    <row r="32" spans="5:105" x14ac:dyDescent="0.25">
      <c r="E32">
        <f>S_plus!L32</f>
        <v>0.3000000000000001</v>
      </c>
      <c r="F32">
        <v>114.197136484</v>
      </c>
      <c r="G32">
        <v>100.34137223899999</v>
      </c>
      <c r="H32">
        <v>98.652540337399998</v>
      </c>
      <c r="I32">
        <v>98.766197745300005</v>
      </c>
      <c r="J32">
        <v>118.634911824</v>
      </c>
      <c r="K32">
        <v>102.494846686</v>
      </c>
      <c r="L32">
        <v>85.003402168400001</v>
      </c>
      <c r="M32">
        <v>124.383250541</v>
      </c>
      <c r="N32">
        <v>85.428827104600003</v>
      </c>
      <c r="O32">
        <v>99.062361279499996</v>
      </c>
      <c r="P32">
        <v>96.533609333699999</v>
      </c>
      <c r="Q32">
        <v>94.237011530800004</v>
      </c>
      <c r="R32">
        <v>112.074809242</v>
      </c>
      <c r="S32">
        <v>95.700285884600007</v>
      </c>
      <c r="T32">
        <v>95.254492396299995</v>
      </c>
      <c r="U32">
        <v>104.99556123799999</v>
      </c>
      <c r="V32">
        <v>110.271146659</v>
      </c>
      <c r="W32">
        <v>107.86580745000001</v>
      </c>
      <c r="X32">
        <v>83.226118487600004</v>
      </c>
      <c r="Y32">
        <v>101.513824357</v>
      </c>
      <c r="Z32">
        <v>92.0654632663</v>
      </c>
      <c r="AA32">
        <v>99.359571636799998</v>
      </c>
      <c r="AB32">
        <v>128.865953916</v>
      </c>
      <c r="AC32">
        <v>110.97271961600001</v>
      </c>
      <c r="AD32">
        <v>81.308119859200005</v>
      </c>
      <c r="AE32">
        <v>96.321573557199997</v>
      </c>
      <c r="AF32">
        <v>104.80918008499999</v>
      </c>
      <c r="AG32">
        <v>82.797110950399997</v>
      </c>
      <c r="AH32">
        <v>102.696267374</v>
      </c>
      <c r="AI32">
        <v>116.360072389</v>
      </c>
      <c r="AJ32">
        <v>102.643771676</v>
      </c>
      <c r="AK32">
        <v>96.1274321195</v>
      </c>
      <c r="AL32">
        <v>84.317530449800003</v>
      </c>
      <c r="AM32">
        <v>107.772407933</v>
      </c>
      <c r="AN32">
        <v>111.094170299</v>
      </c>
      <c r="AO32">
        <v>104.996396937</v>
      </c>
      <c r="AP32">
        <v>86.248408834399996</v>
      </c>
      <c r="AQ32">
        <v>104.76931432000001</v>
      </c>
      <c r="AR32">
        <v>112.629128131</v>
      </c>
      <c r="AS32">
        <v>86.1954653138</v>
      </c>
      <c r="AT32">
        <v>94.262614112199998</v>
      </c>
      <c r="AU32">
        <v>93.742703243600005</v>
      </c>
      <c r="AV32">
        <v>96.796887617500005</v>
      </c>
      <c r="AW32">
        <v>96.989826517599994</v>
      </c>
      <c r="AX32">
        <v>115.53353720200001</v>
      </c>
      <c r="AY32">
        <v>118.833614735</v>
      </c>
      <c r="AZ32">
        <v>110.645999575</v>
      </c>
      <c r="BA32">
        <v>99.497638579099998</v>
      </c>
      <c r="BB32">
        <v>91.5884321188</v>
      </c>
      <c r="BC32">
        <v>96.960192278899996</v>
      </c>
      <c r="BD32">
        <v>106.070925253</v>
      </c>
      <c r="BE32">
        <v>115.23544258699999</v>
      </c>
      <c r="BF32">
        <v>107.042859585</v>
      </c>
      <c r="BG32">
        <v>102.111749866</v>
      </c>
      <c r="BH32">
        <v>127.951708442</v>
      </c>
      <c r="BI32">
        <v>116.97423729</v>
      </c>
      <c r="BJ32">
        <v>123.48846471500001</v>
      </c>
      <c r="BK32">
        <v>95.998883573800001</v>
      </c>
      <c r="BL32">
        <v>95.778333820399993</v>
      </c>
      <c r="BM32">
        <v>91.5730170012</v>
      </c>
      <c r="BN32">
        <v>99.155392924599994</v>
      </c>
      <c r="BO32">
        <v>115.894718932</v>
      </c>
      <c r="BP32">
        <v>119.630826257</v>
      </c>
      <c r="BQ32">
        <v>128.540368965</v>
      </c>
      <c r="BR32">
        <v>91.309206605699998</v>
      </c>
      <c r="BS32">
        <v>105.001128816</v>
      </c>
      <c r="BT32">
        <v>100.15679201099999</v>
      </c>
      <c r="BU32">
        <v>100.677669736</v>
      </c>
      <c r="BV32">
        <v>108.670079372</v>
      </c>
      <c r="BW32">
        <v>99.972331755599996</v>
      </c>
      <c r="BX32">
        <v>93.741067103099994</v>
      </c>
      <c r="BY32">
        <v>118.493563471</v>
      </c>
      <c r="BZ32">
        <v>107.877931362</v>
      </c>
      <c r="CA32">
        <v>86.761082936099996</v>
      </c>
      <c r="CB32">
        <v>99.079229938599994</v>
      </c>
      <c r="CC32">
        <v>110.58101830299999</v>
      </c>
      <c r="CD32">
        <v>118.30846563599999</v>
      </c>
      <c r="CE32">
        <v>111.23484503</v>
      </c>
      <c r="CF32">
        <v>93.417257782299998</v>
      </c>
      <c r="CG32">
        <v>112.340555016</v>
      </c>
      <c r="CH32">
        <v>87.183636255500005</v>
      </c>
      <c r="CI32">
        <v>105.975322854</v>
      </c>
      <c r="CJ32">
        <v>102.29380898799999</v>
      </c>
      <c r="CK32">
        <v>100.08189936799999</v>
      </c>
      <c r="CL32">
        <v>96.9331417816</v>
      </c>
      <c r="CM32">
        <v>95.109810112900007</v>
      </c>
      <c r="CN32">
        <v>101.84717300699999</v>
      </c>
      <c r="CO32">
        <v>116.58419737299999</v>
      </c>
      <c r="CP32">
        <v>93.253793173899993</v>
      </c>
      <c r="CQ32">
        <v>87.402772818399995</v>
      </c>
      <c r="CR32">
        <v>100.72185156499999</v>
      </c>
      <c r="CS32">
        <v>95.2081669895</v>
      </c>
      <c r="CT32">
        <v>91.192864899900002</v>
      </c>
      <c r="CU32">
        <v>126.049006547</v>
      </c>
      <c r="CV32">
        <v>102.719841504</v>
      </c>
      <c r="CW32">
        <v>116.60182729100001</v>
      </c>
      <c r="CX32">
        <v>94.546121163799995</v>
      </c>
      <c r="CY32">
        <v>112.539657449</v>
      </c>
      <c r="CZ32">
        <v>119.806322783</v>
      </c>
      <c r="DA32">
        <v>94.288348980500004</v>
      </c>
    </row>
    <row r="33" spans="5:105" x14ac:dyDescent="0.25">
      <c r="E33">
        <f>S_plus!L33</f>
        <v>0.31000000000000011</v>
      </c>
      <c r="F33">
        <v>113.95653631</v>
      </c>
      <c r="G33">
        <v>101.643065319</v>
      </c>
      <c r="H33">
        <v>100.425012675</v>
      </c>
      <c r="I33">
        <v>100.122918876</v>
      </c>
      <c r="J33">
        <v>116.012018496</v>
      </c>
      <c r="K33">
        <v>104.36138330599999</v>
      </c>
      <c r="L33">
        <v>86.225140956600001</v>
      </c>
      <c r="M33">
        <v>125.71957260799999</v>
      </c>
      <c r="N33">
        <v>86.680767208299997</v>
      </c>
      <c r="O33">
        <v>99.737448795299997</v>
      </c>
      <c r="P33">
        <v>97.991783240900006</v>
      </c>
      <c r="Q33">
        <v>92.353315952200006</v>
      </c>
      <c r="R33">
        <v>111.991924865</v>
      </c>
      <c r="S33">
        <v>90.020041934199995</v>
      </c>
      <c r="T33">
        <v>93.565010666099994</v>
      </c>
      <c r="U33">
        <v>107.979683032</v>
      </c>
      <c r="V33">
        <v>110.64397532300001</v>
      </c>
      <c r="W33">
        <v>109.48697893400001</v>
      </c>
      <c r="X33">
        <v>82.636439585199994</v>
      </c>
      <c r="Y33">
        <v>103.567867058</v>
      </c>
      <c r="Z33">
        <v>97.027241985399996</v>
      </c>
      <c r="AA33">
        <v>99.007834410100003</v>
      </c>
      <c r="AB33">
        <v>128.26137914700001</v>
      </c>
      <c r="AC33">
        <v>109.82419918399999</v>
      </c>
      <c r="AD33">
        <v>80.321307763199997</v>
      </c>
      <c r="AE33">
        <v>97.362084203699993</v>
      </c>
      <c r="AF33">
        <v>107.423428872</v>
      </c>
      <c r="AG33">
        <v>81.1155341698</v>
      </c>
      <c r="AH33">
        <v>104.099117443</v>
      </c>
      <c r="AI33">
        <v>114.04107584099999</v>
      </c>
      <c r="AJ33">
        <v>101.32643086500001</v>
      </c>
      <c r="AK33">
        <v>95.630539214699994</v>
      </c>
      <c r="AL33">
        <v>86.678886667599997</v>
      </c>
      <c r="AM33">
        <v>105.879700708</v>
      </c>
      <c r="AN33">
        <v>110.989408514</v>
      </c>
      <c r="AO33">
        <v>102.04716899500001</v>
      </c>
      <c r="AP33">
        <v>82.527004961100005</v>
      </c>
      <c r="AQ33">
        <v>106.725194097</v>
      </c>
      <c r="AR33">
        <v>116.46803000600001</v>
      </c>
      <c r="AS33">
        <v>84.860143456399996</v>
      </c>
      <c r="AT33">
        <v>93.266220421900002</v>
      </c>
      <c r="AU33">
        <v>96.552842561899993</v>
      </c>
      <c r="AV33">
        <v>92.865605564299997</v>
      </c>
      <c r="AW33">
        <v>96.634043439099997</v>
      </c>
      <c r="AX33">
        <v>112.25241962600001</v>
      </c>
      <c r="AY33">
        <v>115.284354798</v>
      </c>
      <c r="AZ33">
        <v>105.108429852</v>
      </c>
      <c r="BA33">
        <v>100.567522998</v>
      </c>
      <c r="BB33">
        <v>91.563287300799999</v>
      </c>
      <c r="BC33">
        <v>100.300167868</v>
      </c>
      <c r="BD33">
        <v>106.545464099</v>
      </c>
      <c r="BE33">
        <v>117.5718291</v>
      </c>
      <c r="BF33">
        <v>107.32073007</v>
      </c>
      <c r="BG33">
        <v>101.657516122</v>
      </c>
      <c r="BH33">
        <v>129.19208279200001</v>
      </c>
      <c r="BI33">
        <v>119.705874389</v>
      </c>
      <c r="BJ33">
        <v>122.118077095</v>
      </c>
      <c r="BK33">
        <v>93.838124674300005</v>
      </c>
      <c r="BL33">
        <v>97.344866449799994</v>
      </c>
      <c r="BM33">
        <v>91.531755540600003</v>
      </c>
      <c r="BN33">
        <v>97.787945428699999</v>
      </c>
      <c r="BO33">
        <v>114.89681374200001</v>
      </c>
      <c r="BP33">
        <v>120.303415161</v>
      </c>
      <c r="BQ33">
        <v>129.74306282000001</v>
      </c>
      <c r="BR33">
        <v>88.9156398139</v>
      </c>
      <c r="BS33">
        <v>107.601181889</v>
      </c>
      <c r="BT33">
        <v>98.735636989300005</v>
      </c>
      <c r="BU33">
        <v>100.89608045</v>
      </c>
      <c r="BV33">
        <v>108.886797571</v>
      </c>
      <c r="BW33">
        <v>103.18258577500001</v>
      </c>
      <c r="BX33">
        <v>94.560363266400003</v>
      </c>
      <c r="BY33">
        <v>116.560599508</v>
      </c>
      <c r="BZ33">
        <v>106.549426246</v>
      </c>
      <c r="CA33">
        <v>86.842043789399995</v>
      </c>
      <c r="CB33">
        <v>98.349754622299997</v>
      </c>
      <c r="CC33">
        <v>110.097903965</v>
      </c>
      <c r="CD33">
        <v>118.736580499</v>
      </c>
      <c r="CE33">
        <v>110.61027001799999</v>
      </c>
      <c r="CF33">
        <v>95.888511061599999</v>
      </c>
      <c r="CG33">
        <v>107.255200829</v>
      </c>
      <c r="CH33">
        <v>89.609447634099993</v>
      </c>
      <c r="CI33">
        <v>103.36323541199999</v>
      </c>
      <c r="CJ33">
        <v>107.443153864</v>
      </c>
      <c r="CK33">
        <v>99.964127825999995</v>
      </c>
      <c r="CL33">
        <v>98.096911080300004</v>
      </c>
      <c r="CM33">
        <v>93.569373941500004</v>
      </c>
      <c r="CN33">
        <v>100.11606172899999</v>
      </c>
      <c r="CO33">
        <v>121.87887913</v>
      </c>
      <c r="CP33">
        <v>91.1762320415</v>
      </c>
      <c r="CQ33">
        <v>88.024915816499998</v>
      </c>
      <c r="CR33">
        <v>103.897451182</v>
      </c>
      <c r="CS33">
        <v>92.930224944000003</v>
      </c>
      <c r="CT33">
        <v>89.675676913399997</v>
      </c>
      <c r="CU33">
        <v>127.174520669</v>
      </c>
      <c r="CV33">
        <v>103.827523472</v>
      </c>
      <c r="CW33">
        <v>113.590093567</v>
      </c>
      <c r="CX33">
        <v>93.649654422099999</v>
      </c>
      <c r="CY33">
        <v>113.519247421</v>
      </c>
      <c r="CZ33">
        <v>120.898383885</v>
      </c>
      <c r="DA33">
        <v>97.412748930500001</v>
      </c>
    </row>
    <row r="34" spans="5:105" x14ac:dyDescent="0.25">
      <c r="E34">
        <f>S_plus!L34</f>
        <v>0.32000000000000012</v>
      </c>
      <c r="F34">
        <v>115.359998154</v>
      </c>
      <c r="G34">
        <v>103.300433031</v>
      </c>
      <c r="H34">
        <v>100.89524969599999</v>
      </c>
      <c r="I34">
        <v>99.045029129100001</v>
      </c>
      <c r="J34">
        <v>114.969737686</v>
      </c>
      <c r="K34">
        <v>107.47797016600001</v>
      </c>
      <c r="L34">
        <v>84.185962037099998</v>
      </c>
      <c r="M34">
        <v>124.95579182100001</v>
      </c>
      <c r="N34">
        <v>86.504706909899994</v>
      </c>
      <c r="O34">
        <v>102.013952437</v>
      </c>
      <c r="P34">
        <v>101.24502850099999</v>
      </c>
      <c r="Q34">
        <v>91.567902125700002</v>
      </c>
      <c r="R34">
        <v>111.658275523</v>
      </c>
      <c r="S34">
        <v>91.480575901899996</v>
      </c>
      <c r="T34">
        <v>98.601931985700006</v>
      </c>
      <c r="U34">
        <v>109.39967628399999</v>
      </c>
      <c r="V34">
        <v>114.01220013699999</v>
      </c>
      <c r="W34">
        <v>109.53486464</v>
      </c>
      <c r="X34">
        <v>82.990376485599995</v>
      </c>
      <c r="Y34">
        <v>99.569457606100002</v>
      </c>
      <c r="Z34">
        <v>99.387861581999999</v>
      </c>
      <c r="AA34">
        <v>96.760807217500002</v>
      </c>
      <c r="AB34">
        <v>128.92856939399999</v>
      </c>
      <c r="AC34">
        <v>113.046237468</v>
      </c>
      <c r="AD34">
        <v>80.890190985000004</v>
      </c>
      <c r="AE34">
        <v>97.482131636399998</v>
      </c>
      <c r="AF34">
        <v>105.964391025</v>
      </c>
      <c r="AG34">
        <v>81.438791465700007</v>
      </c>
      <c r="AH34">
        <v>102.534580248</v>
      </c>
      <c r="AI34">
        <v>115.954493223</v>
      </c>
      <c r="AJ34">
        <v>104.69006884700001</v>
      </c>
      <c r="AK34">
        <v>94.217696141700003</v>
      </c>
      <c r="AL34">
        <v>89.7562664525</v>
      </c>
      <c r="AM34">
        <v>105.27682055699999</v>
      </c>
      <c r="AN34">
        <v>112.280455188</v>
      </c>
      <c r="AO34">
        <v>104.55516618199999</v>
      </c>
      <c r="AP34">
        <v>82.923474798699999</v>
      </c>
      <c r="AQ34">
        <v>107.876230964</v>
      </c>
      <c r="AR34">
        <v>113.27852921900001</v>
      </c>
      <c r="AS34">
        <v>87.267636460199995</v>
      </c>
      <c r="AT34">
        <v>88.077657000100004</v>
      </c>
      <c r="AU34">
        <v>98.686944866600001</v>
      </c>
      <c r="AV34">
        <v>93.8730162114</v>
      </c>
      <c r="AW34">
        <v>97.680288484900004</v>
      </c>
      <c r="AX34">
        <v>108.220012411</v>
      </c>
      <c r="AY34">
        <v>116.288857557</v>
      </c>
      <c r="AZ34">
        <v>108.64314701799999</v>
      </c>
      <c r="BA34">
        <v>104.96232987800001</v>
      </c>
      <c r="BB34">
        <v>94.062943304399994</v>
      </c>
      <c r="BC34">
        <v>100.72446404199999</v>
      </c>
      <c r="BD34">
        <v>107.990598812</v>
      </c>
      <c r="BE34">
        <v>118.300390862</v>
      </c>
      <c r="BF34">
        <v>105.578275314</v>
      </c>
      <c r="BG34">
        <v>100.29571992299999</v>
      </c>
      <c r="BH34">
        <v>129.324994559</v>
      </c>
      <c r="BI34">
        <v>117.921490409</v>
      </c>
      <c r="BJ34">
        <v>120.65068771599999</v>
      </c>
      <c r="BK34">
        <v>92.871856429900006</v>
      </c>
      <c r="BL34">
        <v>96.289551383499997</v>
      </c>
      <c r="BM34">
        <v>92.451188464799998</v>
      </c>
      <c r="BN34">
        <v>102.382776902</v>
      </c>
      <c r="BO34">
        <v>113.20633499</v>
      </c>
      <c r="BP34">
        <v>118.78517017</v>
      </c>
      <c r="BQ34">
        <v>132.98123866899999</v>
      </c>
      <c r="BR34">
        <v>89.127050202600003</v>
      </c>
      <c r="BS34">
        <v>105.794715844</v>
      </c>
      <c r="BT34">
        <v>99.183846658799993</v>
      </c>
      <c r="BU34">
        <v>98.7876394086</v>
      </c>
      <c r="BV34">
        <v>105.765487126</v>
      </c>
      <c r="BW34">
        <v>104.706147828</v>
      </c>
      <c r="BX34">
        <v>92.795656492099994</v>
      </c>
      <c r="BY34">
        <v>116.689788423</v>
      </c>
      <c r="BZ34">
        <v>107.120385734</v>
      </c>
      <c r="CA34">
        <v>86.535966298299996</v>
      </c>
      <c r="CB34">
        <v>98.874173127999995</v>
      </c>
      <c r="CC34">
        <v>108.204747482</v>
      </c>
      <c r="CD34">
        <v>115.778172337</v>
      </c>
      <c r="CE34">
        <v>111.25849940499999</v>
      </c>
      <c r="CF34">
        <v>97.693730365799993</v>
      </c>
      <c r="CG34">
        <v>106.699113673</v>
      </c>
      <c r="CH34">
        <v>87.799897376399997</v>
      </c>
      <c r="CI34">
        <v>105.16107885</v>
      </c>
      <c r="CJ34">
        <v>103.108155408</v>
      </c>
      <c r="CK34">
        <v>101.46962952600001</v>
      </c>
      <c r="CL34">
        <v>98.746436685800006</v>
      </c>
      <c r="CM34">
        <v>95.806767353699996</v>
      </c>
      <c r="CN34">
        <v>100.848659371</v>
      </c>
      <c r="CO34">
        <v>122.034507679</v>
      </c>
      <c r="CP34">
        <v>91.735333816799994</v>
      </c>
      <c r="CQ34">
        <v>87.030292572299999</v>
      </c>
      <c r="CR34">
        <v>104.557466467</v>
      </c>
      <c r="CS34">
        <v>93.531055512199998</v>
      </c>
      <c r="CT34">
        <v>86.346578728500006</v>
      </c>
      <c r="CU34">
        <v>123.821502876</v>
      </c>
      <c r="CV34">
        <v>102.75479734300001</v>
      </c>
      <c r="CW34">
        <v>115.75809398600001</v>
      </c>
      <c r="CX34">
        <v>95.377966258399994</v>
      </c>
      <c r="CY34">
        <v>115.304942731</v>
      </c>
      <c r="CZ34">
        <v>119.629346689</v>
      </c>
      <c r="DA34">
        <v>98.677561117500005</v>
      </c>
    </row>
    <row r="35" spans="5:105" x14ac:dyDescent="0.25">
      <c r="E35">
        <f>S_plus!L35</f>
        <v>0.33000000000000013</v>
      </c>
      <c r="F35">
        <v>111.787410925</v>
      </c>
      <c r="G35">
        <v>102.00166613</v>
      </c>
      <c r="H35">
        <v>99.679903427900001</v>
      </c>
      <c r="I35">
        <v>99.377673815999998</v>
      </c>
      <c r="J35">
        <v>120.033254032</v>
      </c>
      <c r="K35">
        <v>109.64158670899999</v>
      </c>
      <c r="L35">
        <v>85.824561962499999</v>
      </c>
      <c r="M35">
        <v>123.624018671</v>
      </c>
      <c r="N35">
        <v>90.458010333299995</v>
      </c>
      <c r="O35">
        <v>97.305954286299993</v>
      </c>
      <c r="P35">
        <v>100.67434934400001</v>
      </c>
      <c r="Q35">
        <v>90.755399807900005</v>
      </c>
      <c r="R35">
        <v>112.499271521</v>
      </c>
      <c r="S35">
        <v>89.752364563300006</v>
      </c>
      <c r="T35">
        <v>98.635501656100004</v>
      </c>
      <c r="U35">
        <v>108.679938921</v>
      </c>
      <c r="V35">
        <v>114.77187831400001</v>
      </c>
      <c r="W35">
        <v>110.55741902699999</v>
      </c>
      <c r="X35">
        <v>81.584422181099995</v>
      </c>
      <c r="Y35">
        <v>97.589460002199999</v>
      </c>
      <c r="Z35">
        <v>97.735567550900001</v>
      </c>
      <c r="AA35">
        <v>98.142872704499993</v>
      </c>
      <c r="AB35">
        <v>128.81949376</v>
      </c>
      <c r="AC35">
        <v>112.75000709</v>
      </c>
      <c r="AD35">
        <v>80.050069994400005</v>
      </c>
      <c r="AE35">
        <v>95.021576752100003</v>
      </c>
      <c r="AF35">
        <v>105.154975803</v>
      </c>
      <c r="AG35">
        <v>82.510970478700003</v>
      </c>
      <c r="AH35">
        <v>101.30621275999999</v>
      </c>
      <c r="AI35">
        <v>116.779001773</v>
      </c>
      <c r="AJ35">
        <v>103.86688733</v>
      </c>
      <c r="AK35">
        <v>97.733096613499995</v>
      </c>
      <c r="AL35">
        <v>93.166561851400004</v>
      </c>
      <c r="AM35">
        <v>105.048404655</v>
      </c>
      <c r="AN35">
        <v>111.467943827</v>
      </c>
      <c r="AO35">
        <v>100.91990270300001</v>
      </c>
      <c r="AP35">
        <v>83.022425762699996</v>
      </c>
      <c r="AQ35">
        <v>111.05109942599999</v>
      </c>
      <c r="AR35">
        <v>113.25296752</v>
      </c>
      <c r="AS35">
        <v>88.325314656200007</v>
      </c>
      <c r="AT35">
        <v>87.427627745300001</v>
      </c>
      <c r="AU35">
        <v>95.989150715700006</v>
      </c>
      <c r="AV35">
        <v>93.238981278899999</v>
      </c>
      <c r="AW35">
        <v>96.980816556500002</v>
      </c>
      <c r="AX35">
        <v>107.970713651</v>
      </c>
      <c r="AY35">
        <v>116.913400716</v>
      </c>
      <c r="AZ35">
        <v>108.019719783</v>
      </c>
      <c r="BA35">
        <v>105.29748429999999</v>
      </c>
      <c r="BB35">
        <v>94.697714775999998</v>
      </c>
      <c r="BC35">
        <v>100.933044913</v>
      </c>
      <c r="BD35">
        <v>107.42172577700001</v>
      </c>
      <c r="BE35">
        <v>116.394085537</v>
      </c>
      <c r="BF35">
        <v>104.42038790300001</v>
      </c>
      <c r="BG35">
        <v>102.181555338</v>
      </c>
      <c r="BH35">
        <v>127.68350223</v>
      </c>
      <c r="BI35">
        <v>121.693649619</v>
      </c>
      <c r="BJ35">
        <v>117.017164568</v>
      </c>
      <c r="BK35">
        <v>91.418529867100006</v>
      </c>
      <c r="BL35">
        <v>94.188141526999999</v>
      </c>
      <c r="BM35">
        <v>91.348545930900002</v>
      </c>
      <c r="BN35">
        <v>98.005288322400006</v>
      </c>
      <c r="BO35">
        <v>110.193076107</v>
      </c>
      <c r="BP35">
        <v>119.357992966</v>
      </c>
      <c r="BQ35">
        <v>131.31627714000001</v>
      </c>
      <c r="BR35">
        <v>88.789960390299996</v>
      </c>
      <c r="BS35">
        <v>106.112387979</v>
      </c>
      <c r="BT35">
        <v>98.159851602200007</v>
      </c>
      <c r="BU35">
        <v>101.098554503</v>
      </c>
      <c r="BV35">
        <v>108.437135111</v>
      </c>
      <c r="BW35">
        <v>103.014377852</v>
      </c>
      <c r="BX35">
        <v>94.451210251199996</v>
      </c>
      <c r="BY35">
        <v>116.237165011</v>
      </c>
      <c r="BZ35">
        <v>108.687988441</v>
      </c>
      <c r="CA35">
        <v>84.396913806000001</v>
      </c>
      <c r="CB35">
        <v>97.408428617200002</v>
      </c>
      <c r="CC35">
        <v>107.67844773100001</v>
      </c>
      <c r="CD35">
        <v>116.416245354</v>
      </c>
      <c r="CE35">
        <v>113.01339065099999</v>
      </c>
      <c r="CF35">
        <v>98.008310816000005</v>
      </c>
      <c r="CG35">
        <v>106.785255271</v>
      </c>
      <c r="CH35">
        <v>87.227496195699999</v>
      </c>
      <c r="CI35">
        <v>106.94049478300001</v>
      </c>
      <c r="CJ35">
        <v>99.467706361699996</v>
      </c>
      <c r="CK35">
        <v>100.668259901</v>
      </c>
      <c r="CL35">
        <v>98.131749045700005</v>
      </c>
      <c r="CM35">
        <v>98.3413442449</v>
      </c>
      <c r="CN35">
        <v>100.036750404</v>
      </c>
      <c r="CO35">
        <v>121.55730131999999</v>
      </c>
      <c r="CP35">
        <v>92.344556538099994</v>
      </c>
      <c r="CQ35">
        <v>88.219537467099997</v>
      </c>
      <c r="CR35">
        <v>103.954755635</v>
      </c>
      <c r="CS35">
        <v>95.571405290200005</v>
      </c>
      <c r="CT35">
        <v>86.423195926600002</v>
      </c>
      <c r="CU35">
        <v>124.27331535499999</v>
      </c>
      <c r="CV35">
        <v>101.751286545</v>
      </c>
      <c r="CW35">
        <v>114.938420498</v>
      </c>
      <c r="CX35">
        <v>94.504197771600005</v>
      </c>
      <c r="CY35">
        <v>117.133246984</v>
      </c>
      <c r="CZ35">
        <v>116.51868397200001</v>
      </c>
      <c r="DA35">
        <v>100.839966234</v>
      </c>
    </row>
    <row r="36" spans="5:105" x14ac:dyDescent="0.25">
      <c r="E36">
        <f>S_plus!L36</f>
        <v>0.34000000000000014</v>
      </c>
      <c r="F36">
        <v>114.714702926</v>
      </c>
      <c r="G36">
        <v>103.20272615099999</v>
      </c>
      <c r="H36">
        <v>102.388589866</v>
      </c>
      <c r="I36">
        <v>101.966444962</v>
      </c>
      <c r="J36">
        <v>123.485047378</v>
      </c>
      <c r="K36">
        <v>105.84242898799999</v>
      </c>
      <c r="L36">
        <v>84.977063344000001</v>
      </c>
      <c r="M36">
        <v>128.06618743999999</v>
      </c>
      <c r="N36">
        <v>90.885959490000005</v>
      </c>
      <c r="O36">
        <v>100.465470853</v>
      </c>
      <c r="P36">
        <v>104.491447693</v>
      </c>
      <c r="Q36">
        <v>89.780955777599999</v>
      </c>
      <c r="R36">
        <v>112.629641523</v>
      </c>
      <c r="S36">
        <v>90.465947039200003</v>
      </c>
      <c r="T36">
        <v>98.471960022800005</v>
      </c>
      <c r="U36">
        <v>109.426947326</v>
      </c>
      <c r="V36">
        <v>114.82227245599999</v>
      </c>
      <c r="W36">
        <v>107.23684761299999</v>
      </c>
      <c r="X36">
        <v>78.410879943400005</v>
      </c>
      <c r="Y36">
        <v>97.410122443299997</v>
      </c>
      <c r="Z36">
        <v>97.091230153799998</v>
      </c>
      <c r="AA36">
        <v>96.995738010400004</v>
      </c>
      <c r="AB36">
        <v>127.108555169</v>
      </c>
      <c r="AC36">
        <v>112.35605404099999</v>
      </c>
      <c r="AD36">
        <v>79.714108171000007</v>
      </c>
      <c r="AE36">
        <v>94.871804802100002</v>
      </c>
      <c r="AF36">
        <v>105.089428013</v>
      </c>
      <c r="AG36">
        <v>80.584776418499999</v>
      </c>
      <c r="AH36">
        <v>103.07479628900001</v>
      </c>
      <c r="AI36">
        <v>114.111630662</v>
      </c>
      <c r="AJ36">
        <v>104.07886506299999</v>
      </c>
      <c r="AK36">
        <v>99.117938765100007</v>
      </c>
      <c r="AL36">
        <v>91.863041144600004</v>
      </c>
      <c r="AM36">
        <v>103.938365379</v>
      </c>
      <c r="AN36">
        <v>111.132652517</v>
      </c>
      <c r="AO36">
        <v>99.351105952699996</v>
      </c>
      <c r="AP36">
        <v>83.6836836361</v>
      </c>
      <c r="AQ36">
        <v>112.435212208</v>
      </c>
      <c r="AR36">
        <v>109.887211451</v>
      </c>
      <c r="AS36">
        <v>88.236130934200006</v>
      </c>
      <c r="AT36">
        <v>87.636482972500005</v>
      </c>
      <c r="AU36">
        <v>95.308009713299995</v>
      </c>
      <c r="AV36">
        <v>92.671366196500003</v>
      </c>
      <c r="AW36">
        <v>98.374551380100002</v>
      </c>
      <c r="AX36">
        <v>107.835928634</v>
      </c>
      <c r="AY36">
        <v>117.36113355499999</v>
      </c>
      <c r="AZ36">
        <v>111.569885098</v>
      </c>
      <c r="BA36">
        <v>106.571414531</v>
      </c>
      <c r="BB36">
        <v>92.426713833299999</v>
      </c>
      <c r="BC36">
        <v>101.438855781</v>
      </c>
      <c r="BD36">
        <v>108.599416154</v>
      </c>
      <c r="BE36">
        <v>116.037240427</v>
      </c>
      <c r="BF36">
        <v>108.10568560500001</v>
      </c>
      <c r="BG36">
        <v>102.137975852</v>
      </c>
      <c r="BH36">
        <v>127.444353714</v>
      </c>
      <c r="BI36">
        <v>116.897943755</v>
      </c>
      <c r="BJ36">
        <v>116.736554326</v>
      </c>
      <c r="BK36">
        <v>90.142322917900003</v>
      </c>
      <c r="BL36">
        <v>96.779464824100003</v>
      </c>
      <c r="BM36">
        <v>88.973179576700005</v>
      </c>
      <c r="BN36">
        <v>98.242277181899993</v>
      </c>
      <c r="BO36">
        <v>107.33695479799999</v>
      </c>
      <c r="BP36">
        <v>121.339260096</v>
      </c>
      <c r="BQ36">
        <v>133.02648277899999</v>
      </c>
      <c r="BR36">
        <v>88.481154311300003</v>
      </c>
      <c r="BS36">
        <v>100.453100009</v>
      </c>
      <c r="BT36">
        <v>99.370800036899993</v>
      </c>
      <c r="BU36">
        <v>96.032657251800003</v>
      </c>
      <c r="BV36">
        <v>111.966372033</v>
      </c>
      <c r="BW36">
        <v>102.79386938499999</v>
      </c>
      <c r="BX36">
        <v>94.718409296800004</v>
      </c>
      <c r="BY36">
        <v>118.69064913699999</v>
      </c>
      <c r="BZ36">
        <v>109.94499392199999</v>
      </c>
      <c r="CA36">
        <v>83.867715712600003</v>
      </c>
      <c r="CB36">
        <v>98.4551534382</v>
      </c>
      <c r="CC36">
        <v>107.489321203</v>
      </c>
      <c r="CD36">
        <v>116.368317934</v>
      </c>
      <c r="CE36">
        <v>115.02076093700001</v>
      </c>
      <c r="CF36">
        <v>98.595375924300001</v>
      </c>
      <c r="CG36">
        <v>107.11390378900001</v>
      </c>
      <c r="CH36">
        <v>86.399101679400005</v>
      </c>
      <c r="CI36">
        <v>108.15374506400001</v>
      </c>
      <c r="CJ36">
        <v>100.527275766</v>
      </c>
      <c r="CK36">
        <v>98.642576177199999</v>
      </c>
      <c r="CL36">
        <v>96.885676393699995</v>
      </c>
      <c r="CM36">
        <v>98.565439275299994</v>
      </c>
      <c r="CN36">
        <v>99.816411852200005</v>
      </c>
      <c r="CO36">
        <v>123.153940417</v>
      </c>
      <c r="CP36">
        <v>88.498671315099998</v>
      </c>
      <c r="CQ36">
        <v>89.957201331999997</v>
      </c>
      <c r="CR36">
        <v>105.29552882599999</v>
      </c>
      <c r="CS36">
        <v>98.506297780699995</v>
      </c>
      <c r="CT36">
        <v>85.052770473600006</v>
      </c>
      <c r="CU36">
        <v>125.826674251</v>
      </c>
      <c r="CV36">
        <v>100.025708096</v>
      </c>
      <c r="CW36">
        <v>112.73115412999999</v>
      </c>
      <c r="CX36">
        <v>92.115339343399995</v>
      </c>
      <c r="CY36">
        <v>116.361733438</v>
      </c>
      <c r="CZ36">
        <v>112.086456003</v>
      </c>
      <c r="DA36">
        <v>100.01008368799999</v>
      </c>
    </row>
    <row r="37" spans="5:105" x14ac:dyDescent="0.25">
      <c r="E37">
        <f>S_plus!L37</f>
        <v>0.35000000000000014</v>
      </c>
      <c r="F37">
        <v>115.960524392</v>
      </c>
      <c r="G37">
        <v>104.322667545</v>
      </c>
      <c r="H37">
        <v>102.416630392</v>
      </c>
      <c r="I37">
        <v>100.905408581</v>
      </c>
      <c r="J37">
        <v>125.680309146</v>
      </c>
      <c r="K37">
        <v>106.30614355500001</v>
      </c>
      <c r="L37">
        <v>85.405746523000005</v>
      </c>
      <c r="M37">
        <v>127.15307790200001</v>
      </c>
      <c r="N37">
        <v>92.188359353300001</v>
      </c>
      <c r="O37">
        <v>99.422859924099996</v>
      </c>
      <c r="P37">
        <v>103.71703932699999</v>
      </c>
      <c r="Q37">
        <v>85.4480673029</v>
      </c>
      <c r="R37">
        <v>110.453505686</v>
      </c>
      <c r="S37">
        <v>88.457945270400003</v>
      </c>
      <c r="T37">
        <v>97.295840163999998</v>
      </c>
      <c r="U37">
        <v>108.564073333</v>
      </c>
      <c r="V37">
        <v>113.461898492</v>
      </c>
      <c r="W37">
        <v>106.866542119</v>
      </c>
      <c r="X37">
        <v>77.345644514599996</v>
      </c>
      <c r="Y37">
        <v>98.989411641800004</v>
      </c>
      <c r="Z37">
        <v>97.446674496300005</v>
      </c>
      <c r="AA37">
        <v>96.592524545299995</v>
      </c>
      <c r="AB37">
        <v>125.69338462</v>
      </c>
      <c r="AC37">
        <v>111.970258747</v>
      </c>
      <c r="AD37">
        <v>82.714833391699997</v>
      </c>
      <c r="AE37">
        <v>96.750348036700004</v>
      </c>
      <c r="AF37">
        <v>102.25287833199999</v>
      </c>
      <c r="AG37">
        <v>79.4856152487</v>
      </c>
      <c r="AH37">
        <v>107.217710931</v>
      </c>
      <c r="AI37">
        <v>117.56747646399999</v>
      </c>
      <c r="AJ37">
        <v>103.44081637399999</v>
      </c>
      <c r="AK37">
        <v>97.554248225500004</v>
      </c>
      <c r="AL37">
        <v>90.092405652699995</v>
      </c>
      <c r="AM37">
        <v>103.276594772</v>
      </c>
      <c r="AN37">
        <v>118.54626534499999</v>
      </c>
      <c r="AO37">
        <v>101.34327063400001</v>
      </c>
      <c r="AP37">
        <v>83.698305570000002</v>
      </c>
      <c r="AQ37">
        <v>108.91517474699999</v>
      </c>
      <c r="AR37">
        <v>106.75954647499999</v>
      </c>
      <c r="AS37">
        <v>86.648115793599999</v>
      </c>
      <c r="AT37">
        <v>88.725214646799998</v>
      </c>
      <c r="AU37">
        <v>94.950390096099994</v>
      </c>
      <c r="AV37">
        <v>91.265848704500002</v>
      </c>
      <c r="AW37">
        <v>96.530720079700004</v>
      </c>
      <c r="AX37">
        <v>106.79237485199999</v>
      </c>
      <c r="AY37">
        <v>118.05450813500001</v>
      </c>
      <c r="AZ37">
        <v>110.505409497</v>
      </c>
      <c r="BA37">
        <v>106.648646732</v>
      </c>
      <c r="BB37">
        <v>94.299022806899998</v>
      </c>
      <c r="BC37">
        <v>99.851789262099999</v>
      </c>
      <c r="BD37">
        <v>106.145454591</v>
      </c>
      <c r="BE37">
        <v>110.354856564</v>
      </c>
      <c r="BF37">
        <v>107.555204102</v>
      </c>
      <c r="BG37">
        <v>100.977705185</v>
      </c>
      <c r="BH37">
        <v>122.940341906</v>
      </c>
      <c r="BI37">
        <v>119.98344931</v>
      </c>
      <c r="BJ37">
        <v>116.228734871</v>
      </c>
      <c r="BK37">
        <v>90.053359174400001</v>
      </c>
      <c r="BL37">
        <v>99.751480840400006</v>
      </c>
      <c r="BM37">
        <v>90.625982097199994</v>
      </c>
      <c r="BN37">
        <v>98.6647845671</v>
      </c>
      <c r="BO37">
        <v>110.40876701800001</v>
      </c>
      <c r="BP37">
        <v>119.669701889</v>
      </c>
      <c r="BQ37">
        <v>132.834603415</v>
      </c>
      <c r="BR37">
        <v>88.108882973600004</v>
      </c>
      <c r="BS37">
        <v>103.71120662600001</v>
      </c>
      <c r="BT37">
        <v>98.469245368399996</v>
      </c>
      <c r="BU37">
        <v>94.916201379599997</v>
      </c>
      <c r="BV37">
        <v>111.414324775</v>
      </c>
      <c r="BW37">
        <v>102.957588066</v>
      </c>
      <c r="BX37">
        <v>96.514029675700002</v>
      </c>
      <c r="BY37">
        <v>121.282243017</v>
      </c>
      <c r="BZ37">
        <v>109.491832065</v>
      </c>
      <c r="CA37">
        <v>83.572345471399998</v>
      </c>
      <c r="CB37">
        <v>95.536905935799993</v>
      </c>
      <c r="CC37">
        <v>107.25853274399999</v>
      </c>
      <c r="CD37">
        <v>111.94185989499999</v>
      </c>
      <c r="CE37">
        <v>115.349510939</v>
      </c>
      <c r="CF37">
        <v>101.796158291</v>
      </c>
      <c r="CG37">
        <v>109.051567005</v>
      </c>
      <c r="CH37">
        <v>85.4446196703</v>
      </c>
      <c r="CI37">
        <v>114.01283789</v>
      </c>
      <c r="CJ37">
        <v>99.279902273700003</v>
      </c>
      <c r="CK37">
        <v>99.441580055499998</v>
      </c>
      <c r="CL37">
        <v>97.474326064899998</v>
      </c>
      <c r="CM37">
        <v>98.717943655200003</v>
      </c>
      <c r="CN37">
        <v>99.342459556700007</v>
      </c>
      <c r="CO37">
        <v>126.17798630199999</v>
      </c>
      <c r="CP37">
        <v>89.963709868600006</v>
      </c>
      <c r="CQ37">
        <v>89.457850824499999</v>
      </c>
      <c r="CR37">
        <v>105.248002173</v>
      </c>
      <c r="CS37">
        <v>100.363865777</v>
      </c>
      <c r="CT37">
        <v>84.935447505799999</v>
      </c>
      <c r="CU37">
        <v>126.756583354</v>
      </c>
      <c r="CV37">
        <v>98.885281521600007</v>
      </c>
      <c r="CW37">
        <v>110.406564886</v>
      </c>
      <c r="CX37">
        <v>94.675515581200003</v>
      </c>
      <c r="CY37">
        <v>115.33927831299999</v>
      </c>
      <c r="CZ37">
        <v>110.674870181</v>
      </c>
      <c r="DA37">
        <v>96.870341202600002</v>
      </c>
    </row>
    <row r="38" spans="5:105" x14ac:dyDescent="0.25">
      <c r="E38">
        <f>S_plus!L38</f>
        <v>0.36000000000000015</v>
      </c>
      <c r="F38">
        <v>115.41384218899999</v>
      </c>
      <c r="G38">
        <v>107.72360283499999</v>
      </c>
      <c r="H38">
        <v>99.556988467699995</v>
      </c>
      <c r="I38">
        <v>99.319530714999999</v>
      </c>
      <c r="J38">
        <v>128.30218226100001</v>
      </c>
      <c r="K38">
        <v>106.419628403</v>
      </c>
      <c r="L38">
        <v>86.054037640100006</v>
      </c>
      <c r="M38">
        <v>131.20959035499999</v>
      </c>
      <c r="N38">
        <v>91.33914249</v>
      </c>
      <c r="O38">
        <v>99.630569423799997</v>
      </c>
      <c r="P38">
        <v>104.587608139</v>
      </c>
      <c r="Q38">
        <v>85.503225166700005</v>
      </c>
      <c r="R38">
        <v>109.380756624</v>
      </c>
      <c r="S38">
        <v>85.263804501600006</v>
      </c>
      <c r="T38">
        <v>94.189969917100001</v>
      </c>
      <c r="U38">
        <v>113.909146714</v>
      </c>
      <c r="V38">
        <v>108.47763659</v>
      </c>
      <c r="W38">
        <v>103.20301443699999</v>
      </c>
      <c r="X38">
        <v>76.235289233100005</v>
      </c>
      <c r="Y38">
        <v>99.143853810600007</v>
      </c>
      <c r="Z38">
        <v>96.037938114599996</v>
      </c>
      <c r="AA38">
        <v>98.989734021900006</v>
      </c>
      <c r="AB38">
        <v>123.802137542</v>
      </c>
      <c r="AC38">
        <v>112.929882936</v>
      </c>
      <c r="AD38">
        <v>84.6125004389</v>
      </c>
      <c r="AE38">
        <v>95.025894269600002</v>
      </c>
      <c r="AF38">
        <v>101.276271722</v>
      </c>
      <c r="AG38">
        <v>80.9865521344</v>
      </c>
      <c r="AH38">
        <v>110.07277628999999</v>
      </c>
      <c r="AI38">
        <v>113.286091744</v>
      </c>
      <c r="AJ38">
        <v>103.70949883500001</v>
      </c>
      <c r="AK38">
        <v>100.136144741</v>
      </c>
      <c r="AL38">
        <v>89.6175779318</v>
      </c>
      <c r="AM38">
        <v>102.82246281800001</v>
      </c>
      <c r="AN38">
        <v>115.04526883699999</v>
      </c>
      <c r="AO38">
        <v>103.699920623</v>
      </c>
      <c r="AP38">
        <v>82.235624099800006</v>
      </c>
      <c r="AQ38">
        <v>112.40351116399999</v>
      </c>
      <c r="AR38">
        <v>108.552941096</v>
      </c>
      <c r="AS38">
        <v>87.443405587200004</v>
      </c>
      <c r="AT38">
        <v>86.600578903100001</v>
      </c>
      <c r="AU38">
        <v>92.340377834099996</v>
      </c>
      <c r="AV38">
        <v>89.329548708999994</v>
      </c>
      <c r="AW38">
        <v>101.903160285</v>
      </c>
      <c r="AX38">
        <v>101.942940763</v>
      </c>
      <c r="AY38">
        <v>118.606367585</v>
      </c>
      <c r="AZ38">
        <v>109.566666989</v>
      </c>
      <c r="BA38">
        <v>107.924813429</v>
      </c>
      <c r="BB38">
        <v>93.662333514300002</v>
      </c>
      <c r="BC38">
        <v>97.165972791499996</v>
      </c>
      <c r="BD38">
        <v>109.27981704600001</v>
      </c>
      <c r="BE38">
        <v>110.617105627</v>
      </c>
      <c r="BF38">
        <v>107.50921542899999</v>
      </c>
      <c r="BG38">
        <v>100.328814282</v>
      </c>
      <c r="BH38">
        <v>122.885852595</v>
      </c>
      <c r="BI38">
        <v>118.19517842099999</v>
      </c>
      <c r="BJ38">
        <v>118.86882342200001</v>
      </c>
      <c r="BK38">
        <v>91.413421784099995</v>
      </c>
      <c r="BL38">
        <v>103.731597866</v>
      </c>
      <c r="BM38">
        <v>90.467853202800001</v>
      </c>
      <c r="BN38">
        <v>98.605031566600005</v>
      </c>
      <c r="BO38">
        <v>107.50055546500001</v>
      </c>
      <c r="BP38">
        <v>120.373790693</v>
      </c>
      <c r="BQ38">
        <v>133.51446506900001</v>
      </c>
      <c r="BR38">
        <v>87.780414216200001</v>
      </c>
      <c r="BS38">
        <v>103.62632451499999</v>
      </c>
      <c r="BT38">
        <v>100.404513513</v>
      </c>
      <c r="BU38">
        <v>94.141608979699996</v>
      </c>
      <c r="BV38">
        <v>110.174265447</v>
      </c>
      <c r="BW38">
        <v>100.741649955</v>
      </c>
      <c r="BX38">
        <v>97.346598431000004</v>
      </c>
      <c r="BY38">
        <v>121.814694104</v>
      </c>
      <c r="BZ38">
        <v>108.85231659199999</v>
      </c>
      <c r="CA38">
        <v>83.683528543400001</v>
      </c>
      <c r="CB38">
        <v>93.803672295400006</v>
      </c>
      <c r="CC38">
        <v>107.001785754</v>
      </c>
      <c r="CD38">
        <v>111.564527279</v>
      </c>
      <c r="CE38">
        <v>117.591590485</v>
      </c>
      <c r="CF38">
        <v>101.227627908</v>
      </c>
      <c r="CG38">
        <v>110.48182329700001</v>
      </c>
      <c r="CH38">
        <v>83.041733298699995</v>
      </c>
      <c r="CI38">
        <v>113.205104765</v>
      </c>
      <c r="CJ38">
        <v>97.723441582999996</v>
      </c>
      <c r="CK38">
        <v>98.635699736899994</v>
      </c>
      <c r="CL38">
        <v>95.345326491199998</v>
      </c>
      <c r="CM38">
        <v>97.030124478000005</v>
      </c>
      <c r="CN38">
        <v>97.533440101400004</v>
      </c>
      <c r="CO38">
        <v>124.02006556000001</v>
      </c>
      <c r="CP38">
        <v>90.304304182600006</v>
      </c>
      <c r="CQ38">
        <v>91.299229850299994</v>
      </c>
      <c r="CR38">
        <v>101.620083916</v>
      </c>
      <c r="CS38">
        <v>99.898241184699998</v>
      </c>
      <c r="CT38">
        <v>88.436022105800006</v>
      </c>
      <c r="CU38">
        <v>127.275146298</v>
      </c>
      <c r="CV38">
        <v>99.657339905200004</v>
      </c>
      <c r="CW38">
        <v>111.401949958</v>
      </c>
      <c r="CX38">
        <v>96.2191621037</v>
      </c>
      <c r="CY38">
        <v>116.881684601</v>
      </c>
      <c r="CZ38">
        <v>115.915097784</v>
      </c>
      <c r="DA38">
        <v>94.704064962000004</v>
      </c>
    </row>
    <row r="39" spans="5:105" x14ac:dyDescent="0.25">
      <c r="E39">
        <f>S_plus!L39</f>
        <v>0.37000000000000016</v>
      </c>
      <c r="F39">
        <v>112.46191242499999</v>
      </c>
      <c r="G39">
        <v>111.041536122</v>
      </c>
      <c r="H39">
        <v>102.432572302</v>
      </c>
      <c r="I39">
        <v>99.747129163500006</v>
      </c>
      <c r="J39">
        <v>127.539067242</v>
      </c>
      <c r="K39">
        <v>111.419653537</v>
      </c>
      <c r="L39">
        <v>87.868986516899994</v>
      </c>
      <c r="M39">
        <v>131.09374695899999</v>
      </c>
      <c r="N39">
        <v>90.724364400900001</v>
      </c>
      <c r="O39">
        <v>97.319755010700007</v>
      </c>
      <c r="P39">
        <v>100.18001582300001</v>
      </c>
      <c r="Q39">
        <v>89.128578696199995</v>
      </c>
      <c r="R39">
        <v>106.204274731</v>
      </c>
      <c r="S39">
        <v>84.967566585100002</v>
      </c>
      <c r="T39">
        <v>94.555465610900001</v>
      </c>
      <c r="U39">
        <v>115.49755328099999</v>
      </c>
      <c r="V39">
        <v>112.052305119</v>
      </c>
      <c r="W39">
        <v>106.49598555599999</v>
      </c>
      <c r="X39">
        <v>74.140985090399994</v>
      </c>
      <c r="Y39">
        <v>98.809600480100002</v>
      </c>
      <c r="Z39">
        <v>93.408610470599996</v>
      </c>
      <c r="AA39">
        <v>99.298563479699993</v>
      </c>
      <c r="AB39">
        <v>126.471060382</v>
      </c>
      <c r="AC39">
        <v>111.70525096199999</v>
      </c>
      <c r="AD39">
        <v>83.728786966399994</v>
      </c>
      <c r="AE39">
        <v>91.788335672000002</v>
      </c>
      <c r="AF39">
        <v>104.096024908</v>
      </c>
      <c r="AG39">
        <v>80.163313463500003</v>
      </c>
      <c r="AH39">
        <v>110.88089758300001</v>
      </c>
      <c r="AI39">
        <v>116.715829361</v>
      </c>
      <c r="AJ39">
        <v>104.648889621</v>
      </c>
      <c r="AK39">
        <v>102.802702501</v>
      </c>
      <c r="AL39">
        <v>86.8500816026</v>
      </c>
      <c r="AM39">
        <v>101.22097270899999</v>
      </c>
      <c r="AN39">
        <v>111.860746366</v>
      </c>
      <c r="AO39">
        <v>103.43150190199999</v>
      </c>
      <c r="AP39">
        <v>84.174784730100001</v>
      </c>
      <c r="AQ39">
        <v>111.736182877</v>
      </c>
      <c r="AR39">
        <v>105.809376035</v>
      </c>
      <c r="AS39">
        <v>84.528171416800006</v>
      </c>
      <c r="AT39">
        <v>87.081814497899998</v>
      </c>
      <c r="AU39">
        <v>92.118259671199993</v>
      </c>
      <c r="AV39">
        <v>87.999033956700004</v>
      </c>
      <c r="AW39">
        <v>103.363434337</v>
      </c>
      <c r="AX39">
        <v>101.957601592</v>
      </c>
      <c r="AY39">
        <v>115.260787867</v>
      </c>
      <c r="AZ39">
        <v>111.91570378599999</v>
      </c>
      <c r="BA39">
        <v>106.575226091</v>
      </c>
      <c r="BB39">
        <v>92.433523214199994</v>
      </c>
      <c r="BC39">
        <v>98.657216371399997</v>
      </c>
      <c r="BD39">
        <v>108.334527608</v>
      </c>
      <c r="BE39">
        <v>109.79151584500001</v>
      </c>
      <c r="BF39">
        <v>103.28940716300001</v>
      </c>
      <c r="BG39">
        <v>100.523309962</v>
      </c>
      <c r="BH39">
        <v>124.952238592</v>
      </c>
      <c r="BI39">
        <v>123.973005794</v>
      </c>
      <c r="BJ39">
        <v>115.78392276300001</v>
      </c>
      <c r="BK39">
        <v>93.038196206999999</v>
      </c>
      <c r="BL39">
        <v>103.04456178300001</v>
      </c>
      <c r="BM39">
        <v>89.3367100432</v>
      </c>
      <c r="BN39">
        <v>96.4902014826</v>
      </c>
      <c r="BO39">
        <v>108.806061164</v>
      </c>
      <c r="BP39">
        <v>118.852613828</v>
      </c>
      <c r="BQ39">
        <v>136.05745201900001</v>
      </c>
      <c r="BR39">
        <v>88.036512114199994</v>
      </c>
      <c r="BS39">
        <v>101.65069293099999</v>
      </c>
      <c r="BT39">
        <v>100.508560452</v>
      </c>
      <c r="BU39">
        <v>98.082272401099999</v>
      </c>
      <c r="BV39">
        <v>109.992994143</v>
      </c>
      <c r="BW39">
        <v>100.567431146</v>
      </c>
      <c r="BX39">
        <v>98.164603229600004</v>
      </c>
      <c r="BY39">
        <v>121.785323355</v>
      </c>
      <c r="BZ39">
        <v>102.591028296</v>
      </c>
      <c r="CA39">
        <v>81.948069583700004</v>
      </c>
      <c r="CB39">
        <v>94.689127489599997</v>
      </c>
      <c r="CC39">
        <v>104.40467092900001</v>
      </c>
      <c r="CD39">
        <v>109.652213823</v>
      </c>
      <c r="CE39">
        <v>117.52590618799999</v>
      </c>
      <c r="CF39">
        <v>104.939722605</v>
      </c>
      <c r="CG39">
        <v>108.389825585</v>
      </c>
      <c r="CH39">
        <v>85.293344250800004</v>
      </c>
      <c r="CI39">
        <v>112.31004657699999</v>
      </c>
      <c r="CJ39">
        <v>100.937675462</v>
      </c>
      <c r="CK39">
        <v>100.91524615199999</v>
      </c>
      <c r="CL39">
        <v>96.176776311400005</v>
      </c>
      <c r="CM39">
        <v>98.812568968199997</v>
      </c>
      <c r="CN39">
        <v>96.388642333600004</v>
      </c>
      <c r="CO39">
        <v>126.72286794</v>
      </c>
      <c r="CP39">
        <v>87.7832538766</v>
      </c>
      <c r="CQ39">
        <v>93.750076804599999</v>
      </c>
      <c r="CR39">
        <v>97.765632834100003</v>
      </c>
      <c r="CS39">
        <v>100.990656581</v>
      </c>
      <c r="CT39">
        <v>86.275025682700004</v>
      </c>
      <c r="CU39">
        <v>131.159746082</v>
      </c>
      <c r="CV39">
        <v>98.859960346500003</v>
      </c>
      <c r="CW39">
        <v>115.393149016</v>
      </c>
      <c r="CX39">
        <v>99.771641129599999</v>
      </c>
      <c r="CY39">
        <v>117.49696894900001</v>
      </c>
      <c r="CZ39">
        <v>115.872061673</v>
      </c>
      <c r="DA39">
        <v>95.793870856599995</v>
      </c>
    </row>
    <row r="40" spans="5:105" x14ac:dyDescent="0.25">
      <c r="E40">
        <f>S_plus!L40</f>
        <v>0.38000000000000017</v>
      </c>
      <c r="F40">
        <v>111.293552121</v>
      </c>
      <c r="G40">
        <v>108.62055553499999</v>
      </c>
      <c r="H40">
        <v>100.91388272</v>
      </c>
      <c r="I40">
        <v>101.084656145</v>
      </c>
      <c r="J40">
        <v>127.695044819</v>
      </c>
      <c r="K40">
        <v>109.820892544</v>
      </c>
      <c r="L40">
        <v>89.633577169500001</v>
      </c>
      <c r="M40">
        <v>135.465938752</v>
      </c>
      <c r="N40">
        <v>88.825963054200002</v>
      </c>
      <c r="O40">
        <v>98.508354278900001</v>
      </c>
      <c r="P40">
        <v>97.297348642000003</v>
      </c>
      <c r="Q40">
        <v>89.9505160577</v>
      </c>
      <c r="R40">
        <v>106.96116446000001</v>
      </c>
      <c r="S40">
        <v>85.475681017300005</v>
      </c>
      <c r="T40">
        <v>93.210569374900004</v>
      </c>
      <c r="U40">
        <v>117.616081517</v>
      </c>
      <c r="V40">
        <v>113.710175402</v>
      </c>
      <c r="W40">
        <v>105.881788965</v>
      </c>
      <c r="X40">
        <v>75.302749872099994</v>
      </c>
      <c r="Y40">
        <v>95.954113277199994</v>
      </c>
      <c r="Z40">
        <v>99.594275567799997</v>
      </c>
      <c r="AA40">
        <v>100.05762567399999</v>
      </c>
      <c r="AB40">
        <v>123.308756454</v>
      </c>
      <c r="AC40">
        <v>112.612796088</v>
      </c>
      <c r="AD40">
        <v>83.277362623499997</v>
      </c>
      <c r="AE40">
        <v>93.183046192800006</v>
      </c>
      <c r="AF40">
        <v>103.376894087</v>
      </c>
      <c r="AG40">
        <v>82.842765953599994</v>
      </c>
      <c r="AH40">
        <v>111.537866627</v>
      </c>
      <c r="AI40">
        <v>117.153596658</v>
      </c>
      <c r="AJ40">
        <v>104.87810996899999</v>
      </c>
      <c r="AK40">
        <v>103.771928296</v>
      </c>
      <c r="AL40">
        <v>88.643393412099996</v>
      </c>
      <c r="AM40">
        <v>101.81476566000001</v>
      </c>
      <c r="AN40">
        <v>111.880292285</v>
      </c>
      <c r="AO40">
        <v>102.281948547</v>
      </c>
      <c r="AP40">
        <v>86.334164613900001</v>
      </c>
      <c r="AQ40">
        <v>108.45844548300001</v>
      </c>
      <c r="AR40">
        <v>105.764611109</v>
      </c>
      <c r="AS40">
        <v>87.808103698300002</v>
      </c>
      <c r="AT40">
        <v>88.863899175100002</v>
      </c>
      <c r="AU40">
        <v>92.560430413099994</v>
      </c>
      <c r="AV40">
        <v>89.857735836900005</v>
      </c>
      <c r="AW40">
        <v>102.558935753</v>
      </c>
      <c r="AX40">
        <v>106.383726075</v>
      </c>
      <c r="AY40">
        <v>116.966526222</v>
      </c>
      <c r="AZ40">
        <v>111.71453078499999</v>
      </c>
      <c r="BA40">
        <v>105.17230355700001</v>
      </c>
      <c r="BB40">
        <v>93.186088633500006</v>
      </c>
      <c r="BC40">
        <v>98.274558702899995</v>
      </c>
      <c r="BD40">
        <v>106.99012872500001</v>
      </c>
      <c r="BE40">
        <v>109.52678397299999</v>
      </c>
      <c r="BF40">
        <v>106.542684772</v>
      </c>
      <c r="BG40">
        <v>101.82474929599999</v>
      </c>
      <c r="BH40">
        <v>123.816204165</v>
      </c>
      <c r="BI40">
        <v>126.88132464900001</v>
      </c>
      <c r="BJ40">
        <v>117.31344838699999</v>
      </c>
      <c r="BK40">
        <v>91.544531732899998</v>
      </c>
      <c r="BL40">
        <v>102.142518559</v>
      </c>
      <c r="BM40">
        <v>90.835151891799995</v>
      </c>
      <c r="BN40">
        <v>95.684140350500002</v>
      </c>
      <c r="BO40">
        <v>110.748709783</v>
      </c>
      <c r="BP40">
        <v>117.940993029</v>
      </c>
      <c r="BQ40">
        <v>133.599303886</v>
      </c>
      <c r="BR40">
        <v>90.594908528000005</v>
      </c>
      <c r="BS40">
        <v>99.6244656768</v>
      </c>
      <c r="BT40">
        <v>98.379984148399998</v>
      </c>
      <c r="BU40">
        <v>97.0989570773</v>
      </c>
      <c r="BV40">
        <v>109.39398439999999</v>
      </c>
      <c r="BW40">
        <v>98.424876440800006</v>
      </c>
      <c r="BX40">
        <v>99.902700784199993</v>
      </c>
      <c r="BY40">
        <v>118.80353603499999</v>
      </c>
      <c r="BZ40">
        <v>105.65138122</v>
      </c>
      <c r="CA40">
        <v>85.401294454899997</v>
      </c>
      <c r="CB40">
        <v>94.662967671000004</v>
      </c>
      <c r="CC40">
        <v>105.483509892</v>
      </c>
      <c r="CD40">
        <v>112.841908209</v>
      </c>
      <c r="CE40">
        <v>121.417948391</v>
      </c>
      <c r="CF40">
        <v>103.500245605</v>
      </c>
      <c r="CG40">
        <v>105.66638198699999</v>
      </c>
      <c r="CH40">
        <v>84.744507412700003</v>
      </c>
      <c r="CI40">
        <v>116.487735341</v>
      </c>
      <c r="CJ40">
        <v>97.809524075499994</v>
      </c>
      <c r="CK40">
        <v>101.845217452</v>
      </c>
      <c r="CL40">
        <v>97.792432822999999</v>
      </c>
      <c r="CM40">
        <v>98.787529891199995</v>
      </c>
      <c r="CN40">
        <v>95.428590415399995</v>
      </c>
      <c r="CO40">
        <v>127.12916574800001</v>
      </c>
      <c r="CP40">
        <v>89.066470210199995</v>
      </c>
      <c r="CQ40">
        <v>90.546670539100006</v>
      </c>
      <c r="CR40">
        <v>97.6190205212</v>
      </c>
      <c r="CS40">
        <v>98.5633145563</v>
      </c>
      <c r="CT40">
        <v>87.031260490799994</v>
      </c>
      <c r="CU40">
        <v>126.270243162</v>
      </c>
      <c r="CV40">
        <v>99.739034430399997</v>
      </c>
      <c r="CW40">
        <v>122.07762569400001</v>
      </c>
      <c r="CX40">
        <v>95.776596089400002</v>
      </c>
      <c r="CY40">
        <v>117.346058856</v>
      </c>
      <c r="CZ40">
        <v>113.171045312</v>
      </c>
      <c r="DA40">
        <v>96.963364700599996</v>
      </c>
    </row>
    <row r="41" spans="5:105" x14ac:dyDescent="0.25">
      <c r="E41">
        <f>S_plus!L41</f>
        <v>0.39000000000000018</v>
      </c>
      <c r="F41">
        <v>109.46449629599999</v>
      </c>
      <c r="G41">
        <v>110.307895235</v>
      </c>
      <c r="H41">
        <v>99.461947497500006</v>
      </c>
      <c r="I41">
        <v>98.175207318999995</v>
      </c>
      <c r="J41">
        <v>131.973570091</v>
      </c>
      <c r="K41">
        <v>107.514723616</v>
      </c>
      <c r="L41">
        <v>87.827401442199999</v>
      </c>
      <c r="M41">
        <v>137.07106764599999</v>
      </c>
      <c r="N41">
        <v>87.987127938599997</v>
      </c>
      <c r="O41">
        <v>99.269909693499997</v>
      </c>
      <c r="P41">
        <v>95.4342872661</v>
      </c>
      <c r="Q41">
        <v>90.554120865100003</v>
      </c>
      <c r="R41">
        <v>109.494396034</v>
      </c>
      <c r="S41">
        <v>87.626204092500004</v>
      </c>
      <c r="T41">
        <v>93.296698524600004</v>
      </c>
      <c r="U41">
        <v>115.21412737999999</v>
      </c>
      <c r="V41">
        <v>112.83161947399999</v>
      </c>
      <c r="W41">
        <v>105.164174618</v>
      </c>
      <c r="X41">
        <v>75.167124901299999</v>
      </c>
      <c r="Y41">
        <v>97.365765332999999</v>
      </c>
      <c r="Z41">
        <v>97.399058456299997</v>
      </c>
      <c r="AA41">
        <v>102.123900522</v>
      </c>
      <c r="AB41">
        <v>126.61133255</v>
      </c>
      <c r="AC41">
        <v>110.389341285</v>
      </c>
      <c r="AD41">
        <v>84.385971871699994</v>
      </c>
      <c r="AE41">
        <v>95.019380107900005</v>
      </c>
      <c r="AF41">
        <v>101.77302808500001</v>
      </c>
      <c r="AG41">
        <v>82.256737191100001</v>
      </c>
      <c r="AH41">
        <v>113.341731666</v>
      </c>
      <c r="AI41">
        <v>118.522961585</v>
      </c>
      <c r="AJ41">
        <v>107.85566472799999</v>
      </c>
      <c r="AK41">
        <v>104.236887294</v>
      </c>
      <c r="AL41">
        <v>87.501504669200003</v>
      </c>
      <c r="AM41">
        <v>105.781007368</v>
      </c>
      <c r="AN41">
        <v>111.014142252</v>
      </c>
      <c r="AO41">
        <v>100.751751392</v>
      </c>
      <c r="AP41">
        <v>86.900816210900004</v>
      </c>
      <c r="AQ41">
        <v>103.846688122</v>
      </c>
      <c r="AR41">
        <v>107.72910829999999</v>
      </c>
      <c r="AS41">
        <v>86.274815775700006</v>
      </c>
      <c r="AT41">
        <v>88.694667093800007</v>
      </c>
      <c r="AU41">
        <v>91.819037766700006</v>
      </c>
      <c r="AV41">
        <v>89.249180361000001</v>
      </c>
      <c r="AW41">
        <v>103.88232185299999</v>
      </c>
      <c r="AX41">
        <v>106.596703968</v>
      </c>
      <c r="AY41">
        <v>119.303460019</v>
      </c>
      <c r="AZ41">
        <v>111.78081261600001</v>
      </c>
      <c r="BA41">
        <v>110.935064274</v>
      </c>
      <c r="BB41">
        <v>94.190030569300006</v>
      </c>
      <c r="BC41">
        <v>97.497640582000002</v>
      </c>
      <c r="BD41">
        <v>107.189211196</v>
      </c>
      <c r="BE41">
        <v>111.77918204300001</v>
      </c>
      <c r="BF41">
        <v>107.812083722</v>
      </c>
      <c r="BG41">
        <v>103.34755043600001</v>
      </c>
      <c r="BH41">
        <v>122.46407924499999</v>
      </c>
      <c r="BI41">
        <v>122.831210364</v>
      </c>
      <c r="BJ41">
        <v>117.053086486</v>
      </c>
      <c r="BK41">
        <v>91.260155478900003</v>
      </c>
      <c r="BL41">
        <v>101.30983658700001</v>
      </c>
      <c r="BM41">
        <v>90.705632481899997</v>
      </c>
      <c r="BN41">
        <v>97.568071617499996</v>
      </c>
      <c r="BO41">
        <v>111.765453132</v>
      </c>
      <c r="BP41">
        <v>115.434617624</v>
      </c>
      <c r="BQ41">
        <v>132.186430847</v>
      </c>
      <c r="BR41">
        <v>92.562599256799999</v>
      </c>
      <c r="BS41">
        <v>98.1526917626</v>
      </c>
      <c r="BT41">
        <v>93.5677171472</v>
      </c>
      <c r="BU41">
        <v>101.99904739</v>
      </c>
      <c r="BV41">
        <v>108.75518002299999</v>
      </c>
      <c r="BW41">
        <v>98.085664967</v>
      </c>
      <c r="BX41">
        <v>101.38548303499999</v>
      </c>
      <c r="BY41">
        <v>120.323765318</v>
      </c>
      <c r="BZ41">
        <v>104.800080889</v>
      </c>
      <c r="CA41">
        <v>84.916429592200004</v>
      </c>
      <c r="CB41">
        <v>93.605166600299995</v>
      </c>
      <c r="CC41">
        <v>105.80495155200001</v>
      </c>
      <c r="CD41">
        <v>113.56146402900001</v>
      </c>
      <c r="CE41">
        <v>123.76203522199999</v>
      </c>
      <c r="CF41">
        <v>102.266242633</v>
      </c>
      <c r="CG41">
        <v>107.160816571</v>
      </c>
      <c r="CH41">
        <v>82.014767244500007</v>
      </c>
      <c r="CI41">
        <v>114.652857896</v>
      </c>
      <c r="CJ41">
        <v>99.992082037399996</v>
      </c>
      <c r="CK41">
        <v>101.115479592</v>
      </c>
      <c r="CL41">
        <v>96.885055899400001</v>
      </c>
      <c r="CM41">
        <v>97.843839930000001</v>
      </c>
      <c r="CN41">
        <v>95.948276161699994</v>
      </c>
      <c r="CO41">
        <v>127.405795815</v>
      </c>
      <c r="CP41">
        <v>89.378111296200004</v>
      </c>
      <c r="CQ41">
        <v>91.256742571299995</v>
      </c>
      <c r="CR41">
        <v>98.191617366000003</v>
      </c>
      <c r="CS41">
        <v>98.200846777999999</v>
      </c>
      <c r="CT41">
        <v>85.908738607700002</v>
      </c>
      <c r="CU41">
        <v>122.513121502</v>
      </c>
      <c r="CV41">
        <v>102.746524799</v>
      </c>
      <c r="CW41">
        <v>122.49580068900001</v>
      </c>
      <c r="CX41">
        <v>94.030751477999999</v>
      </c>
      <c r="CY41">
        <v>119.266783883</v>
      </c>
      <c r="CZ41">
        <v>113.5350025</v>
      </c>
      <c r="DA41">
        <v>94.028874190300002</v>
      </c>
    </row>
    <row r="42" spans="5:105" x14ac:dyDescent="0.25">
      <c r="E42">
        <f>S_plus!L42</f>
        <v>0.40000000000000019</v>
      </c>
      <c r="F42">
        <v>109.18628076900001</v>
      </c>
      <c r="G42">
        <v>113.901985639</v>
      </c>
      <c r="H42">
        <v>99.407328654599993</v>
      </c>
      <c r="I42">
        <v>100.204067098</v>
      </c>
      <c r="J42">
        <v>131.265141986</v>
      </c>
      <c r="K42">
        <v>110.560678571</v>
      </c>
      <c r="L42">
        <v>87.519592666400001</v>
      </c>
      <c r="M42">
        <v>138.96469424899999</v>
      </c>
      <c r="N42">
        <v>86.438993198299997</v>
      </c>
      <c r="O42">
        <v>100.383981531</v>
      </c>
      <c r="P42">
        <v>91.885577281899998</v>
      </c>
      <c r="Q42">
        <v>90.165524335300006</v>
      </c>
      <c r="R42">
        <v>113.32128061900001</v>
      </c>
      <c r="S42">
        <v>87.496227968499994</v>
      </c>
      <c r="T42">
        <v>96.336241970399996</v>
      </c>
      <c r="U42">
        <v>115.79695554</v>
      </c>
      <c r="V42">
        <v>114.90744975600001</v>
      </c>
      <c r="W42">
        <v>106.91013142200001</v>
      </c>
      <c r="X42">
        <v>75.755263297799999</v>
      </c>
      <c r="Y42">
        <v>97.264448530999999</v>
      </c>
      <c r="Z42">
        <v>96.021962355200003</v>
      </c>
      <c r="AA42">
        <v>103.598941349</v>
      </c>
      <c r="AB42">
        <v>128.12989704099999</v>
      </c>
      <c r="AC42">
        <v>110.988365512</v>
      </c>
      <c r="AD42">
        <v>84.760108040000006</v>
      </c>
      <c r="AE42">
        <v>94.188815796</v>
      </c>
      <c r="AF42">
        <v>99.823713312799995</v>
      </c>
      <c r="AG42">
        <v>84.932433310199997</v>
      </c>
      <c r="AH42">
        <v>116.186988629</v>
      </c>
      <c r="AI42">
        <v>124.851130269</v>
      </c>
      <c r="AJ42">
        <v>105.922762377</v>
      </c>
      <c r="AK42">
        <v>102.891792239</v>
      </c>
      <c r="AL42">
        <v>85.419240631199997</v>
      </c>
      <c r="AM42">
        <v>109.8513643</v>
      </c>
      <c r="AN42">
        <v>112.021701999</v>
      </c>
      <c r="AO42">
        <v>99.5494399289</v>
      </c>
      <c r="AP42">
        <v>85.822186034500007</v>
      </c>
      <c r="AQ42">
        <v>99.932734797600006</v>
      </c>
      <c r="AR42">
        <v>108.617358659</v>
      </c>
      <c r="AS42">
        <v>84.531766651200002</v>
      </c>
      <c r="AT42">
        <v>86.347336868599996</v>
      </c>
      <c r="AU42">
        <v>92.338714425800006</v>
      </c>
      <c r="AV42">
        <v>90.364231189600005</v>
      </c>
      <c r="AW42">
        <v>102.04681100800001</v>
      </c>
      <c r="AX42">
        <v>109.135458941</v>
      </c>
      <c r="AY42">
        <v>121.536452689</v>
      </c>
      <c r="AZ42">
        <v>111.40592145799999</v>
      </c>
      <c r="BA42">
        <v>112.54661935999999</v>
      </c>
      <c r="BB42">
        <v>95.951531448599994</v>
      </c>
      <c r="BC42">
        <v>96.387173003100003</v>
      </c>
      <c r="BD42">
        <v>107.422935647</v>
      </c>
      <c r="BE42">
        <v>113.344937671</v>
      </c>
      <c r="BF42">
        <v>106.621679375</v>
      </c>
      <c r="BG42">
        <v>101.669030468</v>
      </c>
      <c r="BH42">
        <v>122.533161509</v>
      </c>
      <c r="BI42">
        <v>124.960926884</v>
      </c>
      <c r="BJ42">
        <v>120.302278809</v>
      </c>
      <c r="BK42">
        <v>93.119947416399995</v>
      </c>
      <c r="BL42">
        <v>97.921481428500002</v>
      </c>
      <c r="BM42">
        <v>90.813188471900006</v>
      </c>
      <c r="BN42">
        <v>98.859249347299993</v>
      </c>
      <c r="BO42">
        <v>115.32948004799999</v>
      </c>
      <c r="BP42">
        <v>112.113449441</v>
      </c>
      <c r="BQ42">
        <v>135.572544999</v>
      </c>
      <c r="BR42">
        <v>95.556109039999996</v>
      </c>
      <c r="BS42">
        <v>95.097387740399995</v>
      </c>
      <c r="BT42">
        <v>94.571452404200002</v>
      </c>
      <c r="BU42">
        <v>104.608275957</v>
      </c>
      <c r="BV42">
        <v>110.492550498</v>
      </c>
      <c r="BW42">
        <v>100.00514585000001</v>
      </c>
      <c r="BX42">
        <v>103.20693361399999</v>
      </c>
      <c r="BY42">
        <v>118.841794967</v>
      </c>
      <c r="BZ42">
        <v>104.891434496</v>
      </c>
      <c r="CA42">
        <v>85.538935440000003</v>
      </c>
      <c r="CB42">
        <v>96.009111565200001</v>
      </c>
      <c r="CC42">
        <v>105.722894086</v>
      </c>
      <c r="CD42">
        <v>111.006321587</v>
      </c>
      <c r="CE42">
        <v>123.249146997</v>
      </c>
      <c r="CF42">
        <v>103.8604593</v>
      </c>
      <c r="CG42">
        <v>107.80496307600001</v>
      </c>
      <c r="CH42">
        <v>80.016915339500002</v>
      </c>
      <c r="CI42">
        <v>116.209737574</v>
      </c>
      <c r="CJ42">
        <v>98.734732014499997</v>
      </c>
      <c r="CK42">
        <v>97.294644423500003</v>
      </c>
      <c r="CL42">
        <v>98.363571328600003</v>
      </c>
      <c r="CM42">
        <v>95.084204401400001</v>
      </c>
      <c r="CN42">
        <v>96.410891000199996</v>
      </c>
      <c r="CO42">
        <v>123.564468893</v>
      </c>
      <c r="CP42">
        <v>90.603806874900002</v>
      </c>
      <c r="CQ42">
        <v>88.251159679899999</v>
      </c>
      <c r="CR42">
        <v>96.523247081099996</v>
      </c>
      <c r="CS42">
        <v>93.943172743900007</v>
      </c>
      <c r="CT42">
        <v>86.516622256299996</v>
      </c>
      <c r="CU42">
        <v>126.97601719399999</v>
      </c>
      <c r="CV42">
        <v>102.790914382</v>
      </c>
      <c r="CW42">
        <v>117.963481085</v>
      </c>
      <c r="CX42">
        <v>94.0411380571</v>
      </c>
      <c r="CY42">
        <v>121.20896954</v>
      </c>
      <c r="CZ42">
        <v>113.085260502</v>
      </c>
      <c r="DA42">
        <v>97.201301150600003</v>
      </c>
    </row>
    <row r="43" spans="5:105" x14ac:dyDescent="0.25">
      <c r="E43">
        <f>S_plus!L43</f>
        <v>0.4100000000000002</v>
      </c>
      <c r="F43">
        <v>110.969985142</v>
      </c>
      <c r="G43">
        <v>114.937625332</v>
      </c>
      <c r="H43">
        <v>101.210588746</v>
      </c>
      <c r="I43">
        <v>98.672027040700002</v>
      </c>
      <c r="J43">
        <v>133.069774892</v>
      </c>
      <c r="K43">
        <v>110.929194967</v>
      </c>
      <c r="L43">
        <v>86.846710541199997</v>
      </c>
      <c r="M43">
        <v>141.25591394599999</v>
      </c>
      <c r="N43">
        <v>88.136530801399999</v>
      </c>
      <c r="O43">
        <v>99.2631927332</v>
      </c>
      <c r="P43">
        <v>93.492609100799996</v>
      </c>
      <c r="Q43">
        <v>91.878969720100002</v>
      </c>
      <c r="R43">
        <v>115.00111655800001</v>
      </c>
      <c r="S43">
        <v>88.765381940099999</v>
      </c>
      <c r="T43">
        <v>95.042276540299994</v>
      </c>
      <c r="U43">
        <v>112.334495827</v>
      </c>
      <c r="V43">
        <v>119.274771371</v>
      </c>
      <c r="W43">
        <v>108.437783095</v>
      </c>
      <c r="X43">
        <v>78.544182031700004</v>
      </c>
      <c r="Y43">
        <v>98.682278267800001</v>
      </c>
      <c r="Z43">
        <v>97.604514200400004</v>
      </c>
      <c r="AA43">
        <v>103.29144248</v>
      </c>
      <c r="AB43">
        <v>128.82811173499999</v>
      </c>
      <c r="AC43">
        <v>110.86694201100001</v>
      </c>
      <c r="AD43">
        <v>84.803721187400001</v>
      </c>
      <c r="AE43">
        <v>94.4465027918</v>
      </c>
      <c r="AF43">
        <v>100.73548520999999</v>
      </c>
      <c r="AG43">
        <v>85.1733047763</v>
      </c>
      <c r="AH43">
        <v>113.606881406</v>
      </c>
      <c r="AI43">
        <v>128.13238124399999</v>
      </c>
      <c r="AJ43">
        <v>103.625984531</v>
      </c>
      <c r="AK43">
        <v>105.638701127</v>
      </c>
      <c r="AL43">
        <v>87.380130697499993</v>
      </c>
      <c r="AM43">
        <v>111.02798629900001</v>
      </c>
      <c r="AN43">
        <v>109.67747609200001</v>
      </c>
      <c r="AO43">
        <v>101.31212043399999</v>
      </c>
      <c r="AP43">
        <v>86.750521993299998</v>
      </c>
      <c r="AQ43">
        <v>100.598246309</v>
      </c>
      <c r="AR43">
        <v>108.85257059200001</v>
      </c>
      <c r="AS43">
        <v>86.876076335299999</v>
      </c>
      <c r="AT43">
        <v>86.240234253799997</v>
      </c>
      <c r="AU43">
        <v>93.216831778599996</v>
      </c>
      <c r="AV43">
        <v>89.0219436175</v>
      </c>
      <c r="AW43">
        <v>104.563098846</v>
      </c>
      <c r="AX43">
        <v>106.886193457</v>
      </c>
      <c r="AY43">
        <v>124.05578723399999</v>
      </c>
      <c r="AZ43">
        <v>114.19368404399999</v>
      </c>
      <c r="BA43">
        <v>110.696902084</v>
      </c>
      <c r="BB43">
        <v>96.635827041300004</v>
      </c>
      <c r="BC43">
        <v>97.304675079500001</v>
      </c>
      <c r="BD43">
        <v>111.864718334</v>
      </c>
      <c r="BE43">
        <v>111.235274222</v>
      </c>
      <c r="BF43">
        <v>106.03620990899999</v>
      </c>
      <c r="BG43">
        <v>102.648475647</v>
      </c>
      <c r="BH43">
        <v>119.29524833799999</v>
      </c>
      <c r="BI43">
        <v>122.30485980500001</v>
      </c>
      <c r="BJ43">
        <v>123.629025375</v>
      </c>
      <c r="BK43">
        <v>91.399619192299994</v>
      </c>
      <c r="BL43">
        <v>95.331041083599999</v>
      </c>
      <c r="BM43">
        <v>90.242112088499994</v>
      </c>
      <c r="BN43">
        <v>101.189469004</v>
      </c>
      <c r="BO43">
        <v>116.494473122</v>
      </c>
      <c r="BP43">
        <v>111.28362101899999</v>
      </c>
      <c r="BQ43">
        <v>139.574715349</v>
      </c>
      <c r="BR43">
        <v>99.018345421099994</v>
      </c>
      <c r="BS43">
        <v>96.070230861900001</v>
      </c>
      <c r="BT43">
        <v>92.798825890800003</v>
      </c>
      <c r="BU43">
        <v>106.038661099</v>
      </c>
      <c r="BV43">
        <v>106.741229989</v>
      </c>
      <c r="BW43">
        <v>98.181594722300005</v>
      </c>
      <c r="BX43">
        <v>102.135592026</v>
      </c>
      <c r="BY43">
        <v>116.320803048</v>
      </c>
      <c r="BZ43">
        <v>103.18340856</v>
      </c>
      <c r="CA43">
        <v>83.761247274300004</v>
      </c>
      <c r="CB43">
        <v>94.398802075299997</v>
      </c>
      <c r="CC43">
        <v>101.86848865499999</v>
      </c>
      <c r="CD43">
        <v>110.052274522</v>
      </c>
      <c r="CE43">
        <v>122.090596839</v>
      </c>
      <c r="CF43">
        <v>107.10052129499999</v>
      </c>
      <c r="CG43">
        <v>107.92540585099999</v>
      </c>
      <c r="CH43">
        <v>81.946211381699996</v>
      </c>
      <c r="CI43">
        <v>110.281992645</v>
      </c>
      <c r="CJ43">
        <v>98.722273834000006</v>
      </c>
      <c r="CK43">
        <v>99.510622478800002</v>
      </c>
      <c r="CL43">
        <v>97.501365127</v>
      </c>
      <c r="CM43">
        <v>92.325570537999994</v>
      </c>
      <c r="CN43">
        <v>96.217256887600001</v>
      </c>
      <c r="CO43">
        <v>122.92898354499999</v>
      </c>
      <c r="CP43">
        <v>92.972584358800006</v>
      </c>
      <c r="CQ43">
        <v>87.078369655299994</v>
      </c>
      <c r="CR43">
        <v>95.860126163900006</v>
      </c>
      <c r="CS43">
        <v>93.353633886799997</v>
      </c>
      <c r="CT43">
        <v>85.474407157900004</v>
      </c>
      <c r="CU43">
        <v>128.45431232499999</v>
      </c>
      <c r="CV43">
        <v>105.0526055</v>
      </c>
      <c r="CW43">
        <v>116.543839347</v>
      </c>
      <c r="CX43">
        <v>97.306675740800003</v>
      </c>
      <c r="CY43">
        <v>119.326161914</v>
      </c>
      <c r="CZ43">
        <v>116.184571045</v>
      </c>
      <c r="DA43">
        <v>99.817199492</v>
      </c>
    </row>
    <row r="44" spans="5:105" x14ac:dyDescent="0.25">
      <c r="E44">
        <f>S_plus!L44</f>
        <v>0.42000000000000021</v>
      </c>
      <c r="F44">
        <v>109.42148457499999</v>
      </c>
      <c r="G44">
        <v>118.834783055</v>
      </c>
      <c r="H44">
        <v>101.207639292</v>
      </c>
      <c r="I44">
        <v>101.46938415699999</v>
      </c>
      <c r="J44">
        <v>134.60667183199999</v>
      </c>
      <c r="K44">
        <v>110.429563501</v>
      </c>
      <c r="L44">
        <v>86.639064755000007</v>
      </c>
      <c r="M44">
        <v>144.06897334000001</v>
      </c>
      <c r="N44">
        <v>85.285890487299994</v>
      </c>
      <c r="O44">
        <v>97.785864314600005</v>
      </c>
      <c r="P44">
        <v>95.532240548999994</v>
      </c>
      <c r="Q44">
        <v>91.622557331699994</v>
      </c>
      <c r="R44">
        <v>119.39462564199999</v>
      </c>
      <c r="S44">
        <v>88.070438086699994</v>
      </c>
      <c r="T44">
        <v>99.621255513700007</v>
      </c>
      <c r="U44">
        <v>109.62393704599999</v>
      </c>
      <c r="V44">
        <v>118.630931782</v>
      </c>
      <c r="W44">
        <v>105.107070003</v>
      </c>
      <c r="X44">
        <v>78.496274209399999</v>
      </c>
      <c r="Y44">
        <v>98.183308072499997</v>
      </c>
      <c r="Z44">
        <v>99.611788555900006</v>
      </c>
      <c r="AA44">
        <v>101.97916667</v>
      </c>
      <c r="AB44">
        <v>129.55007326</v>
      </c>
      <c r="AC44">
        <v>113.216004287</v>
      </c>
      <c r="AD44">
        <v>87.020196593099996</v>
      </c>
      <c r="AE44">
        <v>97.360679416500005</v>
      </c>
      <c r="AF44">
        <v>102.66377752</v>
      </c>
      <c r="AG44">
        <v>83.101920425100005</v>
      </c>
      <c r="AH44">
        <v>113.9916655</v>
      </c>
      <c r="AI44">
        <v>127.72677897200001</v>
      </c>
      <c r="AJ44">
        <v>101.813957905</v>
      </c>
      <c r="AK44">
        <v>104.279455224</v>
      </c>
      <c r="AL44">
        <v>86.544226884799997</v>
      </c>
      <c r="AM44">
        <v>110.446709399</v>
      </c>
      <c r="AN44">
        <v>108.507344635</v>
      </c>
      <c r="AO44">
        <v>97.678129245099996</v>
      </c>
      <c r="AP44">
        <v>85.946721414699994</v>
      </c>
      <c r="AQ44">
        <v>99.586118863199999</v>
      </c>
      <c r="AR44">
        <v>112.70717782200001</v>
      </c>
      <c r="AS44">
        <v>86.048973681700005</v>
      </c>
      <c r="AT44">
        <v>86.391091277200005</v>
      </c>
      <c r="AU44">
        <v>93.402300735200001</v>
      </c>
      <c r="AV44">
        <v>88.360029661699997</v>
      </c>
      <c r="AW44">
        <v>102.29663611700001</v>
      </c>
      <c r="AX44">
        <v>107.619121056</v>
      </c>
      <c r="AY44">
        <v>124.484989197</v>
      </c>
      <c r="AZ44">
        <v>113.097072989</v>
      </c>
      <c r="BA44">
        <v>108.428269288</v>
      </c>
      <c r="BB44">
        <v>99.607152546600005</v>
      </c>
      <c r="BC44">
        <v>96.808756195900003</v>
      </c>
      <c r="BD44">
        <v>110.576624646</v>
      </c>
      <c r="BE44">
        <v>111.76198792700001</v>
      </c>
      <c r="BF44">
        <v>104.348498804</v>
      </c>
      <c r="BG44">
        <v>101.393155236</v>
      </c>
      <c r="BH44">
        <v>119.06971277700001</v>
      </c>
      <c r="BI44">
        <v>123.889016967</v>
      </c>
      <c r="BJ44">
        <v>119.849936126</v>
      </c>
      <c r="BK44">
        <v>91.536012369999995</v>
      </c>
      <c r="BL44">
        <v>93.405399465499997</v>
      </c>
      <c r="BM44">
        <v>91.723944787099995</v>
      </c>
      <c r="BN44">
        <v>100.704371502</v>
      </c>
      <c r="BO44">
        <v>116.847967557</v>
      </c>
      <c r="BP44">
        <v>111.046869505</v>
      </c>
      <c r="BQ44">
        <v>131.28209557599999</v>
      </c>
      <c r="BR44">
        <v>99.1917057446</v>
      </c>
      <c r="BS44">
        <v>97.213330794599997</v>
      </c>
      <c r="BT44">
        <v>94.211675665300007</v>
      </c>
      <c r="BU44">
        <v>108.81471240499999</v>
      </c>
      <c r="BV44">
        <v>110.476041635</v>
      </c>
      <c r="BW44">
        <v>98.954831182899994</v>
      </c>
      <c r="BX44">
        <v>104.348110241</v>
      </c>
      <c r="BY44">
        <v>114.68792428</v>
      </c>
      <c r="BZ44">
        <v>105.453407993</v>
      </c>
      <c r="CA44">
        <v>83.520398495500004</v>
      </c>
      <c r="CB44">
        <v>93.494224095500002</v>
      </c>
      <c r="CC44">
        <v>100.732270117</v>
      </c>
      <c r="CD44">
        <v>107.84522533400001</v>
      </c>
      <c r="CE44">
        <v>125.355805624</v>
      </c>
      <c r="CF44">
        <v>109.340389363</v>
      </c>
      <c r="CG44">
        <v>105.593699409</v>
      </c>
      <c r="CH44">
        <v>76.684961186999999</v>
      </c>
      <c r="CI44">
        <v>113.03606315899999</v>
      </c>
      <c r="CJ44">
        <v>96.922155385099998</v>
      </c>
      <c r="CK44">
        <v>97.6201277758</v>
      </c>
      <c r="CL44">
        <v>98.396947520200001</v>
      </c>
      <c r="CM44">
        <v>95.416583379800002</v>
      </c>
      <c r="CN44">
        <v>94.823984041399996</v>
      </c>
      <c r="CO44">
        <v>117.90360502199999</v>
      </c>
      <c r="CP44">
        <v>93.157310947900001</v>
      </c>
      <c r="CQ44">
        <v>86.644775161400005</v>
      </c>
      <c r="CR44">
        <v>95.375961553099998</v>
      </c>
      <c r="CS44">
        <v>96.547774984699998</v>
      </c>
      <c r="CT44">
        <v>84.9965920896</v>
      </c>
      <c r="CU44">
        <v>129.142892606</v>
      </c>
      <c r="CV44">
        <v>103.756851166</v>
      </c>
      <c r="CW44">
        <v>118.495292961</v>
      </c>
      <c r="CX44">
        <v>97.719083514100006</v>
      </c>
      <c r="CY44">
        <v>119.84544576099999</v>
      </c>
      <c r="CZ44">
        <v>116.79344945</v>
      </c>
      <c r="DA44">
        <v>100.362724419</v>
      </c>
    </row>
    <row r="45" spans="5:105" x14ac:dyDescent="0.25">
      <c r="E45">
        <f>S_plus!L45</f>
        <v>0.43000000000000022</v>
      </c>
      <c r="F45">
        <v>109.131609819</v>
      </c>
      <c r="G45">
        <v>118.615296125</v>
      </c>
      <c r="H45">
        <v>99.346146387399997</v>
      </c>
      <c r="I45">
        <v>101.934451909</v>
      </c>
      <c r="J45">
        <v>136.05335352700001</v>
      </c>
      <c r="K45">
        <v>111.11002391300001</v>
      </c>
      <c r="L45">
        <v>89.903841415499997</v>
      </c>
      <c r="M45">
        <v>141.89712570399999</v>
      </c>
      <c r="N45">
        <v>84.811771141299999</v>
      </c>
      <c r="O45">
        <v>99.779163643299995</v>
      </c>
      <c r="P45">
        <v>95.639256035800003</v>
      </c>
      <c r="Q45">
        <v>91.241514211699993</v>
      </c>
      <c r="R45">
        <v>118.057156803</v>
      </c>
      <c r="S45">
        <v>88.552187872000005</v>
      </c>
      <c r="T45">
        <v>97.394675096599997</v>
      </c>
      <c r="U45">
        <v>105.87594634600001</v>
      </c>
      <c r="V45">
        <v>116.07023306400001</v>
      </c>
      <c r="W45">
        <v>103.054674315</v>
      </c>
      <c r="X45">
        <v>76.641742836500001</v>
      </c>
      <c r="Y45">
        <v>98.952434869699999</v>
      </c>
      <c r="Z45">
        <v>103.10093713800001</v>
      </c>
      <c r="AA45">
        <v>99.549894733599999</v>
      </c>
      <c r="AB45">
        <v>129.08987949600001</v>
      </c>
      <c r="AC45">
        <v>118.06422188000001</v>
      </c>
      <c r="AD45">
        <v>89.312932267299999</v>
      </c>
      <c r="AE45">
        <v>98.570218518800004</v>
      </c>
      <c r="AF45">
        <v>104.03777903700001</v>
      </c>
      <c r="AG45">
        <v>84.711700722499998</v>
      </c>
      <c r="AH45">
        <v>114.234850716</v>
      </c>
      <c r="AI45">
        <v>130.06311269400001</v>
      </c>
      <c r="AJ45">
        <v>97.687875786600003</v>
      </c>
      <c r="AK45">
        <v>104.00010775699999</v>
      </c>
      <c r="AL45">
        <v>87.846535371100003</v>
      </c>
      <c r="AM45">
        <v>109.62554643</v>
      </c>
      <c r="AN45">
        <v>110.951854575</v>
      </c>
      <c r="AO45">
        <v>96.614092870500002</v>
      </c>
      <c r="AP45">
        <v>83.675827854299996</v>
      </c>
      <c r="AQ45">
        <v>98.214332439700001</v>
      </c>
      <c r="AR45">
        <v>111.94014349699999</v>
      </c>
      <c r="AS45">
        <v>83.827187908100001</v>
      </c>
      <c r="AT45">
        <v>85.532462491399997</v>
      </c>
      <c r="AU45">
        <v>95.641209460300004</v>
      </c>
      <c r="AV45">
        <v>89.022983934899997</v>
      </c>
      <c r="AW45">
        <v>100.556052882</v>
      </c>
      <c r="AX45">
        <v>107.509695061</v>
      </c>
      <c r="AY45">
        <v>122.122593712</v>
      </c>
      <c r="AZ45">
        <v>110.661741711</v>
      </c>
      <c r="BA45">
        <v>101.547853565</v>
      </c>
      <c r="BB45">
        <v>99.908616788000003</v>
      </c>
      <c r="BC45">
        <v>100.00035975599999</v>
      </c>
      <c r="BD45">
        <v>110.278865868</v>
      </c>
      <c r="BE45">
        <v>109.533301051</v>
      </c>
      <c r="BF45">
        <v>104.60559546899999</v>
      </c>
      <c r="BG45">
        <v>102.20844712100001</v>
      </c>
      <c r="BH45">
        <v>122.08048475</v>
      </c>
      <c r="BI45">
        <v>122.45350575800001</v>
      </c>
      <c r="BJ45">
        <v>119.817703475</v>
      </c>
      <c r="BK45">
        <v>92.5802669885</v>
      </c>
      <c r="BL45">
        <v>92.947413201900005</v>
      </c>
      <c r="BM45">
        <v>89.984555420600003</v>
      </c>
      <c r="BN45">
        <v>99.237264159199995</v>
      </c>
      <c r="BO45">
        <v>116.040793288</v>
      </c>
      <c r="BP45">
        <v>108.906176276</v>
      </c>
      <c r="BQ45">
        <v>129.148682595</v>
      </c>
      <c r="BR45">
        <v>99.524872033500003</v>
      </c>
      <c r="BS45">
        <v>96.562346379100006</v>
      </c>
      <c r="BT45">
        <v>93.631545462399998</v>
      </c>
      <c r="BU45">
        <v>104.689989989</v>
      </c>
      <c r="BV45">
        <v>113.512863366</v>
      </c>
      <c r="BW45">
        <v>99.4775183422</v>
      </c>
      <c r="BX45">
        <v>106.35887135900001</v>
      </c>
      <c r="BY45">
        <v>112.036260111</v>
      </c>
      <c r="BZ45">
        <v>107.39002479299999</v>
      </c>
      <c r="CA45">
        <v>83.729124453400004</v>
      </c>
      <c r="CB45">
        <v>94.817450840099994</v>
      </c>
      <c r="CC45">
        <v>101.482638224</v>
      </c>
      <c r="CD45">
        <v>107.647597862</v>
      </c>
      <c r="CE45">
        <v>123.8441521</v>
      </c>
      <c r="CF45">
        <v>113.57451550099999</v>
      </c>
      <c r="CG45">
        <v>107.40095952</v>
      </c>
      <c r="CH45">
        <v>77.421522191099996</v>
      </c>
      <c r="CI45">
        <v>111.568048977</v>
      </c>
      <c r="CJ45">
        <v>94.021804396199997</v>
      </c>
      <c r="CK45">
        <v>97.919342613200001</v>
      </c>
      <c r="CL45">
        <v>101.62453439399999</v>
      </c>
      <c r="CM45">
        <v>93.570201464299998</v>
      </c>
      <c r="CN45">
        <v>95.935389619199995</v>
      </c>
      <c r="CO45">
        <v>118.43904315</v>
      </c>
      <c r="CP45">
        <v>89.770880339300007</v>
      </c>
      <c r="CQ45">
        <v>85.219873966099996</v>
      </c>
      <c r="CR45">
        <v>95.767455385600002</v>
      </c>
      <c r="CS45">
        <v>96.152123963199998</v>
      </c>
      <c r="CT45">
        <v>85.146710476099997</v>
      </c>
      <c r="CU45">
        <v>129.02056730999999</v>
      </c>
      <c r="CV45">
        <v>102.058516376</v>
      </c>
      <c r="CW45">
        <v>119.19413344199999</v>
      </c>
      <c r="CX45">
        <v>99.319676394699997</v>
      </c>
      <c r="CY45">
        <v>122.818491506</v>
      </c>
      <c r="CZ45">
        <v>116.63615952799999</v>
      </c>
      <c r="DA45">
        <v>102.70097887199999</v>
      </c>
    </row>
    <row r="46" spans="5:105" x14ac:dyDescent="0.25">
      <c r="E46">
        <f>S_plus!L46</f>
        <v>0.44000000000000022</v>
      </c>
      <c r="F46">
        <v>109.393980544</v>
      </c>
      <c r="G46">
        <v>119.474614237</v>
      </c>
      <c r="H46">
        <v>98.9815733752</v>
      </c>
      <c r="I46">
        <v>106.74065815</v>
      </c>
      <c r="J46">
        <v>134.154698185</v>
      </c>
      <c r="K46">
        <v>111.181563473</v>
      </c>
      <c r="L46">
        <v>86.782947526800001</v>
      </c>
      <c r="M46">
        <v>140.44498643399999</v>
      </c>
      <c r="N46">
        <v>85.968061258800006</v>
      </c>
      <c r="O46">
        <v>98.684066566799999</v>
      </c>
      <c r="P46">
        <v>97.838444210299997</v>
      </c>
      <c r="Q46">
        <v>89.036667201599997</v>
      </c>
      <c r="R46">
        <v>118.76849100699999</v>
      </c>
      <c r="S46">
        <v>89.584121322900003</v>
      </c>
      <c r="T46">
        <v>99.749163646599996</v>
      </c>
      <c r="U46">
        <v>106.691173351</v>
      </c>
      <c r="V46">
        <v>118.65408718499999</v>
      </c>
      <c r="W46">
        <v>101.201987609</v>
      </c>
      <c r="X46">
        <v>74.1217616677</v>
      </c>
      <c r="Y46">
        <v>97.019232983999999</v>
      </c>
      <c r="Z46">
        <v>104.925556254</v>
      </c>
      <c r="AA46">
        <v>96.755655959899997</v>
      </c>
      <c r="AB46">
        <v>130.80726263400001</v>
      </c>
      <c r="AC46">
        <v>118.50468630899999</v>
      </c>
      <c r="AD46">
        <v>87.942335899499994</v>
      </c>
      <c r="AE46">
        <v>97.628526906000005</v>
      </c>
      <c r="AF46">
        <v>106.157602027</v>
      </c>
      <c r="AG46">
        <v>84.8605050603</v>
      </c>
      <c r="AH46">
        <v>113.538238667</v>
      </c>
      <c r="AI46">
        <v>130.388998902</v>
      </c>
      <c r="AJ46">
        <v>98.006509559999998</v>
      </c>
      <c r="AK46">
        <v>102.204635767</v>
      </c>
      <c r="AL46">
        <v>89.309530890399998</v>
      </c>
      <c r="AM46">
        <v>112.310871936</v>
      </c>
      <c r="AN46">
        <v>106.940589331</v>
      </c>
      <c r="AO46">
        <v>96.078036274300004</v>
      </c>
      <c r="AP46">
        <v>83.669238143900003</v>
      </c>
      <c r="AQ46">
        <v>100.866529966</v>
      </c>
      <c r="AR46">
        <v>114.32336065</v>
      </c>
      <c r="AS46">
        <v>85.558303740499994</v>
      </c>
      <c r="AT46">
        <v>82.863647263700003</v>
      </c>
      <c r="AU46">
        <v>93.907605025699993</v>
      </c>
      <c r="AV46">
        <v>88.547699974400004</v>
      </c>
      <c r="AW46">
        <v>101.16570988799999</v>
      </c>
      <c r="AX46">
        <v>104.953776484</v>
      </c>
      <c r="AY46">
        <v>125.222693259</v>
      </c>
      <c r="AZ46">
        <v>110.409900827</v>
      </c>
      <c r="BA46">
        <v>101.62425078</v>
      </c>
      <c r="BB46">
        <v>100.665297284</v>
      </c>
      <c r="BC46">
        <v>100.53336762399999</v>
      </c>
      <c r="BD46">
        <v>107.84699035</v>
      </c>
      <c r="BE46">
        <v>112.366554708</v>
      </c>
      <c r="BF46">
        <v>106.73246106800001</v>
      </c>
      <c r="BG46">
        <v>99.201349394199994</v>
      </c>
      <c r="BH46">
        <v>121.159291591</v>
      </c>
      <c r="BI46">
        <v>126.42074705900001</v>
      </c>
      <c r="BJ46">
        <v>119.368333288</v>
      </c>
      <c r="BK46">
        <v>92.0739683165</v>
      </c>
      <c r="BL46">
        <v>94.136962733100006</v>
      </c>
      <c r="BM46">
        <v>89.655875651299993</v>
      </c>
      <c r="BN46">
        <v>99.313054429399998</v>
      </c>
      <c r="BO46">
        <v>115.267177741</v>
      </c>
      <c r="BP46">
        <v>109.114470564</v>
      </c>
      <c r="BQ46">
        <v>126.701769653</v>
      </c>
      <c r="BR46">
        <v>100.735794242</v>
      </c>
      <c r="BS46">
        <v>95.405638732699998</v>
      </c>
      <c r="BT46">
        <v>91.751088255100001</v>
      </c>
      <c r="BU46">
        <v>106.755017263</v>
      </c>
      <c r="BV46">
        <v>117.001482594</v>
      </c>
      <c r="BW46">
        <v>102.971008794</v>
      </c>
      <c r="BX46">
        <v>109.04165268600001</v>
      </c>
      <c r="BY46">
        <v>110.96958883400001</v>
      </c>
      <c r="BZ46">
        <v>106.746854469</v>
      </c>
      <c r="CA46">
        <v>85.972496999000001</v>
      </c>
      <c r="CB46">
        <v>93.450506829800005</v>
      </c>
      <c r="CC46">
        <v>101.838231401</v>
      </c>
      <c r="CD46">
        <v>108.766822561</v>
      </c>
      <c r="CE46">
        <v>124.95975496699999</v>
      </c>
      <c r="CF46">
        <v>110.97360678699999</v>
      </c>
      <c r="CG46">
        <v>105.378657613</v>
      </c>
      <c r="CH46">
        <v>75.691084569200001</v>
      </c>
      <c r="CI46">
        <v>117.340683347</v>
      </c>
      <c r="CJ46">
        <v>96.675865661000003</v>
      </c>
      <c r="CK46">
        <v>102.84477113299999</v>
      </c>
      <c r="CL46">
        <v>100.733426524</v>
      </c>
      <c r="CM46">
        <v>92.328349986899994</v>
      </c>
      <c r="CN46">
        <v>96.7673069529</v>
      </c>
      <c r="CO46">
        <v>115.944139749</v>
      </c>
      <c r="CP46">
        <v>87.924451984200005</v>
      </c>
      <c r="CQ46">
        <v>82.950799325700004</v>
      </c>
      <c r="CR46">
        <v>96.883010854399998</v>
      </c>
      <c r="CS46">
        <v>94.710224119499998</v>
      </c>
      <c r="CT46">
        <v>85.379285443399993</v>
      </c>
      <c r="CU46">
        <v>130.155669217</v>
      </c>
      <c r="CV46">
        <v>102.48930549000001</v>
      </c>
      <c r="CW46">
        <v>118.78218071000001</v>
      </c>
      <c r="CX46">
        <v>95.993846996399995</v>
      </c>
      <c r="CY46">
        <v>125.32578373299999</v>
      </c>
      <c r="CZ46">
        <v>115.354565923</v>
      </c>
      <c r="DA46">
        <v>101.95086630900001</v>
      </c>
    </row>
    <row r="47" spans="5:105" x14ac:dyDescent="0.25">
      <c r="E47">
        <f>S_plus!L47</f>
        <v>0.45000000000000023</v>
      </c>
      <c r="F47">
        <v>111.373859442</v>
      </c>
      <c r="G47">
        <v>121.65610852499999</v>
      </c>
      <c r="H47">
        <v>100.99245015</v>
      </c>
      <c r="I47">
        <v>108.544524839</v>
      </c>
      <c r="J47">
        <v>129.46328039599999</v>
      </c>
      <c r="K47">
        <v>112.30954622500001</v>
      </c>
      <c r="L47">
        <v>84.524113317399994</v>
      </c>
      <c r="M47">
        <v>140.00729721299999</v>
      </c>
      <c r="N47">
        <v>87.717205203700004</v>
      </c>
      <c r="O47">
        <v>97.445594598</v>
      </c>
      <c r="P47">
        <v>95.1968394676</v>
      </c>
      <c r="Q47">
        <v>85.323278802499999</v>
      </c>
      <c r="R47">
        <v>116.81606235</v>
      </c>
      <c r="S47">
        <v>89.870506438899994</v>
      </c>
      <c r="T47">
        <v>98.636892093900002</v>
      </c>
      <c r="U47">
        <v>104.958153938</v>
      </c>
      <c r="V47">
        <v>119.17428276699999</v>
      </c>
      <c r="W47">
        <v>103.483236353</v>
      </c>
      <c r="X47">
        <v>76.558197058299996</v>
      </c>
      <c r="Y47">
        <v>94.324361190000005</v>
      </c>
      <c r="Z47">
        <v>104.881423939</v>
      </c>
      <c r="AA47">
        <v>96.770433041800004</v>
      </c>
      <c r="AB47">
        <v>128.50409717100001</v>
      </c>
      <c r="AC47">
        <v>118.619757072</v>
      </c>
      <c r="AD47">
        <v>88.575926624000004</v>
      </c>
      <c r="AE47">
        <v>95.3077549355</v>
      </c>
      <c r="AF47">
        <v>103.457863252</v>
      </c>
      <c r="AG47">
        <v>87.836114150200004</v>
      </c>
      <c r="AH47">
        <v>112.924031008</v>
      </c>
      <c r="AI47">
        <v>126.787865173</v>
      </c>
      <c r="AJ47">
        <v>97.765421915600001</v>
      </c>
      <c r="AK47">
        <v>101.609681416</v>
      </c>
      <c r="AL47">
        <v>87.277609747400007</v>
      </c>
      <c r="AM47">
        <v>112.529262375</v>
      </c>
      <c r="AN47">
        <v>106.949548464</v>
      </c>
      <c r="AO47">
        <v>92.587007778</v>
      </c>
      <c r="AP47">
        <v>83.887327915</v>
      </c>
      <c r="AQ47">
        <v>98.390653212299995</v>
      </c>
      <c r="AR47">
        <v>117.78260919900001</v>
      </c>
      <c r="AS47">
        <v>84.706395990100006</v>
      </c>
      <c r="AT47">
        <v>85.487832168300002</v>
      </c>
      <c r="AU47">
        <v>94.797126011000003</v>
      </c>
      <c r="AV47">
        <v>88.272464904499998</v>
      </c>
      <c r="AW47">
        <v>97.837800021199996</v>
      </c>
      <c r="AX47">
        <v>103.19594681</v>
      </c>
      <c r="AY47">
        <v>125.627374617</v>
      </c>
      <c r="AZ47">
        <v>113.13453755899999</v>
      </c>
      <c r="BA47">
        <v>102.157372489</v>
      </c>
      <c r="BB47">
        <v>98.539255463999993</v>
      </c>
      <c r="BC47">
        <v>103.971251901</v>
      </c>
      <c r="BD47">
        <v>111.868472041</v>
      </c>
      <c r="BE47">
        <v>113.474096661</v>
      </c>
      <c r="BF47">
        <v>108.763366684</v>
      </c>
      <c r="BG47">
        <v>101.006817957</v>
      </c>
      <c r="BH47">
        <v>124.47353078499999</v>
      </c>
      <c r="BI47">
        <v>124.798835311</v>
      </c>
      <c r="BJ47">
        <v>120.972811408</v>
      </c>
      <c r="BK47">
        <v>90.831274623499993</v>
      </c>
      <c r="BL47">
        <v>94.637757129600004</v>
      </c>
      <c r="BM47">
        <v>89.062941687199995</v>
      </c>
      <c r="BN47">
        <v>98.713435816100002</v>
      </c>
      <c r="BO47">
        <v>117.993948949</v>
      </c>
      <c r="BP47">
        <v>110.695976063</v>
      </c>
      <c r="BQ47">
        <v>127.903163745</v>
      </c>
      <c r="BR47">
        <v>103.967748812</v>
      </c>
      <c r="BS47">
        <v>98.451180122799997</v>
      </c>
      <c r="BT47">
        <v>93.2330760328</v>
      </c>
      <c r="BU47">
        <v>106.944139253</v>
      </c>
      <c r="BV47">
        <v>116.830347809</v>
      </c>
      <c r="BW47">
        <v>104.588600296</v>
      </c>
      <c r="BX47">
        <v>109.874640652</v>
      </c>
      <c r="BY47">
        <v>110.606202823</v>
      </c>
      <c r="BZ47">
        <v>107.14827515</v>
      </c>
      <c r="CA47">
        <v>86.784206384399994</v>
      </c>
      <c r="CB47">
        <v>95.195767138999997</v>
      </c>
      <c r="CC47">
        <v>103.316406452</v>
      </c>
      <c r="CD47">
        <v>110.59038646</v>
      </c>
      <c r="CE47">
        <v>120.500825479</v>
      </c>
      <c r="CF47">
        <v>109.769913586</v>
      </c>
      <c r="CG47">
        <v>107.916400522</v>
      </c>
      <c r="CH47">
        <v>74.487880305800005</v>
      </c>
      <c r="CI47">
        <v>118.376479926</v>
      </c>
      <c r="CJ47">
        <v>93.891857898599994</v>
      </c>
      <c r="CK47">
        <v>100.468063695</v>
      </c>
      <c r="CL47">
        <v>101.931481777</v>
      </c>
      <c r="CM47">
        <v>91.215476230099995</v>
      </c>
      <c r="CN47">
        <v>94.500936448800005</v>
      </c>
      <c r="CO47">
        <v>116.662711489</v>
      </c>
      <c r="CP47">
        <v>91.696653205499999</v>
      </c>
      <c r="CQ47">
        <v>82.452985550799994</v>
      </c>
      <c r="CR47">
        <v>95.390931150100002</v>
      </c>
      <c r="CS47">
        <v>96.977209239100006</v>
      </c>
      <c r="CT47">
        <v>84.565028923900002</v>
      </c>
      <c r="CU47">
        <v>129.929761308</v>
      </c>
      <c r="CV47">
        <v>100.22256108800001</v>
      </c>
      <c r="CW47">
        <v>117.64174784799999</v>
      </c>
      <c r="CX47">
        <v>95.891603057099999</v>
      </c>
      <c r="CY47">
        <v>126.882936591</v>
      </c>
      <c r="CZ47">
        <v>112.56741037</v>
      </c>
      <c r="DA47">
        <v>101.929479903</v>
      </c>
    </row>
    <row r="48" spans="5:105" x14ac:dyDescent="0.25">
      <c r="E48">
        <f>S_plus!L48</f>
        <v>0.46000000000000024</v>
      </c>
      <c r="F48">
        <v>108.811926609</v>
      </c>
      <c r="G48">
        <v>119.59337504299999</v>
      </c>
      <c r="H48">
        <v>99.617980321600001</v>
      </c>
      <c r="I48">
        <v>106.55433819300001</v>
      </c>
      <c r="J48">
        <v>130.355154204</v>
      </c>
      <c r="K48">
        <v>112.56180661400001</v>
      </c>
      <c r="L48">
        <v>85.8753979281</v>
      </c>
      <c r="M48">
        <v>143.879138837</v>
      </c>
      <c r="N48">
        <v>86.0231072399</v>
      </c>
      <c r="O48">
        <v>100.221025359</v>
      </c>
      <c r="P48">
        <v>98.039510541400006</v>
      </c>
      <c r="Q48">
        <v>83.269311367</v>
      </c>
      <c r="R48">
        <v>119.075907356</v>
      </c>
      <c r="S48">
        <v>91.450549773899994</v>
      </c>
      <c r="T48">
        <v>99.9117778496</v>
      </c>
      <c r="U48">
        <v>100.48144172000001</v>
      </c>
      <c r="V48">
        <v>115.94633524699999</v>
      </c>
      <c r="W48">
        <v>102.534339182</v>
      </c>
      <c r="X48">
        <v>77.1608822237</v>
      </c>
      <c r="Y48">
        <v>93.126515603599998</v>
      </c>
      <c r="Z48">
        <v>103.91961435</v>
      </c>
      <c r="AA48">
        <v>98.460374239900005</v>
      </c>
      <c r="AB48">
        <v>125.817797453</v>
      </c>
      <c r="AC48">
        <v>119.623452677</v>
      </c>
      <c r="AD48">
        <v>89.217656433100004</v>
      </c>
      <c r="AE48">
        <v>95.483266996500006</v>
      </c>
      <c r="AF48">
        <v>106.357754097</v>
      </c>
      <c r="AG48">
        <v>87.222852423199996</v>
      </c>
      <c r="AH48">
        <v>111.861569957</v>
      </c>
      <c r="AI48">
        <v>130.24467557899999</v>
      </c>
      <c r="AJ48">
        <v>94.110740203099994</v>
      </c>
      <c r="AK48">
        <v>105.419796488</v>
      </c>
      <c r="AL48">
        <v>87.873531011500006</v>
      </c>
      <c r="AM48">
        <v>112.280530993</v>
      </c>
      <c r="AN48">
        <v>104.987993301</v>
      </c>
      <c r="AO48">
        <v>95.448526195599996</v>
      </c>
      <c r="AP48">
        <v>81.280063899200002</v>
      </c>
      <c r="AQ48">
        <v>100.459359294</v>
      </c>
      <c r="AR48">
        <v>116.203275486</v>
      </c>
      <c r="AS48">
        <v>84.115430381699994</v>
      </c>
      <c r="AT48">
        <v>82.685985431199995</v>
      </c>
      <c r="AU48">
        <v>95.711209641899998</v>
      </c>
      <c r="AV48">
        <v>88.515254255800002</v>
      </c>
      <c r="AW48">
        <v>96.371460060000004</v>
      </c>
      <c r="AX48">
        <v>98.940857742199995</v>
      </c>
      <c r="AY48">
        <v>122.227816296</v>
      </c>
      <c r="AZ48">
        <v>112.477935393</v>
      </c>
      <c r="BA48">
        <v>100.984538742</v>
      </c>
      <c r="BB48">
        <v>98.519917711100007</v>
      </c>
      <c r="BC48">
        <v>100.76434652</v>
      </c>
      <c r="BD48">
        <v>108.430595833</v>
      </c>
      <c r="BE48">
        <v>110.630644769</v>
      </c>
      <c r="BF48">
        <v>110.892666644</v>
      </c>
      <c r="BG48">
        <v>101.83390663</v>
      </c>
      <c r="BH48">
        <v>122.21188984299999</v>
      </c>
      <c r="BI48">
        <v>121.55086657299999</v>
      </c>
      <c r="BJ48">
        <v>122.698390211</v>
      </c>
      <c r="BK48">
        <v>91.819525443100005</v>
      </c>
      <c r="BL48">
        <v>96.972789472900004</v>
      </c>
      <c r="BM48">
        <v>91.198312036000004</v>
      </c>
      <c r="BN48">
        <v>100.25960424900001</v>
      </c>
      <c r="BO48">
        <v>119.3918516</v>
      </c>
      <c r="BP48">
        <v>111.40141143</v>
      </c>
      <c r="BQ48">
        <v>125.82417019899999</v>
      </c>
      <c r="BR48">
        <v>103.033665497</v>
      </c>
      <c r="BS48">
        <v>97.621881146299998</v>
      </c>
      <c r="BT48">
        <v>96.869785241900004</v>
      </c>
      <c r="BU48">
        <v>107.96537608600001</v>
      </c>
      <c r="BV48">
        <v>114.778917233</v>
      </c>
      <c r="BW48">
        <v>108.127801854</v>
      </c>
      <c r="BX48">
        <v>108.716099704</v>
      </c>
      <c r="BY48">
        <v>112.18918593799999</v>
      </c>
      <c r="BZ48">
        <v>107.42368855799999</v>
      </c>
      <c r="CA48">
        <v>88.655925845100001</v>
      </c>
      <c r="CB48">
        <v>96.241694585700003</v>
      </c>
      <c r="CC48">
        <v>103.927370103</v>
      </c>
      <c r="CD48">
        <v>109.554080759</v>
      </c>
      <c r="CE48">
        <v>119.378758565</v>
      </c>
      <c r="CF48">
        <v>111.809747879</v>
      </c>
      <c r="CG48">
        <v>105.173290525</v>
      </c>
      <c r="CH48">
        <v>72.879710923100006</v>
      </c>
      <c r="CI48">
        <v>120.038106266</v>
      </c>
      <c r="CJ48">
        <v>97.0559051993</v>
      </c>
      <c r="CK48">
        <v>101.252636381</v>
      </c>
      <c r="CL48">
        <v>101.205025702</v>
      </c>
      <c r="CM48">
        <v>90.046274691400001</v>
      </c>
      <c r="CN48">
        <v>98.518192188100002</v>
      </c>
      <c r="CO48">
        <v>112.70208916</v>
      </c>
      <c r="CP48">
        <v>93.296913506400003</v>
      </c>
      <c r="CQ48">
        <v>82.565590291299998</v>
      </c>
      <c r="CR48">
        <v>96.861594159600003</v>
      </c>
      <c r="CS48">
        <v>95.226852721900002</v>
      </c>
      <c r="CT48">
        <v>85.931904035599999</v>
      </c>
      <c r="CU48">
        <v>126.660442774</v>
      </c>
      <c r="CV48">
        <v>102.19022553400001</v>
      </c>
      <c r="CW48">
        <v>118.175919217</v>
      </c>
      <c r="CX48">
        <v>98.916269401899996</v>
      </c>
      <c r="CY48">
        <v>127.788015913</v>
      </c>
      <c r="CZ48">
        <v>112.923103423</v>
      </c>
      <c r="DA48">
        <v>101.005580614</v>
      </c>
    </row>
    <row r="49" spans="5:105" x14ac:dyDescent="0.25">
      <c r="E49">
        <f>S_plus!L49</f>
        <v>0.47000000000000025</v>
      </c>
      <c r="F49">
        <v>109.659640934</v>
      </c>
      <c r="G49">
        <v>117.194297392</v>
      </c>
      <c r="H49">
        <v>102.15249034</v>
      </c>
      <c r="I49">
        <v>106.92950406200001</v>
      </c>
      <c r="J49">
        <v>130.37547553499999</v>
      </c>
      <c r="K49">
        <v>113.781553508</v>
      </c>
      <c r="L49">
        <v>86.7913869777</v>
      </c>
      <c r="M49">
        <v>141.51406887600001</v>
      </c>
      <c r="N49">
        <v>87.642784000999995</v>
      </c>
      <c r="O49">
        <v>97.2236293295</v>
      </c>
      <c r="P49">
        <v>96.990823997199996</v>
      </c>
      <c r="Q49">
        <v>83.882521097799994</v>
      </c>
      <c r="R49">
        <v>116.67798632100001</v>
      </c>
      <c r="S49">
        <v>91.1397397291</v>
      </c>
      <c r="T49">
        <v>101.116201788</v>
      </c>
      <c r="U49">
        <v>97.639553508199995</v>
      </c>
      <c r="V49">
        <v>117.786599016</v>
      </c>
      <c r="W49">
        <v>103.46620615</v>
      </c>
      <c r="X49">
        <v>76.947543522999993</v>
      </c>
      <c r="Y49">
        <v>91.954699009400002</v>
      </c>
      <c r="Z49">
        <v>105.341110188</v>
      </c>
      <c r="AA49">
        <v>95.835809405399999</v>
      </c>
      <c r="AB49">
        <v>123.887882694</v>
      </c>
      <c r="AC49">
        <v>121.454308446</v>
      </c>
      <c r="AD49">
        <v>92.752006922899994</v>
      </c>
      <c r="AE49">
        <v>95.8333953124</v>
      </c>
      <c r="AF49">
        <v>105.99219216500001</v>
      </c>
      <c r="AG49">
        <v>87.769213158200003</v>
      </c>
      <c r="AH49">
        <v>110.337981359</v>
      </c>
      <c r="AI49">
        <v>128.839449524</v>
      </c>
      <c r="AJ49">
        <v>93.364698663499993</v>
      </c>
      <c r="AK49">
        <v>103.532354535</v>
      </c>
      <c r="AL49">
        <v>87.466444723500004</v>
      </c>
      <c r="AM49">
        <v>112.887963321</v>
      </c>
      <c r="AN49">
        <v>100.868093499</v>
      </c>
      <c r="AO49">
        <v>91.750520493099998</v>
      </c>
      <c r="AP49">
        <v>82.589039062300003</v>
      </c>
      <c r="AQ49">
        <v>100.813951093</v>
      </c>
      <c r="AR49">
        <v>112.16467683800001</v>
      </c>
      <c r="AS49">
        <v>84.052334572299998</v>
      </c>
      <c r="AT49">
        <v>84.079479833700006</v>
      </c>
      <c r="AU49">
        <v>96.409881493100002</v>
      </c>
      <c r="AV49">
        <v>88.588240918899999</v>
      </c>
      <c r="AW49">
        <v>97.689108615799995</v>
      </c>
      <c r="AX49">
        <v>96.729598082199999</v>
      </c>
      <c r="AY49">
        <v>121.46826574400001</v>
      </c>
      <c r="AZ49">
        <v>108.945377837</v>
      </c>
      <c r="BA49">
        <v>100.57494459500001</v>
      </c>
      <c r="BB49">
        <v>98.496381763299993</v>
      </c>
      <c r="BC49">
        <v>97.758388240599999</v>
      </c>
      <c r="BD49">
        <v>113.311826154</v>
      </c>
      <c r="BE49">
        <v>115.206412503</v>
      </c>
      <c r="BF49">
        <v>107.245503169</v>
      </c>
      <c r="BG49">
        <v>102.00203586400001</v>
      </c>
      <c r="BH49">
        <v>121.303407323</v>
      </c>
      <c r="BI49">
        <v>115.864518253</v>
      </c>
      <c r="BJ49">
        <v>122.416826372</v>
      </c>
      <c r="BK49">
        <v>93.8061677205</v>
      </c>
      <c r="BL49">
        <v>98.603548316900003</v>
      </c>
      <c r="BM49">
        <v>93.677551085900006</v>
      </c>
      <c r="BN49">
        <v>103.603199188</v>
      </c>
      <c r="BO49">
        <v>118.803241798</v>
      </c>
      <c r="BP49">
        <v>111.011772157</v>
      </c>
      <c r="BQ49">
        <v>129.410980948</v>
      </c>
      <c r="BR49">
        <v>105.135534808</v>
      </c>
      <c r="BS49">
        <v>94.965609945799997</v>
      </c>
      <c r="BT49">
        <v>99.408817238400005</v>
      </c>
      <c r="BU49">
        <v>105.97211971999999</v>
      </c>
      <c r="BV49">
        <v>117.95710856300001</v>
      </c>
      <c r="BW49">
        <v>107.96748932</v>
      </c>
      <c r="BX49">
        <v>111.551022088</v>
      </c>
      <c r="BY49">
        <v>113.26788565299999</v>
      </c>
      <c r="BZ49">
        <v>107.197382554</v>
      </c>
      <c r="CA49">
        <v>89.975997913200004</v>
      </c>
      <c r="CB49">
        <v>98.498028657500001</v>
      </c>
      <c r="CC49">
        <v>103.404185516</v>
      </c>
      <c r="CD49">
        <v>108.68191997</v>
      </c>
      <c r="CE49">
        <v>120.328434915</v>
      </c>
      <c r="CF49">
        <v>113.980077747</v>
      </c>
      <c r="CG49">
        <v>102.324725276</v>
      </c>
      <c r="CH49">
        <v>71.804587588900006</v>
      </c>
      <c r="CI49">
        <v>122.016479667</v>
      </c>
      <c r="CJ49">
        <v>95.878507898099997</v>
      </c>
      <c r="CK49">
        <v>98.894043579799998</v>
      </c>
      <c r="CL49">
        <v>101.730874738</v>
      </c>
      <c r="CM49">
        <v>86.780692224299997</v>
      </c>
      <c r="CN49">
        <v>100.629645169</v>
      </c>
      <c r="CO49">
        <v>109.76685044200001</v>
      </c>
      <c r="CP49">
        <v>95.4981662191</v>
      </c>
      <c r="CQ49">
        <v>85.0431096266</v>
      </c>
      <c r="CR49">
        <v>95.701711118600002</v>
      </c>
      <c r="CS49">
        <v>96.350161003799997</v>
      </c>
      <c r="CT49">
        <v>85.901578235700001</v>
      </c>
      <c r="CU49">
        <v>129.22219095899999</v>
      </c>
      <c r="CV49">
        <v>102.847550242</v>
      </c>
      <c r="CW49">
        <v>117.005221308</v>
      </c>
      <c r="CX49">
        <v>97.048543912699998</v>
      </c>
      <c r="CY49">
        <v>125.064356014</v>
      </c>
      <c r="CZ49">
        <v>115.81353673</v>
      </c>
      <c r="DA49">
        <v>101.983013042</v>
      </c>
    </row>
    <row r="50" spans="5:105" x14ac:dyDescent="0.25">
      <c r="E50">
        <f>S_plus!L50</f>
        <v>0.48000000000000026</v>
      </c>
      <c r="F50">
        <v>109.45480375699999</v>
      </c>
      <c r="G50">
        <v>116.773541296</v>
      </c>
      <c r="H50">
        <v>102.269693132</v>
      </c>
      <c r="I50">
        <v>111.092010155</v>
      </c>
      <c r="J50">
        <v>132.87026795099999</v>
      </c>
      <c r="K50">
        <v>116.094158413</v>
      </c>
      <c r="L50">
        <v>87.744476222299994</v>
      </c>
      <c r="M50">
        <v>143.23429819899999</v>
      </c>
      <c r="N50">
        <v>88.610387860100005</v>
      </c>
      <c r="O50">
        <v>94.861184793800007</v>
      </c>
      <c r="P50">
        <v>97.620049051400002</v>
      </c>
      <c r="Q50">
        <v>82.236429114100005</v>
      </c>
      <c r="R50">
        <v>114.64336403199999</v>
      </c>
      <c r="S50">
        <v>93.940209247699997</v>
      </c>
      <c r="T50">
        <v>102.082956904</v>
      </c>
      <c r="U50">
        <v>96.518798862200001</v>
      </c>
      <c r="V50">
        <v>119.53237265</v>
      </c>
      <c r="W50">
        <v>104.172091759</v>
      </c>
      <c r="X50">
        <v>80.007103904199994</v>
      </c>
      <c r="Y50">
        <v>90.338980776499994</v>
      </c>
      <c r="Z50">
        <v>104.78504217</v>
      </c>
      <c r="AA50">
        <v>97.629357111199994</v>
      </c>
      <c r="AB50">
        <v>116.598163646</v>
      </c>
      <c r="AC50">
        <v>118.79108731700001</v>
      </c>
      <c r="AD50">
        <v>90.948742722700004</v>
      </c>
      <c r="AE50">
        <v>94.840882982899998</v>
      </c>
      <c r="AF50">
        <v>106.565408386</v>
      </c>
      <c r="AG50">
        <v>87.620085806999995</v>
      </c>
      <c r="AH50">
        <v>111.320511884</v>
      </c>
      <c r="AI50">
        <v>124.817706801</v>
      </c>
      <c r="AJ50">
        <v>91.785686641699996</v>
      </c>
      <c r="AK50">
        <v>103.570422807</v>
      </c>
      <c r="AL50">
        <v>88.087847992500002</v>
      </c>
      <c r="AM50">
        <v>108.476578328</v>
      </c>
      <c r="AN50">
        <v>101.18901533099999</v>
      </c>
      <c r="AO50">
        <v>88.458110560999998</v>
      </c>
      <c r="AP50">
        <v>82.529604231299999</v>
      </c>
      <c r="AQ50">
        <v>100.358831698</v>
      </c>
      <c r="AR50">
        <v>110.20225433100001</v>
      </c>
      <c r="AS50">
        <v>82.468902662399998</v>
      </c>
      <c r="AT50">
        <v>84.585496760200002</v>
      </c>
      <c r="AU50">
        <v>97.711538864800005</v>
      </c>
      <c r="AV50">
        <v>84.603496886499997</v>
      </c>
      <c r="AW50">
        <v>98.222048502199996</v>
      </c>
      <c r="AX50">
        <v>93.505767182599996</v>
      </c>
      <c r="AY50">
        <v>123.117479641</v>
      </c>
      <c r="AZ50">
        <v>109.51190521300001</v>
      </c>
      <c r="BA50">
        <v>100.07626155200001</v>
      </c>
      <c r="BB50">
        <v>98.071140071599999</v>
      </c>
      <c r="BC50">
        <v>97.500061761200001</v>
      </c>
      <c r="BD50">
        <v>109.829313578</v>
      </c>
      <c r="BE50">
        <v>118.665149102</v>
      </c>
      <c r="BF50">
        <v>110.00611933099999</v>
      </c>
      <c r="BG50">
        <v>102.679293448</v>
      </c>
      <c r="BH50">
        <v>117.844590657</v>
      </c>
      <c r="BI50">
        <v>117.570586639</v>
      </c>
      <c r="BJ50">
        <v>118.878425042</v>
      </c>
      <c r="BK50">
        <v>94.751176406400006</v>
      </c>
      <c r="BL50">
        <v>100.668766527</v>
      </c>
      <c r="BM50">
        <v>95.352835246500007</v>
      </c>
      <c r="BN50">
        <v>102.012731301</v>
      </c>
      <c r="BO50">
        <v>113.427347674</v>
      </c>
      <c r="BP50">
        <v>106.98618104000001</v>
      </c>
      <c r="BQ50">
        <v>128.81584819700001</v>
      </c>
      <c r="BR50">
        <v>103.004368775</v>
      </c>
      <c r="BS50">
        <v>90.188961256699997</v>
      </c>
      <c r="BT50">
        <v>98.523509644300006</v>
      </c>
      <c r="BU50">
        <v>106.338700321</v>
      </c>
      <c r="BV50">
        <v>118.535764156</v>
      </c>
      <c r="BW50">
        <v>110.988463102</v>
      </c>
      <c r="BX50">
        <v>110.646833129</v>
      </c>
      <c r="BY50">
        <v>116.646477491</v>
      </c>
      <c r="BZ50">
        <v>105.458221665</v>
      </c>
      <c r="CA50">
        <v>93.024284402199996</v>
      </c>
      <c r="CB50">
        <v>96.981124987300007</v>
      </c>
      <c r="CC50">
        <v>102.572320127</v>
      </c>
      <c r="CD50">
        <v>108.96021622000001</v>
      </c>
      <c r="CE50">
        <v>122.75057954499999</v>
      </c>
      <c r="CF50">
        <v>117.43250277200001</v>
      </c>
      <c r="CG50">
        <v>103.53052210200001</v>
      </c>
      <c r="CH50">
        <v>71.210740721999997</v>
      </c>
      <c r="CI50">
        <v>122.35873698899999</v>
      </c>
      <c r="CJ50">
        <v>100.47652678199999</v>
      </c>
      <c r="CK50">
        <v>99.283909223500004</v>
      </c>
      <c r="CL50">
        <v>100.59157507899999</v>
      </c>
      <c r="CM50">
        <v>90.119418393000004</v>
      </c>
      <c r="CN50">
        <v>101.00064295200001</v>
      </c>
      <c r="CO50">
        <v>108.224594483</v>
      </c>
      <c r="CP50">
        <v>97.098576561300007</v>
      </c>
      <c r="CQ50">
        <v>81.844042984300003</v>
      </c>
      <c r="CR50">
        <v>94.515162801299994</v>
      </c>
      <c r="CS50">
        <v>93.958378173400007</v>
      </c>
      <c r="CT50">
        <v>85.977958135400002</v>
      </c>
      <c r="CU50">
        <v>128.94077190600001</v>
      </c>
      <c r="CV50">
        <v>100.096779388</v>
      </c>
      <c r="CW50">
        <v>118.505395494</v>
      </c>
      <c r="CX50">
        <v>96.562357699200007</v>
      </c>
      <c r="CY50">
        <v>126.11098052600001</v>
      </c>
      <c r="CZ50">
        <v>112.521995229</v>
      </c>
      <c r="DA50">
        <v>105.62708755600001</v>
      </c>
    </row>
    <row r="51" spans="5:105" x14ac:dyDescent="0.25">
      <c r="E51">
        <f>S_plus!L51</f>
        <v>0.49000000000000027</v>
      </c>
      <c r="F51">
        <v>107.807647898</v>
      </c>
      <c r="G51">
        <v>117.230126457</v>
      </c>
      <c r="H51">
        <v>102.442726073</v>
      </c>
      <c r="I51">
        <v>114.01667028200001</v>
      </c>
      <c r="J51">
        <v>134.46099392799999</v>
      </c>
      <c r="K51">
        <v>118.625765488</v>
      </c>
      <c r="L51">
        <v>90.780491185700001</v>
      </c>
      <c r="M51">
        <v>141.88501051399999</v>
      </c>
      <c r="N51">
        <v>90.395337082200001</v>
      </c>
      <c r="O51">
        <v>92.685589837699993</v>
      </c>
      <c r="P51">
        <v>97.107862475399997</v>
      </c>
      <c r="Q51">
        <v>84.124946389499996</v>
      </c>
      <c r="R51">
        <v>115.744324017</v>
      </c>
      <c r="S51">
        <v>92.544100330999996</v>
      </c>
      <c r="T51">
        <v>102.648136638</v>
      </c>
      <c r="U51">
        <v>93.949378866299995</v>
      </c>
      <c r="V51">
        <v>121.354735824</v>
      </c>
      <c r="W51">
        <v>102.02448382599999</v>
      </c>
      <c r="X51">
        <v>79.896820854300003</v>
      </c>
      <c r="Y51">
        <v>92.558079839800001</v>
      </c>
      <c r="Z51">
        <v>101.644914075</v>
      </c>
      <c r="AA51">
        <v>96.600612913399999</v>
      </c>
      <c r="AB51">
        <v>113.392299399</v>
      </c>
      <c r="AC51">
        <v>119.198513131</v>
      </c>
      <c r="AD51">
        <v>91.859936294799994</v>
      </c>
      <c r="AE51">
        <v>94.247419764900002</v>
      </c>
      <c r="AF51">
        <v>110.600771403</v>
      </c>
      <c r="AG51">
        <v>89.059972359699998</v>
      </c>
      <c r="AH51">
        <v>113.16979739200001</v>
      </c>
      <c r="AI51">
        <v>126.651203012</v>
      </c>
      <c r="AJ51">
        <v>89.354287933899997</v>
      </c>
      <c r="AK51">
        <v>103.32225622</v>
      </c>
      <c r="AL51">
        <v>87.563291753200005</v>
      </c>
      <c r="AM51">
        <v>104.763481345</v>
      </c>
      <c r="AN51">
        <v>101.33907706399999</v>
      </c>
      <c r="AO51">
        <v>87.693913201800001</v>
      </c>
      <c r="AP51">
        <v>84.016089021200003</v>
      </c>
      <c r="AQ51">
        <v>97.3101664255</v>
      </c>
      <c r="AR51">
        <v>108.751719012</v>
      </c>
      <c r="AS51">
        <v>82.391386839700004</v>
      </c>
      <c r="AT51">
        <v>86.150201071200001</v>
      </c>
      <c r="AU51">
        <v>99.513700825900003</v>
      </c>
      <c r="AV51">
        <v>83.246280570500005</v>
      </c>
      <c r="AW51">
        <v>98.130642682200005</v>
      </c>
      <c r="AX51">
        <v>96.678340990899997</v>
      </c>
      <c r="AY51">
        <v>121.225986976</v>
      </c>
      <c r="AZ51">
        <v>109.132852695</v>
      </c>
      <c r="BA51">
        <v>98.7268456786</v>
      </c>
      <c r="BB51">
        <v>100.140691752</v>
      </c>
      <c r="BC51">
        <v>98.529187757700001</v>
      </c>
      <c r="BD51">
        <v>108.30291814500001</v>
      </c>
      <c r="BE51">
        <v>120.339265919</v>
      </c>
      <c r="BF51">
        <v>108.131353287</v>
      </c>
      <c r="BG51">
        <v>102.512697843</v>
      </c>
      <c r="BH51">
        <v>117.24077713</v>
      </c>
      <c r="BI51">
        <v>117.59852770000001</v>
      </c>
      <c r="BJ51">
        <v>117.90207692600001</v>
      </c>
      <c r="BK51">
        <v>91.572669236999999</v>
      </c>
      <c r="BL51">
        <v>100.187128516</v>
      </c>
      <c r="BM51">
        <v>97.061619698100003</v>
      </c>
      <c r="BN51">
        <v>98.912645287299995</v>
      </c>
      <c r="BO51">
        <v>114.529303751</v>
      </c>
      <c r="BP51">
        <v>103.902789062</v>
      </c>
      <c r="BQ51">
        <v>132.00536438399999</v>
      </c>
      <c r="BR51">
        <v>102.48922900300001</v>
      </c>
      <c r="BS51">
        <v>90.637059862900003</v>
      </c>
      <c r="BT51">
        <v>101.93303214700001</v>
      </c>
      <c r="BU51">
        <v>108.331520707</v>
      </c>
      <c r="BV51">
        <v>120.437416455</v>
      </c>
      <c r="BW51">
        <v>110.059417512</v>
      </c>
      <c r="BX51">
        <v>109.54800782700001</v>
      </c>
      <c r="BY51">
        <v>115.918648801</v>
      </c>
      <c r="BZ51">
        <v>104.04304513300001</v>
      </c>
      <c r="CA51">
        <v>94.976631289899998</v>
      </c>
      <c r="CB51">
        <v>95.633919722100003</v>
      </c>
      <c r="CC51">
        <v>105.40284083500001</v>
      </c>
      <c r="CD51">
        <v>106.403850093</v>
      </c>
      <c r="CE51">
        <v>123.884822845</v>
      </c>
      <c r="CF51">
        <v>117.40111063099999</v>
      </c>
      <c r="CG51">
        <v>103.12071780700001</v>
      </c>
      <c r="CH51">
        <v>71.182950679800001</v>
      </c>
      <c r="CI51">
        <v>124.133239214</v>
      </c>
      <c r="CJ51">
        <v>101.00361174299999</v>
      </c>
      <c r="CK51">
        <v>100.142056807</v>
      </c>
      <c r="CL51">
        <v>97.569185832000002</v>
      </c>
      <c r="CM51">
        <v>87.068155327400007</v>
      </c>
      <c r="CN51">
        <v>101.454085597</v>
      </c>
      <c r="CO51">
        <v>104.523913393</v>
      </c>
      <c r="CP51">
        <v>96.482359806399998</v>
      </c>
      <c r="CQ51">
        <v>82.013039330400005</v>
      </c>
      <c r="CR51">
        <v>96.034407326199997</v>
      </c>
      <c r="CS51">
        <v>92.878091329699998</v>
      </c>
      <c r="CT51">
        <v>84.182244324600006</v>
      </c>
      <c r="CU51">
        <v>131.51138866400001</v>
      </c>
      <c r="CV51">
        <v>99.237217789900001</v>
      </c>
      <c r="CW51">
        <v>120.166975721</v>
      </c>
      <c r="CX51">
        <v>100.07359218000001</v>
      </c>
      <c r="CY51">
        <v>126.627787625</v>
      </c>
      <c r="CZ51">
        <v>117.694014169</v>
      </c>
      <c r="DA51">
        <v>106.32896978300001</v>
      </c>
    </row>
    <row r="52" spans="5:105" x14ac:dyDescent="0.25">
      <c r="E52">
        <f>S_plus!L52</f>
        <v>0.50000000000000022</v>
      </c>
      <c r="F52">
        <v>106.53709957</v>
      </c>
      <c r="G52">
        <v>115.085620389</v>
      </c>
      <c r="H52">
        <v>104.226201209</v>
      </c>
      <c r="I52">
        <v>112.063327559</v>
      </c>
      <c r="J52">
        <v>134.93101118499999</v>
      </c>
      <c r="K52">
        <v>116.052079859</v>
      </c>
      <c r="L52">
        <v>90.102972252599997</v>
      </c>
      <c r="M52">
        <v>141.13414954199999</v>
      </c>
      <c r="N52">
        <v>92.3011695613</v>
      </c>
      <c r="O52">
        <v>91.250138730399996</v>
      </c>
      <c r="P52">
        <v>96.523510911299994</v>
      </c>
      <c r="Q52">
        <v>85.801027136299993</v>
      </c>
      <c r="R52">
        <v>114.56511175999999</v>
      </c>
      <c r="S52">
        <v>94.127643348099994</v>
      </c>
      <c r="T52">
        <v>101.72290021000001</v>
      </c>
      <c r="U52">
        <v>94.193008809299997</v>
      </c>
      <c r="V52">
        <v>125.929623812</v>
      </c>
      <c r="W52">
        <v>99.457523527299998</v>
      </c>
      <c r="X52">
        <v>79.533802842499995</v>
      </c>
      <c r="Y52">
        <v>92.4655163977</v>
      </c>
      <c r="Z52">
        <v>98.8811394608</v>
      </c>
      <c r="AA52">
        <v>93.600352145499997</v>
      </c>
      <c r="AB52">
        <v>114.99529859800001</v>
      </c>
      <c r="AC52">
        <v>121.867686543</v>
      </c>
      <c r="AD52">
        <v>90.321849789500007</v>
      </c>
      <c r="AE52">
        <v>90.556328897599997</v>
      </c>
      <c r="AF52">
        <v>111.205679291</v>
      </c>
      <c r="AG52">
        <v>86.219400439899999</v>
      </c>
      <c r="AH52">
        <v>110.52434149600001</v>
      </c>
      <c r="AI52">
        <v>121.597426601</v>
      </c>
      <c r="AJ52">
        <v>88.616343044399997</v>
      </c>
      <c r="AK52">
        <v>106.19004701599999</v>
      </c>
      <c r="AL52">
        <v>83.920699338700004</v>
      </c>
      <c r="AM52">
        <v>106.177868281</v>
      </c>
      <c r="AN52">
        <v>99.324003165299999</v>
      </c>
      <c r="AO52">
        <v>85.936579354599999</v>
      </c>
      <c r="AP52">
        <v>86.291714730799995</v>
      </c>
      <c r="AQ52">
        <v>95.571627773100005</v>
      </c>
      <c r="AR52">
        <v>107.09903840200001</v>
      </c>
      <c r="AS52">
        <v>82.714040749899993</v>
      </c>
      <c r="AT52">
        <v>84.389548683399994</v>
      </c>
      <c r="AU52">
        <v>104.13509609899999</v>
      </c>
      <c r="AV52">
        <v>83.3493394602</v>
      </c>
      <c r="AW52">
        <v>99.399027357199998</v>
      </c>
      <c r="AX52">
        <v>96.197574695399993</v>
      </c>
      <c r="AY52">
        <v>116.45767907600001</v>
      </c>
      <c r="AZ52">
        <v>110.858567599</v>
      </c>
      <c r="BA52">
        <v>97.906377059500002</v>
      </c>
      <c r="BB52">
        <v>99.027950059399998</v>
      </c>
      <c r="BC52">
        <v>98.0600102346</v>
      </c>
      <c r="BD52">
        <v>109.823883274</v>
      </c>
      <c r="BE52">
        <v>115.553000126</v>
      </c>
      <c r="BF52">
        <v>105.94038229500001</v>
      </c>
      <c r="BG52">
        <v>101.034279528</v>
      </c>
      <c r="BH52">
        <v>119.221070998</v>
      </c>
      <c r="BI52">
        <v>117.698796731</v>
      </c>
      <c r="BJ52">
        <v>119.236682535</v>
      </c>
      <c r="BK52">
        <v>90.360968818299995</v>
      </c>
      <c r="BL52">
        <v>102.29315510000001</v>
      </c>
      <c r="BM52">
        <v>95.515445963100007</v>
      </c>
      <c r="BN52">
        <v>97.235933295899997</v>
      </c>
      <c r="BO52">
        <v>115.23422971700001</v>
      </c>
      <c r="BP52">
        <v>102.395228229</v>
      </c>
      <c r="BQ52">
        <v>134.11925063699999</v>
      </c>
      <c r="BR52">
        <v>101.663107569</v>
      </c>
      <c r="BS52">
        <v>90.2675714314</v>
      </c>
      <c r="BT52">
        <v>104.84182319200001</v>
      </c>
      <c r="BU52">
        <v>105.452873556</v>
      </c>
      <c r="BV52">
        <v>122.32339644699999</v>
      </c>
      <c r="BW52">
        <v>108.71547565</v>
      </c>
      <c r="BX52">
        <v>108.579977572</v>
      </c>
      <c r="BY52">
        <v>113.505294565</v>
      </c>
      <c r="BZ52">
        <v>102.78782743399999</v>
      </c>
      <c r="CA52">
        <v>97.330828946699995</v>
      </c>
      <c r="CB52">
        <v>96.097451699900006</v>
      </c>
      <c r="CC52">
        <v>104.46792100899999</v>
      </c>
      <c r="CD52">
        <v>108.765916254</v>
      </c>
      <c r="CE52">
        <v>127.82746677199999</v>
      </c>
      <c r="CF52">
        <v>118.32957641199999</v>
      </c>
      <c r="CG52">
        <v>100.588482728</v>
      </c>
      <c r="CH52">
        <v>70.413486941800002</v>
      </c>
      <c r="CI52">
        <v>124.379054696</v>
      </c>
      <c r="CJ52">
        <v>102.942080879</v>
      </c>
      <c r="CK52">
        <v>103.254299636</v>
      </c>
      <c r="CL52">
        <v>97.535494492500007</v>
      </c>
      <c r="CM52">
        <v>86.674154485299994</v>
      </c>
      <c r="CN52">
        <v>102.206299289</v>
      </c>
      <c r="CO52">
        <v>102.10500533</v>
      </c>
      <c r="CP52">
        <v>94.584496115500002</v>
      </c>
      <c r="CQ52">
        <v>80.030356518399998</v>
      </c>
      <c r="CR52">
        <v>97.077137535600002</v>
      </c>
      <c r="CS52">
        <v>90.691478097300006</v>
      </c>
      <c r="CT52">
        <v>84.921224260399995</v>
      </c>
      <c r="CU52">
        <v>130.00282167200001</v>
      </c>
      <c r="CV52">
        <v>100.693861437</v>
      </c>
      <c r="CW52">
        <v>119.805313212</v>
      </c>
      <c r="CX52">
        <v>99.555533530199995</v>
      </c>
      <c r="CY52">
        <v>122.71961268699999</v>
      </c>
      <c r="CZ52">
        <v>120.671305864</v>
      </c>
      <c r="DA52">
        <v>101.126726068</v>
      </c>
    </row>
    <row r="53" spans="5:105" x14ac:dyDescent="0.25">
      <c r="E53">
        <f>S_plus!L53</f>
        <v>0.51000000000000023</v>
      </c>
      <c r="F53">
        <v>105.877965897</v>
      </c>
      <c r="G53">
        <v>114.493275836</v>
      </c>
      <c r="H53">
        <v>102.56397796</v>
      </c>
      <c r="I53">
        <v>114.27513169700001</v>
      </c>
      <c r="J53">
        <v>133.20671335700001</v>
      </c>
      <c r="K53">
        <v>118.360218538</v>
      </c>
      <c r="L53">
        <v>89.046622239200005</v>
      </c>
      <c r="M53">
        <v>139.97995421499999</v>
      </c>
      <c r="N53">
        <v>95.903896238599998</v>
      </c>
      <c r="O53">
        <v>95.9613284566</v>
      </c>
      <c r="P53">
        <v>95.285568652899997</v>
      </c>
      <c r="Q53">
        <v>86.210264468299997</v>
      </c>
      <c r="R53">
        <v>115.74272572</v>
      </c>
      <c r="S53">
        <v>89.926601480200006</v>
      </c>
      <c r="T53">
        <v>97.5105140836</v>
      </c>
      <c r="U53">
        <v>93.819771098800004</v>
      </c>
      <c r="V53">
        <v>127.28832270700001</v>
      </c>
      <c r="W53">
        <v>101.02826480500001</v>
      </c>
      <c r="X53">
        <v>77.888982159899996</v>
      </c>
      <c r="Y53">
        <v>92.294698806499994</v>
      </c>
      <c r="Z53">
        <v>96.333832839999999</v>
      </c>
      <c r="AA53">
        <v>92.458938809100005</v>
      </c>
      <c r="AB53">
        <v>115.6847703</v>
      </c>
      <c r="AC53">
        <v>120.85738363999999</v>
      </c>
      <c r="AD53">
        <v>90.389917102300004</v>
      </c>
      <c r="AE53">
        <v>91.334740540799999</v>
      </c>
      <c r="AF53">
        <v>112.385510225</v>
      </c>
      <c r="AG53">
        <v>90.088143326400001</v>
      </c>
      <c r="AH53">
        <v>112.29588864199999</v>
      </c>
      <c r="AI53">
        <v>118.297051942</v>
      </c>
      <c r="AJ53">
        <v>91.420712940200005</v>
      </c>
      <c r="AK53">
        <v>106.527350126</v>
      </c>
      <c r="AL53">
        <v>86.769211940999995</v>
      </c>
      <c r="AM53">
        <v>106.865923545</v>
      </c>
      <c r="AN53">
        <v>99.274898174</v>
      </c>
      <c r="AO53">
        <v>81.943965027100006</v>
      </c>
      <c r="AP53">
        <v>84.594673849800003</v>
      </c>
      <c r="AQ53">
        <v>95.888780483199994</v>
      </c>
      <c r="AR53">
        <v>103.613077557</v>
      </c>
      <c r="AS53">
        <v>83.447643785799997</v>
      </c>
      <c r="AT53">
        <v>83.311021183199998</v>
      </c>
      <c r="AU53">
        <v>106.05296217599999</v>
      </c>
      <c r="AV53">
        <v>82.279143478700007</v>
      </c>
      <c r="AW53">
        <v>100.385831749</v>
      </c>
      <c r="AX53">
        <v>97.008165142799996</v>
      </c>
      <c r="AY53">
        <v>114.493514081</v>
      </c>
      <c r="AZ53">
        <v>108.77136903</v>
      </c>
      <c r="BA53">
        <v>98.148763293399995</v>
      </c>
      <c r="BB53">
        <v>98.933666418399994</v>
      </c>
      <c r="BC53">
        <v>97.174826478400007</v>
      </c>
      <c r="BD53">
        <v>106.11828632700001</v>
      </c>
      <c r="BE53">
        <v>117.14219434899999</v>
      </c>
      <c r="BF53">
        <v>107.30035764500001</v>
      </c>
      <c r="BG53">
        <v>98.172077141900004</v>
      </c>
      <c r="BH53">
        <v>117.99093530899999</v>
      </c>
      <c r="BI53">
        <v>120.531646674</v>
      </c>
      <c r="BJ53">
        <v>116.791601951</v>
      </c>
      <c r="BK53">
        <v>90.913306987699997</v>
      </c>
      <c r="BL53">
        <v>102.65364063600001</v>
      </c>
      <c r="BM53">
        <v>97.252654228099999</v>
      </c>
      <c r="BN53">
        <v>97.716367336499999</v>
      </c>
      <c r="BO53">
        <v>117.705808394</v>
      </c>
      <c r="BP53">
        <v>102.20076502800001</v>
      </c>
      <c r="BQ53">
        <v>137.223468704</v>
      </c>
      <c r="BR53">
        <v>104.447952566</v>
      </c>
      <c r="BS53">
        <v>90.386611744700005</v>
      </c>
      <c r="BT53">
        <v>104.815961184</v>
      </c>
      <c r="BU53">
        <v>106.794285378</v>
      </c>
      <c r="BV53">
        <v>124.43886935099999</v>
      </c>
      <c r="BW53">
        <v>111.406179111</v>
      </c>
      <c r="BX53">
        <v>111.440324047</v>
      </c>
      <c r="BY53">
        <v>115.94183369</v>
      </c>
      <c r="BZ53">
        <v>103.936524859</v>
      </c>
      <c r="CA53">
        <v>98.955476995699996</v>
      </c>
      <c r="CB53">
        <v>97.228692468299997</v>
      </c>
      <c r="CC53">
        <v>102.735669257</v>
      </c>
      <c r="CD53">
        <v>110.975738138</v>
      </c>
      <c r="CE53">
        <v>128.21973848499999</v>
      </c>
      <c r="CF53">
        <v>121.44997172799999</v>
      </c>
      <c r="CG53">
        <v>97.453401427000003</v>
      </c>
      <c r="CH53">
        <v>70.133096679900007</v>
      </c>
      <c r="CI53">
        <v>130.004789324</v>
      </c>
      <c r="CJ53">
        <v>104.80425934199999</v>
      </c>
      <c r="CK53">
        <v>100.18502999899999</v>
      </c>
      <c r="CL53">
        <v>99.230789385700007</v>
      </c>
      <c r="CM53">
        <v>86.355657183100007</v>
      </c>
      <c r="CN53">
        <v>106.302323402</v>
      </c>
      <c r="CO53">
        <v>104.545783548</v>
      </c>
      <c r="CP53">
        <v>95.151842425400005</v>
      </c>
      <c r="CQ53">
        <v>79.826747371600007</v>
      </c>
      <c r="CR53">
        <v>97.512940319699993</v>
      </c>
      <c r="CS53">
        <v>91.270295963999999</v>
      </c>
      <c r="CT53">
        <v>84.5041321912</v>
      </c>
      <c r="CU53">
        <v>127.95527235900001</v>
      </c>
      <c r="CV53">
        <v>99.243069769499996</v>
      </c>
      <c r="CW53">
        <v>118.028750597</v>
      </c>
      <c r="CX53">
        <v>102.287436867</v>
      </c>
      <c r="CY53">
        <v>118.38226342599999</v>
      </c>
      <c r="CZ53">
        <v>120.78137608500001</v>
      </c>
      <c r="DA53">
        <v>104.221728586</v>
      </c>
    </row>
    <row r="54" spans="5:105" x14ac:dyDescent="0.25">
      <c r="E54">
        <f>S_plus!L54</f>
        <v>0.52000000000000024</v>
      </c>
      <c r="F54">
        <v>103.010116388</v>
      </c>
      <c r="G54">
        <v>117.03779339099999</v>
      </c>
      <c r="H54">
        <v>101.53999511000001</v>
      </c>
      <c r="I54">
        <v>116.416350392</v>
      </c>
      <c r="J54">
        <v>136.390117541</v>
      </c>
      <c r="K54">
        <v>120.202956958</v>
      </c>
      <c r="L54">
        <v>94.048963799000006</v>
      </c>
      <c r="M54">
        <v>140.61768302499999</v>
      </c>
      <c r="N54">
        <v>91.498880620600005</v>
      </c>
      <c r="O54">
        <v>92.006183143900003</v>
      </c>
      <c r="P54">
        <v>96.647428326500005</v>
      </c>
      <c r="Q54">
        <v>86.996282027800007</v>
      </c>
      <c r="R54">
        <v>113.189594648</v>
      </c>
      <c r="S54">
        <v>91.197563105399993</v>
      </c>
      <c r="T54">
        <v>98.180547228199998</v>
      </c>
      <c r="U54">
        <v>93.093422133700003</v>
      </c>
      <c r="V54">
        <v>126.923099476</v>
      </c>
      <c r="W54">
        <v>100.306469361</v>
      </c>
      <c r="X54">
        <v>78.648913042700002</v>
      </c>
      <c r="Y54">
        <v>90.247710823899993</v>
      </c>
      <c r="Z54">
        <v>96.516529461600001</v>
      </c>
      <c r="AA54">
        <v>90.834063898500006</v>
      </c>
      <c r="AB54">
        <v>111.439912791</v>
      </c>
      <c r="AC54">
        <v>121.866846325</v>
      </c>
      <c r="AD54">
        <v>88.589753869399999</v>
      </c>
      <c r="AE54">
        <v>93.050103525799997</v>
      </c>
      <c r="AF54">
        <v>112.001816363</v>
      </c>
      <c r="AG54">
        <v>94.796955201800003</v>
      </c>
      <c r="AH54">
        <v>114.21541374500001</v>
      </c>
      <c r="AI54">
        <v>122.513447958</v>
      </c>
      <c r="AJ54">
        <v>88.766740659800007</v>
      </c>
      <c r="AK54">
        <v>108.75969901800001</v>
      </c>
      <c r="AL54">
        <v>85.924301974299993</v>
      </c>
      <c r="AM54">
        <v>110.33458219800001</v>
      </c>
      <c r="AN54">
        <v>96.476739465899996</v>
      </c>
      <c r="AO54">
        <v>83.771556229400005</v>
      </c>
      <c r="AP54">
        <v>83.559339400599995</v>
      </c>
      <c r="AQ54">
        <v>97.383268139699993</v>
      </c>
      <c r="AR54">
        <v>103.756822396</v>
      </c>
      <c r="AS54">
        <v>82.4438689917</v>
      </c>
      <c r="AT54">
        <v>85.8818304423</v>
      </c>
      <c r="AU54">
        <v>103.387597969</v>
      </c>
      <c r="AV54">
        <v>84.184480283100001</v>
      </c>
      <c r="AW54">
        <v>100.413033953</v>
      </c>
      <c r="AX54">
        <v>96.694918662700005</v>
      </c>
      <c r="AY54">
        <v>114.72158736999999</v>
      </c>
      <c r="AZ54">
        <v>106.663024107</v>
      </c>
      <c r="BA54">
        <v>96.417533151000001</v>
      </c>
      <c r="BB54">
        <v>99.772914443000005</v>
      </c>
      <c r="BC54">
        <v>99.242556267099999</v>
      </c>
      <c r="BD54">
        <v>103.903659069</v>
      </c>
      <c r="BE54">
        <v>120.439986081</v>
      </c>
      <c r="BF54">
        <v>108.0613948</v>
      </c>
      <c r="BG54">
        <v>99.635778497100006</v>
      </c>
      <c r="BH54">
        <v>116.796233258</v>
      </c>
      <c r="BI54">
        <v>122.301993092</v>
      </c>
      <c r="BJ54">
        <v>112.75289637</v>
      </c>
      <c r="BK54">
        <v>89.368571644799999</v>
      </c>
      <c r="BL54">
        <v>101.75526284199999</v>
      </c>
      <c r="BM54">
        <v>101.522287326</v>
      </c>
      <c r="BN54">
        <v>100.07870134700001</v>
      </c>
      <c r="BO54">
        <v>119.834830692</v>
      </c>
      <c r="BP54">
        <v>102.102595178</v>
      </c>
      <c r="BQ54">
        <v>136.907305251</v>
      </c>
      <c r="BR54">
        <v>105.349878773</v>
      </c>
      <c r="BS54">
        <v>90.197433268899999</v>
      </c>
      <c r="BT54">
        <v>109.158497713</v>
      </c>
      <c r="BU54">
        <v>109.06995049699999</v>
      </c>
      <c r="BV54">
        <v>126.244891403</v>
      </c>
      <c r="BW54">
        <v>107.607196348</v>
      </c>
      <c r="BX54">
        <v>110.714367255</v>
      </c>
      <c r="BY54">
        <v>119.12897588</v>
      </c>
      <c r="BZ54">
        <v>103.632348749</v>
      </c>
      <c r="CA54">
        <v>96.989203808300005</v>
      </c>
      <c r="CB54">
        <v>97.856010915799999</v>
      </c>
      <c r="CC54">
        <v>100.00872284099999</v>
      </c>
      <c r="CD54">
        <v>111.11741616800001</v>
      </c>
      <c r="CE54">
        <v>131.19056614300001</v>
      </c>
      <c r="CF54">
        <v>118.652272549</v>
      </c>
      <c r="CG54">
        <v>97.592152820199999</v>
      </c>
      <c r="CH54">
        <v>70.328496786200006</v>
      </c>
      <c r="CI54">
        <v>128.52367067200001</v>
      </c>
      <c r="CJ54">
        <v>104.42975119499999</v>
      </c>
      <c r="CK54">
        <v>103.897731996</v>
      </c>
      <c r="CL54">
        <v>97.584340937600004</v>
      </c>
      <c r="CM54">
        <v>87.812914713599994</v>
      </c>
      <c r="CN54">
        <v>103.61852523100001</v>
      </c>
      <c r="CO54">
        <v>103.945859192</v>
      </c>
      <c r="CP54">
        <v>91.188651889900001</v>
      </c>
      <c r="CQ54">
        <v>79.793634767</v>
      </c>
      <c r="CR54">
        <v>95.853184799900006</v>
      </c>
      <c r="CS54">
        <v>91.193626538000004</v>
      </c>
      <c r="CT54">
        <v>84.646148301300002</v>
      </c>
      <c r="CU54">
        <v>130.998333866</v>
      </c>
      <c r="CV54">
        <v>97.874486093399995</v>
      </c>
      <c r="CW54">
        <v>117.14191042</v>
      </c>
      <c r="CX54">
        <v>107.315973032</v>
      </c>
      <c r="CY54">
        <v>118.82704549</v>
      </c>
      <c r="CZ54">
        <v>121.582295266</v>
      </c>
      <c r="DA54">
        <v>102.967765175</v>
      </c>
    </row>
    <row r="55" spans="5:105" x14ac:dyDescent="0.25">
      <c r="E55">
        <f>S_plus!L55</f>
        <v>0.53000000000000025</v>
      </c>
      <c r="F55">
        <v>102.722708103</v>
      </c>
      <c r="G55">
        <v>118.778223242</v>
      </c>
      <c r="H55">
        <v>100.24834486500001</v>
      </c>
      <c r="I55">
        <v>115.49167033800001</v>
      </c>
      <c r="J55">
        <v>135.94006827800001</v>
      </c>
      <c r="K55">
        <v>117.30360343700001</v>
      </c>
      <c r="L55">
        <v>92.239059593199997</v>
      </c>
      <c r="M55">
        <v>135.477491955</v>
      </c>
      <c r="N55">
        <v>95.101401638799999</v>
      </c>
      <c r="O55">
        <v>93.498210592000007</v>
      </c>
      <c r="P55">
        <v>95.860509503700001</v>
      </c>
      <c r="Q55">
        <v>87.111507313299995</v>
      </c>
      <c r="R55">
        <v>113.25309427000001</v>
      </c>
      <c r="S55">
        <v>89.268129356700001</v>
      </c>
      <c r="T55">
        <v>95.087023218699997</v>
      </c>
      <c r="U55">
        <v>93.492112906399996</v>
      </c>
      <c r="V55">
        <v>127.47165461100001</v>
      </c>
      <c r="W55">
        <v>102.982596882</v>
      </c>
      <c r="X55">
        <v>78.229459437399996</v>
      </c>
      <c r="Y55">
        <v>88.933144315299998</v>
      </c>
      <c r="Z55">
        <v>96.314345974199995</v>
      </c>
      <c r="AA55">
        <v>89.710181465700003</v>
      </c>
      <c r="AB55">
        <v>111.30350148700001</v>
      </c>
      <c r="AC55">
        <v>120.596919524</v>
      </c>
      <c r="AD55">
        <v>90.272704638999997</v>
      </c>
      <c r="AE55">
        <v>95.086519941500001</v>
      </c>
      <c r="AF55">
        <v>110.699675324</v>
      </c>
      <c r="AG55">
        <v>94.352704918499995</v>
      </c>
      <c r="AH55">
        <v>110.262206115</v>
      </c>
      <c r="AI55">
        <v>118.76143818200001</v>
      </c>
      <c r="AJ55">
        <v>88.571765024399994</v>
      </c>
      <c r="AK55">
        <v>108.359233085</v>
      </c>
      <c r="AL55">
        <v>84.212469088199995</v>
      </c>
      <c r="AM55">
        <v>109.846741104</v>
      </c>
      <c r="AN55">
        <v>96.721823828699996</v>
      </c>
      <c r="AO55">
        <v>82.562915254299995</v>
      </c>
      <c r="AP55">
        <v>84.360030235500005</v>
      </c>
      <c r="AQ55">
        <v>98.509334393200007</v>
      </c>
      <c r="AR55">
        <v>105.189025614</v>
      </c>
      <c r="AS55">
        <v>82.087879677199993</v>
      </c>
      <c r="AT55">
        <v>86.142431534400004</v>
      </c>
      <c r="AU55">
        <v>106.197874693</v>
      </c>
      <c r="AV55">
        <v>83.910866553999995</v>
      </c>
      <c r="AW55">
        <v>98.654911799900006</v>
      </c>
      <c r="AX55">
        <v>95.840356357499999</v>
      </c>
      <c r="AY55">
        <v>113.105343428</v>
      </c>
      <c r="AZ55">
        <v>104.20515581799999</v>
      </c>
      <c r="BA55">
        <v>97.3861951019</v>
      </c>
      <c r="BB55">
        <v>101.848753785</v>
      </c>
      <c r="BC55">
        <v>101.25031549099999</v>
      </c>
      <c r="BD55">
        <v>100.263186792</v>
      </c>
      <c r="BE55">
        <v>119.400933235</v>
      </c>
      <c r="BF55">
        <v>106.650341299</v>
      </c>
      <c r="BG55">
        <v>98.6597015623</v>
      </c>
      <c r="BH55">
        <v>120.52129976499999</v>
      </c>
      <c r="BI55">
        <v>129.90837131200001</v>
      </c>
      <c r="BJ55">
        <v>114.788312111</v>
      </c>
      <c r="BK55">
        <v>90.821955905799996</v>
      </c>
      <c r="BL55">
        <v>99.472908413300004</v>
      </c>
      <c r="BM55">
        <v>103.781559554</v>
      </c>
      <c r="BN55">
        <v>103.741072128</v>
      </c>
      <c r="BO55">
        <v>125.00951105</v>
      </c>
      <c r="BP55">
        <v>102.042621418</v>
      </c>
      <c r="BQ55">
        <v>137.81709906099999</v>
      </c>
      <c r="BR55">
        <v>110.924846762</v>
      </c>
      <c r="BS55">
        <v>90.605552615500002</v>
      </c>
      <c r="BT55">
        <v>110.423289157</v>
      </c>
      <c r="BU55">
        <v>108.809253818</v>
      </c>
      <c r="BV55">
        <v>126.8271756</v>
      </c>
      <c r="BW55">
        <v>110.03878190499999</v>
      </c>
      <c r="BX55">
        <v>113.31426205699999</v>
      </c>
      <c r="BY55">
        <v>119.261650725</v>
      </c>
      <c r="BZ55">
        <v>106.21045611700001</v>
      </c>
      <c r="CA55">
        <v>95.319253724099994</v>
      </c>
      <c r="CB55">
        <v>96.891955437600004</v>
      </c>
      <c r="CC55">
        <v>99.218360103500004</v>
      </c>
      <c r="CD55">
        <v>112.41587736</v>
      </c>
      <c r="CE55">
        <v>131.80674088800001</v>
      </c>
      <c r="CF55">
        <v>120.80409862800001</v>
      </c>
      <c r="CG55">
        <v>96.851209838200006</v>
      </c>
      <c r="CH55">
        <v>71.411778187699994</v>
      </c>
      <c r="CI55">
        <v>130.19699920799999</v>
      </c>
      <c r="CJ55">
        <v>104.90490107399999</v>
      </c>
      <c r="CK55">
        <v>100.995590761</v>
      </c>
      <c r="CL55">
        <v>102.10688209</v>
      </c>
      <c r="CM55">
        <v>90.245906291699995</v>
      </c>
      <c r="CN55">
        <v>102.556248904</v>
      </c>
      <c r="CO55">
        <v>105.587598165</v>
      </c>
      <c r="CP55">
        <v>91.931149256400005</v>
      </c>
      <c r="CQ55">
        <v>78.794815146399998</v>
      </c>
      <c r="CR55">
        <v>95.487358734699995</v>
      </c>
      <c r="CS55">
        <v>88.6990563377</v>
      </c>
      <c r="CT55">
        <v>83.8730899177</v>
      </c>
      <c r="CU55">
        <v>133.16238285599999</v>
      </c>
      <c r="CV55">
        <v>98.960391856200005</v>
      </c>
      <c r="CW55">
        <v>118.531662619</v>
      </c>
      <c r="CX55">
        <v>106.705556065</v>
      </c>
      <c r="CY55">
        <v>122.257546792</v>
      </c>
      <c r="CZ55">
        <v>125.310256728</v>
      </c>
      <c r="DA55">
        <v>103.489812931</v>
      </c>
    </row>
    <row r="56" spans="5:105" x14ac:dyDescent="0.25">
      <c r="E56">
        <f>S_plus!L56</f>
        <v>0.54000000000000026</v>
      </c>
      <c r="F56">
        <v>101.864246685</v>
      </c>
      <c r="G56">
        <v>116.450025607</v>
      </c>
      <c r="H56">
        <v>97.683379923700002</v>
      </c>
      <c r="I56">
        <v>113.869856884</v>
      </c>
      <c r="J56">
        <v>131.930365341</v>
      </c>
      <c r="K56">
        <v>119.21951867600001</v>
      </c>
      <c r="L56">
        <v>90.028770774500003</v>
      </c>
      <c r="M56">
        <v>135.43071677500001</v>
      </c>
      <c r="N56">
        <v>95.862147834799998</v>
      </c>
      <c r="O56">
        <v>93.5529799169</v>
      </c>
      <c r="P56">
        <v>98.062278972300007</v>
      </c>
      <c r="Q56">
        <v>87.669161095199996</v>
      </c>
      <c r="R56">
        <v>113.25927438399999</v>
      </c>
      <c r="S56">
        <v>90.296893722099995</v>
      </c>
      <c r="T56">
        <v>95.598000068100006</v>
      </c>
      <c r="U56">
        <v>93.317543931800003</v>
      </c>
      <c r="V56">
        <v>129.38116366599999</v>
      </c>
      <c r="W56">
        <v>102.27807423</v>
      </c>
      <c r="X56">
        <v>78.051274400799997</v>
      </c>
      <c r="Y56">
        <v>88.4423035951</v>
      </c>
      <c r="Z56">
        <v>95.183654810799993</v>
      </c>
      <c r="AA56">
        <v>87.360954609299995</v>
      </c>
      <c r="AB56">
        <v>109.066933104</v>
      </c>
      <c r="AC56">
        <v>126.26746467300001</v>
      </c>
      <c r="AD56">
        <v>91.096873635400001</v>
      </c>
      <c r="AE56">
        <v>95.577702932199998</v>
      </c>
      <c r="AF56">
        <v>109.45711373</v>
      </c>
      <c r="AG56">
        <v>93.337829146900006</v>
      </c>
      <c r="AH56">
        <v>109.703605775</v>
      </c>
      <c r="AI56">
        <v>114.353097026</v>
      </c>
      <c r="AJ56">
        <v>86.523022711199999</v>
      </c>
      <c r="AK56">
        <v>104.49082289</v>
      </c>
      <c r="AL56">
        <v>83.481984470399993</v>
      </c>
      <c r="AM56">
        <v>108.959846111</v>
      </c>
      <c r="AN56">
        <v>97.198333868199995</v>
      </c>
      <c r="AO56">
        <v>84.000283414500004</v>
      </c>
      <c r="AP56">
        <v>83.260581196499999</v>
      </c>
      <c r="AQ56">
        <v>99.244478571499997</v>
      </c>
      <c r="AR56">
        <v>102.978602998</v>
      </c>
      <c r="AS56">
        <v>84.314746199699997</v>
      </c>
      <c r="AT56">
        <v>85.585610752700006</v>
      </c>
      <c r="AU56">
        <v>104.786683715</v>
      </c>
      <c r="AV56">
        <v>86.175776631199994</v>
      </c>
      <c r="AW56">
        <v>96.833297620699994</v>
      </c>
      <c r="AX56">
        <v>99.168970785499994</v>
      </c>
      <c r="AY56">
        <v>114.151827234</v>
      </c>
      <c r="AZ56">
        <v>101.33613085</v>
      </c>
      <c r="BA56">
        <v>93.564944635200007</v>
      </c>
      <c r="BB56">
        <v>99.028607139100004</v>
      </c>
      <c r="BC56">
        <v>100.327003671</v>
      </c>
      <c r="BD56">
        <v>99.509255359400001</v>
      </c>
      <c r="BE56">
        <v>118.799387297</v>
      </c>
      <c r="BF56">
        <v>104.17466275699999</v>
      </c>
      <c r="BG56">
        <v>99.509229687599998</v>
      </c>
      <c r="BH56">
        <v>121.997352136</v>
      </c>
      <c r="BI56">
        <v>129.34460353399999</v>
      </c>
      <c r="BJ56">
        <v>115.851323635</v>
      </c>
      <c r="BK56">
        <v>90.730818030400002</v>
      </c>
      <c r="BL56">
        <v>100.450518743</v>
      </c>
      <c r="BM56">
        <v>101.985266063</v>
      </c>
      <c r="BN56">
        <v>100.68200162700001</v>
      </c>
      <c r="BO56">
        <v>123.313599646</v>
      </c>
      <c r="BP56">
        <v>100.16004079</v>
      </c>
      <c r="BQ56">
        <v>136.04685580899999</v>
      </c>
      <c r="BR56">
        <v>115.46346859099999</v>
      </c>
      <c r="BS56">
        <v>90.999113247400004</v>
      </c>
      <c r="BT56">
        <v>113.370930239</v>
      </c>
      <c r="BU56">
        <v>107.64081659199999</v>
      </c>
      <c r="BV56">
        <v>125.69511074099999</v>
      </c>
      <c r="BW56">
        <v>114.067677915</v>
      </c>
      <c r="BX56">
        <v>116.268151966</v>
      </c>
      <c r="BY56">
        <v>121.00320304900001</v>
      </c>
      <c r="BZ56">
        <v>106.47841011200001</v>
      </c>
      <c r="CA56">
        <v>95.541164063500005</v>
      </c>
      <c r="CB56">
        <v>97.595938528800005</v>
      </c>
      <c r="CC56">
        <v>96.332270877400006</v>
      </c>
      <c r="CD56">
        <v>114.567358915</v>
      </c>
      <c r="CE56">
        <v>126.493203214</v>
      </c>
      <c r="CF56">
        <v>123.80616782200001</v>
      </c>
      <c r="CG56">
        <v>97.558976193199996</v>
      </c>
      <c r="CH56">
        <v>73.223060786999994</v>
      </c>
      <c r="CI56">
        <v>128.463777634</v>
      </c>
      <c r="CJ56">
        <v>106.467377055</v>
      </c>
      <c r="CK56">
        <v>99.210664034399997</v>
      </c>
      <c r="CL56">
        <v>104.84239180900001</v>
      </c>
      <c r="CM56">
        <v>88.288394346499999</v>
      </c>
      <c r="CN56">
        <v>103.371317684</v>
      </c>
      <c r="CO56">
        <v>106.451084759</v>
      </c>
      <c r="CP56">
        <v>94.804326345000007</v>
      </c>
      <c r="CQ56">
        <v>79.874865317599998</v>
      </c>
      <c r="CR56">
        <v>96.164203605899999</v>
      </c>
      <c r="CS56">
        <v>91.245808109600006</v>
      </c>
      <c r="CT56">
        <v>81.599648805599998</v>
      </c>
      <c r="CU56">
        <v>131.59572465599999</v>
      </c>
      <c r="CV56">
        <v>98.774752227500002</v>
      </c>
      <c r="CW56">
        <v>114.38816625299999</v>
      </c>
      <c r="CX56">
        <v>105.17520530500001</v>
      </c>
      <c r="CY56">
        <v>123.101783082</v>
      </c>
      <c r="CZ56">
        <v>122.0272104</v>
      </c>
      <c r="DA56">
        <v>103.920128531</v>
      </c>
    </row>
    <row r="57" spans="5:105" x14ac:dyDescent="0.25">
      <c r="E57">
        <f>S_plus!L57</f>
        <v>0.55000000000000027</v>
      </c>
      <c r="F57">
        <v>103.06086258400001</v>
      </c>
      <c r="G57">
        <v>117.061636941</v>
      </c>
      <c r="H57">
        <v>95.971207163299994</v>
      </c>
      <c r="I57">
        <v>115.46867854200001</v>
      </c>
      <c r="J57">
        <v>132.80104456999999</v>
      </c>
      <c r="K57">
        <v>119.297105456</v>
      </c>
      <c r="L57">
        <v>91.632420267000001</v>
      </c>
      <c r="M57">
        <v>137.406778086</v>
      </c>
      <c r="N57">
        <v>97.108795731699999</v>
      </c>
      <c r="O57">
        <v>93.493292186600002</v>
      </c>
      <c r="P57">
        <v>99.915961176500005</v>
      </c>
      <c r="Q57">
        <v>88.125184411600003</v>
      </c>
      <c r="R57">
        <v>115.064392396</v>
      </c>
      <c r="S57">
        <v>91.944559552100003</v>
      </c>
      <c r="T57">
        <v>96.155582106799997</v>
      </c>
      <c r="U57">
        <v>93.148750129800007</v>
      </c>
      <c r="V57">
        <v>131.62009038400001</v>
      </c>
      <c r="W57">
        <v>102.83594589400001</v>
      </c>
      <c r="X57">
        <v>75.896595856000005</v>
      </c>
      <c r="Y57">
        <v>86.9526451296</v>
      </c>
      <c r="Z57">
        <v>95.986138367899997</v>
      </c>
      <c r="AA57">
        <v>86.619722287100004</v>
      </c>
      <c r="AB57">
        <v>109.89912775000001</v>
      </c>
      <c r="AC57">
        <v>126.71465616899999</v>
      </c>
      <c r="AD57">
        <v>91.429536632500003</v>
      </c>
      <c r="AE57">
        <v>96.014243570399998</v>
      </c>
      <c r="AF57">
        <v>109.186916681</v>
      </c>
      <c r="AG57">
        <v>94.847296142299996</v>
      </c>
      <c r="AH57">
        <v>109.11626860699999</v>
      </c>
      <c r="AI57">
        <v>117.657694773</v>
      </c>
      <c r="AJ57">
        <v>85.829703143299994</v>
      </c>
      <c r="AK57">
        <v>108.567851526</v>
      </c>
      <c r="AL57">
        <v>84.515854382000001</v>
      </c>
      <c r="AM57">
        <v>108.708058063</v>
      </c>
      <c r="AN57">
        <v>93.705718574100004</v>
      </c>
      <c r="AO57">
        <v>82.278472275599995</v>
      </c>
      <c r="AP57">
        <v>83.201921522800006</v>
      </c>
      <c r="AQ57">
        <v>98.773722443500006</v>
      </c>
      <c r="AR57">
        <v>100.556863683</v>
      </c>
      <c r="AS57">
        <v>84.257552101399995</v>
      </c>
      <c r="AT57">
        <v>89.170496953300002</v>
      </c>
      <c r="AU57">
        <v>104.481928963</v>
      </c>
      <c r="AV57">
        <v>90.453496555399994</v>
      </c>
      <c r="AW57">
        <v>101.54788801700001</v>
      </c>
      <c r="AX57">
        <v>96.486821981999995</v>
      </c>
      <c r="AY57">
        <v>121.101036443</v>
      </c>
      <c r="AZ57">
        <v>103.817156103</v>
      </c>
      <c r="BA57">
        <v>97.163504289499997</v>
      </c>
      <c r="BB57">
        <v>99.250959350499997</v>
      </c>
      <c r="BC57">
        <v>100.311768902</v>
      </c>
      <c r="BD57">
        <v>98.382726626600004</v>
      </c>
      <c r="BE57">
        <v>119.91289807299999</v>
      </c>
      <c r="BF57">
        <v>102.812042713</v>
      </c>
      <c r="BG57">
        <v>103.13991228499999</v>
      </c>
      <c r="BH57">
        <v>120.83566384300001</v>
      </c>
      <c r="BI57">
        <v>126.884982182</v>
      </c>
      <c r="BJ57">
        <v>114.52242626100001</v>
      </c>
      <c r="BK57">
        <v>90.833098528199997</v>
      </c>
      <c r="BL57">
        <v>99.608056309299997</v>
      </c>
      <c r="BM57">
        <v>99.837227490900005</v>
      </c>
      <c r="BN57">
        <v>102.69900643</v>
      </c>
      <c r="BO57">
        <v>127.511139552</v>
      </c>
      <c r="BP57">
        <v>95.960336506999994</v>
      </c>
      <c r="BQ57">
        <v>138.175743923</v>
      </c>
      <c r="BR57">
        <v>115.20503170400001</v>
      </c>
      <c r="BS57">
        <v>88.948030854600006</v>
      </c>
      <c r="BT57">
        <v>113.924015224</v>
      </c>
      <c r="BU57">
        <v>109.350377223</v>
      </c>
      <c r="BV57">
        <v>130.13719450400001</v>
      </c>
      <c r="BW57">
        <v>112.427032286</v>
      </c>
      <c r="BX57">
        <v>119.75618826100001</v>
      </c>
      <c r="BY57">
        <v>120.377162021</v>
      </c>
      <c r="BZ57">
        <v>104.60925457499999</v>
      </c>
      <c r="CA57">
        <v>92.904887694799996</v>
      </c>
      <c r="CB57">
        <v>100.932628503</v>
      </c>
      <c r="CC57">
        <v>93.054692371200005</v>
      </c>
      <c r="CD57">
        <v>113.00723336999999</v>
      </c>
      <c r="CE57">
        <v>126.95602024199999</v>
      </c>
      <c r="CF57">
        <v>128.81856997700001</v>
      </c>
      <c r="CG57">
        <v>96.959567217499995</v>
      </c>
      <c r="CH57">
        <v>73.386479427899999</v>
      </c>
      <c r="CI57">
        <v>127.346843718</v>
      </c>
      <c r="CJ57">
        <v>109.03924187600001</v>
      </c>
      <c r="CK57">
        <v>101.59281244500001</v>
      </c>
      <c r="CL57">
        <v>103.04665406399999</v>
      </c>
      <c r="CM57">
        <v>86.560162450899995</v>
      </c>
      <c r="CN57">
        <v>99.357688494499996</v>
      </c>
      <c r="CO57">
        <v>108.34490466</v>
      </c>
      <c r="CP57">
        <v>99.721752597000005</v>
      </c>
      <c r="CQ57">
        <v>78.663111855099999</v>
      </c>
      <c r="CR57">
        <v>92.478047578399995</v>
      </c>
      <c r="CS57">
        <v>87.863481986899998</v>
      </c>
      <c r="CT57">
        <v>82.870662630200002</v>
      </c>
      <c r="CU57">
        <v>131.53698026500001</v>
      </c>
      <c r="CV57">
        <v>100.21397646200001</v>
      </c>
      <c r="CW57">
        <v>111.95137174600001</v>
      </c>
      <c r="CX57">
        <v>102.285085193</v>
      </c>
      <c r="CY57">
        <v>124.877744921</v>
      </c>
      <c r="CZ57">
        <v>119.301967394</v>
      </c>
      <c r="DA57">
        <v>104.77975543399999</v>
      </c>
    </row>
    <row r="58" spans="5:105" x14ac:dyDescent="0.25">
      <c r="E58">
        <f>S_plus!L58</f>
        <v>0.56000000000000028</v>
      </c>
      <c r="F58">
        <v>104.93745541200001</v>
      </c>
      <c r="G58">
        <v>111.885812742</v>
      </c>
      <c r="H58">
        <v>97.722287458300002</v>
      </c>
      <c r="I58">
        <v>112.443312109</v>
      </c>
      <c r="J58">
        <v>135.15024361799999</v>
      </c>
      <c r="K58">
        <v>116.465792725</v>
      </c>
      <c r="L58">
        <v>91.393697216899994</v>
      </c>
      <c r="M58">
        <v>139.92754458499999</v>
      </c>
      <c r="N58">
        <v>96.311761245100001</v>
      </c>
      <c r="O58">
        <v>94.050707261699998</v>
      </c>
      <c r="P58">
        <v>103.03128240700001</v>
      </c>
      <c r="Q58">
        <v>89.384105222900004</v>
      </c>
      <c r="R58">
        <v>114.187010693</v>
      </c>
      <c r="S58">
        <v>92.740838986200004</v>
      </c>
      <c r="T58">
        <v>96.547025265200006</v>
      </c>
      <c r="U58">
        <v>93.053605974899995</v>
      </c>
      <c r="V58">
        <v>133.448096295</v>
      </c>
      <c r="W58">
        <v>105.991841071</v>
      </c>
      <c r="X58">
        <v>74.393491364300004</v>
      </c>
      <c r="Y58">
        <v>82.188084377799996</v>
      </c>
      <c r="Z58">
        <v>93.077991999299996</v>
      </c>
      <c r="AA58">
        <v>83.709281651500007</v>
      </c>
      <c r="AB58">
        <v>112.613393911</v>
      </c>
      <c r="AC58">
        <v>127.863173066</v>
      </c>
      <c r="AD58">
        <v>90.966518145199998</v>
      </c>
      <c r="AE58">
        <v>102.465786319</v>
      </c>
      <c r="AF58">
        <v>110.880843939</v>
      </c>
      <c r="AG58">
        <v>94.943562070200002</v>
      </c>
      <c r="AH58">
        <v>109.702958302</v>
      </c>
      <c r="AI58">
        <v>117.566417062</v>
      </c>
      <c r="AJ58">
        <v>83.553748849000002</v>
      </c>
      <c r="AK58">
        <v>109.794504301</v>
      </c>
      <c r="AL58">
        <v>84.872886671399996</v>
      </c>
      <c r="AM58">
        <v>108.73835547500001</v>
      </c>
      <c r="AN58">
        <v>92.130429152999994</v>
      </c>
      <c r="AO58">
        <v>85.573246920200006</v>
      </c>
      <c r="AP58">
        <v>83.345456076100007</v>
      </c>
      <c r="AQ58">
        <v>103.822456722</v>
      </c>
      <c r="AR58">
        <v>100.638871147</v>
      </c>
      <c r="AS58">
        <v>83.267125715399999</v>
      </c>
      <c r="AT58">
        <v>89.391713313099999</v>
      </c>
      <c r="AU58">
        <v>108.117121595</v>
      </c>
      <c r="AV58">
        <v>92.841573207300002</v>
      </c>
      <c r="AW58">
        <v>97.758138430700001</v>
      </c>
      <c r="AX58">
        <v>99.327129542099996</v>
      </c>
      <c r="AY58">
        <v>116.541586053</v>
      </c>
      <c r="AZ58">
        <v>106.43734209</v>
      </c>
      <c r="BA58">
        <v>100.00298549</v>
      </c>
      <c r="BB58">
        <v>101.044972695</v>
      </c>
      <c r="BC58">
        <v>99.478706898599995</v>
      </c>
      <c r="BD58">
        <v>100.901324574</v>
      </c>
      <c r="BE58">
        <v>116.723922712</v>
      </c>
      <c r="BF58">
        <v>101.173485145</v>
      </c>
      <c r="BG58">
        <v>100.927576102</v>
      </c>
      <c r="BH58">
        <v>118.740416896</v>
      </c>
      <c r="BI58">
        <v>128.99909335699999</v>
      </c>
      <c r="BJ58">
        <v>111.44833992300001</v>
      </c>
      <c r="BK58">
        <v>90.945181886399993</v>
      </c>
      <c r="BL58">
        <v>97.889207724100004</v>
      </c>
      <c r="BM58">
        <v>98.739702116000004</v>
      </c>
      <c r="BN58">
        <v>103.24606909000001</v>
      </c>
      <c r="BO58">
        <v>125.017891556</v>
      </c>
      <c r="BP58">
        <v>97.792313834400005</v>
      </c>
      <c r="BQ58">
        <v>138.73465050300001</v>
      </c>
      <c r="BR58">
        <v>114.042101109</v>
      </c>
      <c r="BS58">
        <v>88.837519375300005</v>
      </c>
      <c r="BT58">
        <v>110.05479866500001</v>
      </c>
      <c r="BU58">
        <v>105.96299703</v>
      </c>
      <c r="BV58">
        <v>132.89855292199999</v>
      </c>
      <c r="BW58">
        <v>112.300349174</v>
      </c>
      <c r="BX58">
        <v>118.81572147200001</v>
      </c>
      <c r="BY58">
        <v>123.80268054</v>
      </c>
      <c r="BZ58">
        <v>102.350495696</v>
      </c>
      <c r="CA58">
        <v>92.317529898700002</v>
      </c>
      <c r="CB58">
        <v>102.31767749700001</v>
      </c>
      <c r="CC58">
        <v>92.602135523800001</v>
      </c>
      <c r="CD58">
        <v>112.954257371</v>
      </c>
      <c r="CE58">
        <v>126.256354507</v>
      </c>
      <c r="CF58">
        <v>123.97723847100001</v>
      </c>
      <c r="CG58">
        <v>99.249665058900007</v>
      </c>
      <c r="CH58">
        <v>73.652541102699999</v>
      </c>
      <c r="CI58">
        <v>125.779081236</v>
      </c>
      <c r="CJ58">
        <v>111.470480548</v>
      </c>
      <c r="CK58">
        <v>101.73400210699999</v>
      </c>
      <c r="CL58">
        <v>103.65992224199999</v>
      </c>
      <c r="CM58">
        <v>85.786149390199995</v>
      </c>
      <c r="CN58">
        <v>98.925259067499994</v>
      </c>
      <c r="CO58">
        <v>112.019418449</v>
      </c>
      <c r="CP58">
        <v>98.256202459099995</v>
      </c>
      <c r="CQ58">
        <v>79.028699267299999</v>
      </c>
      <c r="CR58">
        <v>93.807801950699996</v>
      </c>
      <c r="CS58">
        <v>84.313471811100001</v>
      </c>
      <c r="CT58">
        <v>83.054778559900001</v>
      </c>
      <c r="CU58">
        <v>130.66745261200001</v>
      </c>
      <c r="CV58">
        <v>99.472206872599997</v>
      </c>
      <c r="CW58">
        <v>110.97440867100001</v>
      </c>
      <c r="CX58">
        <v>106.872356275</v>
      </c>
      <c r="CY58">
        <v>125.133124646</v>
      </c>
      <c r="CZ58">
        <v>119.27330337799999</v>
      </c>
      <c r="DA58">
        <v>104.813042521</v>
      </c>
    </row>
    <row r="59" spans="5:105" x14ac:dyDescent="0.25">
      <c r="E59">
        <f>S_plus!L59</f>
        <v>0.57000000000000028</v>
      </c>
      <c r="F59">
        <v>108.739943901</v>
      </c>
      <c r="G59">
        <v>110.657736977</v>
      </c>
      <c r="H59">
        <v>98.343310146199997</v>
      </c>
      <c r="I59">
        <v>111.92903185</v>
      </c>
      <c r="J59">
        <v>134.424669921</v>
      </c>
      <c r="K59">
        <v>118.091296677</v>
      </c>
      <c r="L59">
        <v>94.694990309600001</v>
      </c>
      <c r="M59">
        <v>138.75549134299999</v>
      </c>
      <c r="N59">
        <v>99.398652339400002</v>
      </c>
      <c r="O59">
        <v>92.624818225200002</v>
      </c>
      <c r="P59">
        <v>102.29088129500001</v>
      </c>
      <c r="Q59">
        <v>88.412563823599996</v>
      </c>
      <c r="R59">
        <v>111.828647234</v>
      </c>
      <c r="S59">
        <v>91.755499357199994</v>
      </c>
      <c r="T59">
        <v>93.441664162699993</v>
      </c>
      <c r="U59">
        <v>93.544453267199998</v>
      </c>
      <c r="V59">
        <v>138.11015067299999</v>
      </c>
      <c r="W59">
        <v>104.27973545099999</v>
      </c>
      <c r="X59">
        <v>73.983605582999999</v>
      </c>
      <c r="Y59">
        <v>82.036438944699995</v>
      </c>
      <c r="Z59">
        <v>93.095518906500004</v>
      </c>
      <c r="AA59">
        <v>83.200045216099994</v>
      </c>
      <c r="AB59">
        <v>111.12257861499999</v>
      </c>
      <c r="AC59">
        <v>124.20457119</v>
      </c>
      <c r="AD59">
        <v>93.005307153999993</v>
      </c>
      <c r="AE59">
        <v>99.742341483900006</v>
      </c>
      <c r="AF59">
        <v>114.151301061</v>
      </c>
      <c r="AG59">
        <v>98.339274279600005</v>
      </c>
      <c r="AH59">
        <v>110.369115792</v>
      </c>
      <c r="AI59">
        <v>120.46455577899999</v>
      </c>
      <c r="AJ59">
        <v>84.071800086699994</v>
      </c>
      <c r="AK59">
        <v>107.026649601</v>
      </c>
      <c r="AL59">
        <v>81.049553853299997</v>
      </c>
      <c r="AM59">
        <v>113.622124118</v>
      </c>
      <c r="AN59">
        <v>92.224070813300003</v>
      </c>
      <c r="AO59">
        <v>83.689002626199994</v>
      </c>
      <c r="AP59">
        <v>85.0738070564</v>
      </c>
      <c r="AQ59">
        <v>103.849413619</v>
      </c>
      <c r="AR59">
        <v>100.032342012</v>
      </c>
      <c r="AS59">
        <v>82.773339507700001</v>
      </c>
      <c r="AT59">
        <v>87.883181608599998</v>
      </c>
      <c r="AU59">
        <v>102.899172314</v>
      </c>
      <c r="AV59">
        <v>90.1299000466</v>
      </c>
      <c r="AW59">
        <v>99.233904272499998</v>
      </c>
      <c r="AX59">
        <v>98.173980416399999</v>
      </c>
      <c r="AY59">
        <v>113.40886911299999</v>
      </c>
      <c r="AZ59">
        <v>105.38256961</v>
      </c>
      <c r="BA59">
        <v>102.285939834</v>
      </c>
      <c r="BB59">
        <v>100.395082211</v>
      </c>
      <c r="BC59">
        <v>97.682718206100006</v>
      </c>
      <c r="BD59">
        <v>102.160235644</v>
      </c>
      <c r="BE59">
        <v>115.515739268</v>
      </c>
      <c r="BF59">
        <v>97.892133018600006</v>
      </c>
      <c r="BG59">
        <v>101.357257205</v>
      </c>
      <c r="BH59">
        <v>117.889691527</v>
      </c>
      <c r="BI59">
        <v>127.499808988</v>
      </c>
      <c r="BJ59">
        <v>110.086924525</v>
      </c>
      <c r="BK59">
        <v>92.010958173199995</v>
      </c>
      <c r="BL59">
        <v>94.155722888</v>
      </c>
      <c r="BM59">
        <v>98.684532732999998</v>
      </c>
      <c r="BN59">
        <v>104.97181901499999</v>
      </c>
      <c r="BO59">
        <v>125.073589779</v>
      </c>
      <c r="BP59">
        <v>98.956860404300002</v>
      </c>
      <c r="BQ59">
        <v>139.69019491500001</v>
      </c>
      <c r="BR59">
        <v>115.304746231</v>
      </c>
      <c r="BS59">
        <v>87.884732123600003</v>
      </c>
      <c r="BT59">
        <v>111.86297582900001</v>
      </c>
      <c r="BU59">
        <v>106.88260853600001</v>
      </c>
      <c r="BV59">
        <v>131.075574163</v>
      </c>
      <c r="BW59">
        <v>111.488947215</v>
      </c>
      <c r="BX59">
        <v>121.061448494</v>
      </c>
      <c r="BY59">
        <v>125.638946199</v>
      </c>
      <c r="BZ59">
        <v>104.984457385</v>
      </c>
      <c r="CA59">
        <v>96.045188633099997</v>
      </c>
      <c r="CB59">
        <v>104.288144804</v>
      </c>
      <c r="CC59">
        <v>94.631547356400006</v>
      </c>
      <c r="CD59">
        <v>108.969401756</v>
      </c>
      <c r="CE59">
        <v>126.32695374799999</v>
      </c>
      <c r="CF59">
        <v>119.786711447</v>
      </c>
      <c r="CG59">
        <v>97.755431840900002</v>
      </c>
      <c r="CH59">
        <v>71.288311172500002</v>
      </c>
      <c r="CI59">
        <v>126.404207791</v>
      </c>
      <c r="CJ59">
        <v>113.218842396</v>
      </c>
      <c r="CK59">
        <v>100.872472062</v>
      </c>
      <c r="CL59">
        <v>102.18217495499999</v>
      </c>
      <c r="CM59">
        <v>82.233466192899996</v>
      </c>
      <c r="CN59">
        <v>99.887769487400007</v>
      </c>
      <c r="CO59">
        <v>114.185732806</v>
      </c>
      <c r="CP59">
        <v>97.318646344399994</v>
      </c>
      <c r="CQ59">
        <v>80.391134638300002</v>
      </c>
      <c r="CR59">
        <v>91.0437719552</v>
      </c>
      <c r="CS59">
        <v>88.382241467200004</v>
      </c>
      <c r="CT59">
        <v>81.432930808199998</v>
      </c>
      <c r="CU59">
        <v>130.36375425899999</v>
      </c>
      <c r="CV59">
        <v>98.825701893100003</v>
      </c>
      <c r="CW59">
        <v>109.71099063600001</v>
      </c>
      <c r="CX59">
        <v>106.268978206</v>
      </c>
      <c r="CY59">
        <v>122.685934233</v>
      </c>
      <c r="CZ59">
        <v>123.224116412</v>
      </c>
      <c r="DA59">
        <v>106.61374300600001</v>
      </c>
    </row>
    <row r="60" spans="5:105" x14ac:dyDescent="0.25">
      <c r="E60">
        <f>S_plus!L60</f>
        <v>0.58000000000000029</v>
      </c>
      <c r="F60">
        <v>114.02762149500001</v>
      </c>
      <c r="G60">
        <v>110.600964683</v>
      </c>
      <c r="H60">
        <v>98.218626632300001</v>
      </c>
      <c r="I60">
        <v>108.971820401</v>
      </c>
      <c r="J60">
        <v>137.33649800800001</v>
      </c>
      <c r="K60">
        <v>117.716420386</v>
      </c>
      <c r="L60">
        <v>97.271333945600006</v>
      </c>
      <c r="M60">
        <v>138.48518529500001</v>
      </c>
      <c r="N60">
        <v>101.09880456099999</v>
      </c>
      <c r="O60">
        <v>90.195358155799994</v>
      </c>
      <c r="P60">
        <v>101.252642756</v>
      </c>
      <c r="Q60">
        <v>90.9096145476</v>
      </c>
      <c r="R60">
        <v>112.97755027700001</v>
      </c>
      <c r="S60">
        <v>92.220772152699993</v>
      </c>
      <c r="T60">
        <v>98.077164017300007</v>
      </c>
      <c r="U60">
        <v>93.967853426399998</v>
      </c>
      <c r="V60">
        <v>134.725155336</v>
      </c>
      <c r="W60">
        <v>102.413544508</v>
      </c>
      <c r="X60">
        <v>72.714467482499998</v>
      </c>
      <c r="Y60">
        <v>78.749043526299999</v>
      </c>
      <c r="Z60">
        <v>97.384110466799996</v>
      </c>
      <c r="AA60">
        <v>84.170129187000001</v>
      </c>
      <c r="AB60">
        <v>114.246288811</v>
      </c>
      <c r="AC60">
        <v>124.689496029</v>
      </c>
      <c r="AD60">
        <v>91.921651878099993</v>
      </c>
      <c r="AE60">
        <v>98.082876581400001</v>
      </c>
      <c r="AF60">
        <v>117.616946066</v>
      </c>
      <c r="AG60">
        <v>101.35282258300001</v>
      </c>
      <c r="AH60">
        <v>106.17886158</v>
      </c>
      <c r="AI60">
        <v>123.052455345</v>
      </c>
      <c r="AJ60">
        <v>82.589368230100007</v>
      </c>
      <c r="AK60">
        <v>105.97558965100001</v>
      </c>
      <c r="AL60">
        <v>81.880090436299994</v>
      </c>
      <c r="AM60">
        <v>115.94448008800001</v>
      </c>
      <c r="AN60">
        <v>93.636674744900006</v>
      </c>
      <c r="AO60">
        <v>83.490678692100005</v>
      </c>
      <c r="AP60">
        <v>85.040356202200002</v>
      </c>
      <c r="AQ60">
        <v>102.263561037</v>
      </c>
      <c r="AR60">
        <v>101.251123002</v>
      </c>
      <c r="AS60">
        <v>80.899272946500005</v>
      </c>
      <c r="AT60">
        <v>84.282104246800003</v>
      </c>
      <c r="AU60">
        <v>99.178561556800005</v>
      </c>
      <c r="AV60">
        <v>90.304257898900005</v>
      </c>
      <c r="AW60">
        <v>99.192901519599999</v>
      </c>
      <c r="AX60">
        <v>97.999929398199995</v>
      </c>
      <c r="AY60">
        <v>114.827820923</v>
      </c>
      <c r="AZ60">
        <v>108.250905911</v>
      </c>
      <c r="BA60">
        <v>102.666860856</v>
      </c>
      <c r="BB60">
        <v>99.972485892500004</v>
      </c>
      <c r="BC60">
        <v>96.657991865300005</v>
      </c>
      <c r="BD60">
        <v>99.4192505141</v>
      </c>
      <c r="BE60">
        <v>124.25289220400001</v>
      </c>
      <c r="BF60">
        <v>98.5404290229</v>
      </c>
      <c r="BG60">
        <v>100.869104126</v>
      </c>
      <c r="BH60">
        <v>114.517312344</v>
      </c>
      <c r="BI60">
        <v>125.170269179</v>
      </c>
      <c r="BJ60">
        <v>110.056386917</v>
      </c>
      <c r="BK60">
        <v>93.475880896199996</v>
      </c>
      <c r="BL60">
        <v>92.859162486900004</v>
      </c>
      <c r="BM60">
        <v>99.612787925299997</v>
      </c>
      <c r="BN60">
        <v>104.575584792</v>
      </c>
      <c r="BO60">
        <v>124.376599025</v>
      </c>
      <c r="BP60">
        <v>101.620590875</v>
      </c>
      <c r="BQ60">
        <v>144.78393524500001</v>
      </c>
      <c r="BR60">
        <v>110.810194056</v>
      </c>
      <c r="BS60">
        <v>88.898768221300003</v>
      </c>
      <c r="BT60">
        <v>112.64441812699999</v>
      </c>
      <c r="BU60">
        <v>100.949501768</v>
      </c>
      <c r="BV60">
        <v>134.262709137</v>
      </c>
      <c r="BW60">
        <v>107.756483937</v>
      </c>
      <c r="BX60">
        <v>121.901972477</v>
      </c>
      <c r="BY60">
        <v>123.06075351299999</v>
      </c>
      <c r="BZ60">
        <v>106.45256393</v>
      </c>
      <c r="CA60">
        <v>93.049078145199999</v>
      </c>
      <c r="CB60">
        <v>107.02218893600001</v>
      </c>
      <c r="CC60">
        <v>93.483043408599997</v>
      </c>
      <c r="CD60">
        <v>110.690808229</v>
      </c>
      <c r="CE60">
        <v>123.37385627499999</v>
      </c>
      <c r="CF60">
        <v>119.967717763</v>
      </c>
      <c r="CG60">
        <v>95.173154119399996</v>
      </c>
      <c r="CH60">
        <v>71.645588934100005</v>
      </c>
      <c r="CI60">
        <v>125.92383769200001</v>
      </c>
      <c r="CJ60">
        <v>111.900811625</v>
      </c>
      <c r="CK60">
        <v>101.289057372</v>
      </c>
      <c r="CL60">
        <v>102.59308427400001</v>
      </c>
      <c r="CM60">
        <v>80.665011516800007</v>
      </c>
      <c r="CN60">
        <v>101.23169259700001</v>
      </c>
      <c r="CO60">
        <v>114.221176423</v>
      </c>
      <c r="CP60">
        <v>98.096629659300007</v>
      </c>
      <c r="CQ60">
        <v>82.845989659300002</v>
      </c>
      <c r="CR60">
        <v>92.317209806899996</v>
      </c>
      <c r="CS60">
        <v>89.283971667800003</v>
      </c>
      <c r="CT60">
        <v>81.277639182300007</v>
      </c>
      <c r="CU60">
        <v>131.32928374100001</v>
      </c>
      <c r="CV60">
        <v>98.301962355000001</v>
      </c>
      <c r="CW60">
        <v>111.02591241899999</v>
      </c>
      <c r="CX60">
        <v>107.77410729100001</v>
      </c>
      <c r="CY60">
        <v>127.255302151</v>
      </c>
      <c r="CZ60">
        <v>122.789017352</v>
      </c>
      <c r="DA60">
        <v>103.850291919</v>
      </c>
    </row>
    <row r="61" spans="5:105" x14ac:dyDescent="0.25">
      <c r="E61">
        <f>S_plus!L61</f>
        <v>0.5900000000000003</v>
      </c>
      <c r="F61">
        <v>112.312970577</v>
      </c>
      <c r="G61">
        <v>112.588724786</v>
      </c>
      <c r="H61">
        <v>97.745569410200005</v>
      </c>
      <c r="I61">
        <v>109.65004496</v>
      </c>
      <c r="J61">
        <v>140.07372291799999</v>
      </c>
      <c r="K61">
        <v>116.88107741100001</v>
      </c>
      <c r="L61">
        <v>96.868112285099997</v>
      </c>
      <c r="M61">
        <v>137.21814430800001</v>
      </c>
      <c r="N61">
        <v>99.690916229300001</v>
      </c>
      <c r="O61">
        <v>89.817326987300007</v>
      </c>
      <c r="P61">
        <v>97.582594777599994</v>
      </c>
      <c r="Q61">
        <v>94.461223868499999</v>
      </c>
      <c r="R61">
        <v>112.17195762599999</v>
      </c>
      <c r="S61">
        <v>92.241579804799997</v>
      </c>
      <c r="T61">
        <v>98.557764185400003</v>
      </c>
      <c r="U61">
        <v>93.821836058499997</v>
      </c>
      <c r="V61">
        <v>134.439398853</v>
      </c>
      <c r="W61">
        <v>101.113270206</v>
      </c>
      <c r="X61">
        <v>71.691973426100006</v>
      </c>
      <c r="Y61">
        <v>79.924856094800006</v>
      </c>
      <c r="Z61">
        <v>95.574976161899997</v>
      </c>
      <c r="AA61">
        <v>84.227269880400002</v>
      </c>
      <c r="AB61">
        <v>115.86119170000001</v>
      </c>
      <c r="AC61">
        <v>124.219592373</v>
      </c>
      <c r="AD61">
        <v>91.242563212600004</v>
      </c>
      <c r="AE61">
        <v>99.6526384979</v>
      </c>
      <c r="AF61">
        <v>117.61024704099999</v>
      </c>
      <c r="AG61">
        <v>101.675744635</v>
      </c>
      <c r="AH61">
        <v>107.872777423</v>
      </c>
      <c r="AI61">
        <v>121.77958089800001</v>
      </c>
      <c r="AJ61">
        <v>85.921979727799993</v>
      </c>
      <c r="AK61">
        <v>107.06283068899999</v>
      </c>
      <c r="AL61">
        <v>79.120372273000001</v>
      </c>
      <c r="AM61">
        <v>118.12648012</v>
      </c>
      <c r="AN61">
        <v>94.733779553399998</v>
      </c>
      <c r="AO61">
        <v>83.061730306000001</v>
      </c>
      <c r="AP61">
        <v>86.351236774399993</v>
      </c>
      <c r="AQ61">
        <v>98.378337345099993</v>
      </c>
      <c r="AR61">
        <v>101.381958279</v>
      </c>
      <c r="AS61">
        <v>81.543781185900002</v>
      </c>
      <c r="AT61">
        <v>85.057331403600003</v>
      </c>
      <c r="AU61">
        <v>96.283129353199996</v>
      </c>
      <c r="AV61">
        <v>90.887121646799997</v>
      </c>
      <c r="AW61">
        <v>97.748072187099993</v>
      </c>
      <c r="AX61">
        <v>98.016231840700001</v>
      </c>
      <c r="AY61">
        <v>119.253960492</v>
      </c>
      <c r="AZ61">
        <v>109.2440435</v>
      </c>
      <c r="BA61">
        <v>103.98384528299999</v>
      </c>
      <c r="BB61">
        <v>100.299367519</v>
      </c>
      <c r="BC61">
        <v>96.247686106800003</v>
      </c>
      <c r="BD61">
        <v>98.847573302699999</v>
      </c>
      <c r="BE61">
        <v>121.189785071</v>
      </c>
      <c r="BF61">
        <v>98.071221861200002</v>
      </c>
      <c r="BG61">
        <v>99.737390040799994</v>
      </c>
      <c r="BH61">
        <v>114.022357719</v>
      </c>
      <c r="BI61">
        <v>125.36815432500001</v>
      </c>
      <c r="BJ61">
        <v>106.420216147</v>
      </c>
      <c r="BK61">
        <v>95.317609638999997</v>
      </c>
      <c r="BL61">
        <v>88.0450138522</v>
      </c>
      <c r="BM61">
        <v>98.920718651499996</v>
      </c>
      <c r="BN61">
        <v>106.28610306100001</v>
      </c>
      <c r="BO61">
        <v>123.330774228</v>
      </c>
      <c r="BP61">
        <v>101.280140178</v>
      </c>
      <c r="BQ61">
        <v>146.083348968</v>
      </c>
      <c r="BR61">
        <v>107.065868443</v>
      </c>
      <c r="BS61">
        <v>88.628992949299999</v>
      </c>
      <c r="BT61">
        <v>118.191755869</v>
      </c>
      <c r="BU61">
        <v>101.408593258</v>
      </c>
      <c r="BV61">
        <v>130.991397549</v>
      </c>
      <c r="BW61">
        <v>108.398970358</v>
      </c>
      <c r="BX61">
        <v>123.818489996</v>
      </c>
      <c r="BY61">
        <v>124.061907175</v>
      </c>
      <c r="BZ61">
        <v>108.325219975</v>
      </c>
      <c r="CA61">
        <v>88.310027476800002</v>
      </c>
      <c r="CB61">
        <v>109.066963636</v>
      </c>
      <c r="CC61">
        <v>95.516893985199999</v>
      </c>
      <c r="CD61">
        <v>106.790428889</v>
      </c>
      <c r="CE61">
        <v>124.3961091</v>
      </c>
      <c r="CF61">
        <v>117.911897983</v>
      </c>
      <c r="CG61">
        <v>97.680638005099993</v>
      </c>
      <c r="CH61">
        <v>70.487556679099995</v>
      </c>
      <c r="CI61">
        <v>123.120848407</v>
      </c>
      <c r="CJ61">
        <v>110.832547972</v>
      </c>
      <c r="CK61">
        <v>101.831554608</v>
      </c>
      <c r="CL61">
        <v>105.07812288</v>
      </c>
      <c r="CM61">
        <v>77.349644341000001</v>
      </c>
      <c r="CN61">
        <v>100.012772485</v>
      </c>
      <c r="CO61">
        <v>115.900866959</v>
      </c>
      <c r="CP61">
        <v>97.834465881300005</v>
      </c>
      <c r="CQ61">
        <v>82.125705043599993</v>
      </c>
      <c r="CR61">
        <v>92.956477601299994</v>
      </c>
      <c r="CS61">
        <v>91.429355181000005</v>
      </c>
      <c r="CT61">
        <v>81.328065484199996</v>
      </c>
      <c r="CU61">
        <v>132.34896788399999</v>
      </c>
      <c r="CV61">
        <v>100.25749685</v>
      </c>
      <c r="CW61">
        <v>112.814220445</v>
      </c>
      <c r="CX61">
        <v>110.113180747</v>
      </c>
      <c r="CY61">
        <v>125.414435082</v>
      </c>
      <c r="CZ61">
        <v>124.695363837</v>
      </c>
      <c r="DA61">
        <v>104.10480366500001</v>
      </c>
    </row>
    <row r="62" spans="5:105" x14ac:dyDescent="0.25">
      <c r="E62">
        <f>S_plus!L62</f>
        <v>0.60000000000000031</v>
      </c>
      <c r="F62">
        <v>112.348523215</v>
      </c>
      <c r="G62">
        <v>111.022150537</v>
      </c>
      <c r="H62">
        <v>99.789788364000003</v>
      </c>
      <c r="I62">
        <v>108.312266599</v>
      </c>
      <c r="J62">
        <v>143.567081398</v>
      </c>
      <c r="K62">
        <v>116.54626796300001</v>
      </c>
      <c r="L62">
        <v>96.2274599661</v>
      </c>
      <c r="M62">
        <v>134.98737664699999</v>
      </c>
      <c r="N62">
        <v>100.894271606</v>
      </c>
      <c r="O62">
        <v>89.685499554900005</v>
      </c>
      <c r="P62">
        <v>97.110367157900001</v>
      </c>
      <c r="Q62">
        <v>96.991192655000006</v>
      </c>
      <c r="R62">
        <v>112.31968841299999</v>
      </c>
      <c r="S62">
        <v>92.066864376799998</v>
      </c>
      <c r="T62">
        <v>101.650715085</v>
      </c>
      <c r="U62">
        <v>96.071402973900007</v>
      </c>
      <c r="V62">
        <v>133.36238640600001</v>
      </c>
      <c r="W62">
        <v>100.316805543</v>
      </c>
      <c r="X62">
        <v>71.892318072099997</v>
      </c>
      <c r="Y62">
        <v>76.811307910400004</v>
      </c>
      <c r="Z62">
        <v>93.903675154200002</v>
      </c>
      <c r="AA62">
        <v>81.2664379422</v>
      </c>
      <c r="AB62">
        <v>115.495484007</v>
      </c>
      <c r="AC62">
        <v>126.025300913</v>
      </c>
      <c r="AD62">
        <v>92.811367793900004</v>
      </c>
      <c r="AE62">
        <v>99.929106248799997</v>
      </c>
      <c r="AF62">
        <v>115.877004054</v>
      </c>
      <c r="AG62">
        <v>103.12555591900001</v>
      </c>
      <c r="AH62">
        <v>107.934945273</v>
      </c>
      <c r="AI62">
        <v>120.32841738099999</v>
      </c>
      <c r="AJ62">
        <v>86.133044356599996</v>
      </c>
      <c r="AK62">
        <v>103.87401312599999</v>
      </c>
      <c r="AL62">
        <v>79.257180491900002</v>
      </c>
      <c r="AM62">
        <v>118.78714723100001</v>
      </c>
      <c r="AN62">
        <v>96.378586188699998</v>
      </c>
      <c r="AO62">
        <v>82.977542314199994</v>
      </c>
      <c r="AP62">
        <v>89.251194095900004</v>
      </c>
      <c r="AQ62">
        <v>100.06383134399999</v>
      </c>
      <c r="AR62">
        <v>107.02729317799999</v>
      </c>
      <c r="AS62">
        <v>80.691120407900002</v>
      </c>
      <c r="AT62">
        <v>89.735721595000001</v>
      </c>
      <c r="AU62">
        <v>95.210014882099998</v>
      </c>
      <c r="AV62">
        <v>91.213031496799999</v>
      </c>
      <c r="AW62">
        <v>94.5413885647</v>
      </c>
      <c r="AX62">
        <v>99.693161752400002</v>
      </c>
      <c r="AY62">
        <v>124.74628637799999</v>
      </c>
      <c r="AZ62">
        <v>114.672648639</v>
      </c>
      <c r="BA62">
        <v>100.98958140800001</v>
      </c>
      <c r="BB62">
        <v>96.728896253100004</v>
      </c>
      <c r="BC62">
        <v>97.583435737200006</v>
      </c>
      <c r="BD62">
        <v>100.994603916</v>
      </c>
      <c r="BE62">
        <v>121.516866389</v>
      </c>
      <c r="BF62">
        <v>91.922776425400002</v>
      </c>
      <c r="BG62">
        <v>99.439052373699994</v>
      </c>
      <c r="BH62">
        <v>118.140669089</v>
      </c>
      <c r="BI62">
        <v>128.63308749000001</v>
      </c>
      <c r="BJ62">
        <v>110.197524266</v>
      </c>
      <c r="BK62">
        <v>92.459086043900001</v>
      </c>
      <c r="BL62">
        <v>88.995328213600004</v>
      </c>
      <c r="BM62">
        <v>97.594942781300006</v>
      </c>
      <c r="BN62">
        <v>105.214221267</v>
      </c>
      <c r="BO62">
        <v>123.89838969</v>
      </c>
      <c r="BP62">
        <v>101.311679525</v>
      </c>
      <c r="BQ62">
        <v>146.99583031200001</v>
      </c>
      <c r="BR62">
        <v>109.44211050299999</v>
      </c>
      <c r="BS62">
        <v>90.120230727000006</v>
      </c>
      <c r="BT62">
        <v>117.88432240900001</v>
      </c>
      <c r="BU62">
        <v>99.862500450200002</v>
      </c>
      <c r="BV62">
        <v>132.848397576</v>
      </c>
      <c r="BW62">
        <v>106.920272324</v>
      </c>
      <c r="BX62">
        <v>127.021570275</v>
      </c>
      <c r="BY62">
        <v>125.913827262</v>
      </c>
      <c r="BZ62">
        <v>112.96637966900001</v>
      </c>
      <c r="CA62">
        <v>87.873883416400005</v>
      </c>
      <c r="CB62">
        <v>109.882522854</v>
      </c>
      <c r="CC62">
        <v>94.654794211899997</v>
      </c>
      <c r="CD62">
        <v>109.48411402000001</v>
      </c>
      <c r="CE62">
        <v>126.83859379</v>
      </c>
      <c r="CF62">
        <v>117.37928105500001</v>
      </c>
      <c r="CG62">
        <v>97.043764050600004</v>
      </c>
      <c r="CH62">
        <v>70.517349156899996</v>
      </c>
      <c r="CI62">
        <v>119.613351235</v>
      </c>
      <c r="CJ62">
        <v>110.478277409</v>
      </c>
      <c r="CK62">
        <v>96.661459367500001</v>
      </c>
      <c r="CL62">
        <v>106.332644876</v>
      </c>
      <c r="CM62">
        <v>76.301444242299993</v>
      </c>
      <c r="CN62">
        <v>98.462833408799995</v>
      </c>
      <c r="CO62">
        <v>115.080542224</v>
      </c>
      <c r="CP62">
        <v>97.998496511599996</v>
      </c>
      <c r="CQ62">
        <v>81.861902932999996</v>
      </c>
      <c r="CR62">
        <v>93.371642812299996</v>
      </c>
      <c r="CS62">
        <v>93.069099693699997</v>
      </c>
      <c r="CT62">
        <v>81.939946052699995</v>
      </c>
      <c r="CU62">
        <v>132.18964210199999</v>
      </c>
      <c r="CV62">
        <v>99.785519931300001</v>
      </c>
      <c r="CW62">
        <v>113.261512321</v>
      </c>
      <c r="CX62">
        <v>109.60049830200001</v>
      </c>
      <c r="CY62">
        <v>128.77182190100001</v>
      </c>
      <c r="CZ62">
        <v>123.964037553</v>
      </c>
      <c r="DA62">
        <v>103.28473742600001</v>
      </c>
    </row>
    <row r="63" spans="5:105" x14ac:dyDescent="0.25">
      <c r="E63">
        <f>S_plus!L63</f>
        <v>0.61000000000000032</v>
      </c>
      <c r="F63">
        <v>113.61223520999999</v>
      </c>
      <c r="G63">
        <v>110.371654268</v>
      </c>
      <c r="H63">
        <v>102.76218351599999</v>
      </c>
      <c r="I63">
        <v>109.442289514</v>
      </c>
      <c r="J63">
        <v>144.23032391500001</v>
      </c>
      <c r="K63">
        <v>117.566556052</v>
      </c>
      <c r="L63">
        <v>97.216686040599996</v>
      </c>
      <c r="M63">
        <v>138.371000767</v>
      </c>
      <c r="N63">
        <v>99.227808620900007</v>
      </c>
      <c r="O63">
        <v>88.2944069773</v>
      </c>
      <c r="P63">
        <v>95.485295229299993</v>
      </c>
      <c r="Q63">
        <v>95.750099101000004</v>
      </c>
      <c r="R63">
        <v>117.800612839</v>
      </c>
      <c r="S63">
        <v>90.224513640400005</v>
      </c>
      <c r="T63">
        <v>100.52068649900001</v>
      </c>
      <c r="U63">
        <v>98.518876256699997</v>
      </c>
      <c r="V63">
        <v>125.92216966700001</v>
      </c>
      <c r="W63">
        <v>100.541984453</v>
      </c>
      <c r="X63">
        <v>74.192403369399997</v>
      </c>
      <c r="Y63">
        <v>75.377135233800004</v>
      </c>
      <c r="Z63">
        <v>90.755211954200007</v>
      </c>
      <c r="AA63">
        <v>80.576880090299994</v>
      </c>
      <c r="AB63">
        <v>120.11956904500001</v>
      </c>
      <c r="AC63">
        <v>125.05181725600001</v>
      </c>
      <c r="AD63">
        <v>91.067083648899995</v>
      </c>
      <c r="AE63">
        <v>98.320622986700002</v>
      </c>
      <c r="AF63">
        <v>112.034106076</v>
      </c>
      <c r="AG63">
        <v>106.8173656</v>
      </c>
      <c r="AH63">
        <v>109.19301217</v>
      </c>
      <c r="AI63">
        <v>122.555273982</v>
      </c>
      <c r="AJ63">
        <v>88.596884630900007</v>
      </c>
      <c r="AK63">
        <v>103.62760047</v>
      </c>
      <c r="AL63">
        <v>80.417224643899999</v>
      </c>
      <c r="AM63">
        <v>116.919702723</v>
      </c>
      <c r="AN63">
        <v>97.630777718999994</v>
      </c>
      <c r="AO63">
        <v>84.165336924399995</v>
      </c>
      <c r="AP63">
        <v>89.579065035699998</v>
      </c>
      <c r="AQ63">
        <v>100.1901349</v>
      </c>
      <c r="AR63">
        <v>106.92639570999999</v>
      </c>
      <c r="AS63">
        <v>78.653423685600004</v>
      </c>
      <c r="AT63">
        <v>91.304862738899999</v>
      </c>
      <c r="AU63">
        <v>93.915675141199998</v>
      </c>
      <c r="AV63">
        <v>90.978871363699994</v>
      </c>
      <c r="AW63">
        <v>93.0066579625</v>
      </c>
      <c r="AX63">
        <v>98.898311321400001</v>
      </c>
      <c r="AY63">
        <v>124.87305509700001</v>
      </c>
      <c r="AZ63">
        <v>114.899507657</v>
      </c>
      <c r="BA63">
        <v>99.723783795000003</v>
      </c>
      <c r="BB63">
        <v>98.153270257900004</v>
      </c>
      <c r="BC63">
        <v>98.841443150499998</v>
      </c>
      <c r="BD63">
        <v>100.669750087</v>
      </c>
      <c r="BE63">
        <v>123.317447085</v>
      </c>
      <c r="BF63">
        <v>91.839077143099999</v>
      </c>
      <c r="BG63">
        <v>94.949530172500005</v>
      </c>
      <c r="BH63">
        <v>115.309122762</v>
      </c>
      <c r="BI63">
        <v>131.80030518999999</v>
      </c>
      <c r="BJ63">
        <v>107.412796335</v>
      </c>
      <c r="BK63">
        <v>90.332266947999997</v>
      </c>
      <c r="BL63">
        <v>83.628986775499996</v>
      </c>
      <c r="BM63">
        <v>95.394140504999996</v>
      </c>
      <c r="BN63">
        <v>104.379055162</v>
      </c>
      <c r="BO63">
        <v>124.731582054</v>
      </c>
      <c r="BP63">
        <v>100.409344461</v>
      </c>
      <c r="BQ63">
        <v>144.36476323400001</v>
      </c>
      <c r="BR63">
        <v>109.106351585</v>
      </c>
      <c r="BS63">
        <v>90.225410877399995</v>
      </c>
      <c r="BT63">
        <v>119.64622440799999</v>
      </c>
      <c r="BU63">
        <v>105.508736095</v>
      </c>
      <c r="BV63">
        <v>131.35068911400001</v>
      </c>
      <c r="BW63">
        <v>104.307297299</v>
      </c>
      <c r="BX63">
        <v>126.327069368</v>
      </c>
      <c r="BY63">
        <v>124.088893371</v>
      </c>
      <c r="BZ63">
        <v>113.79001744200001</v>
      </c>
      <c r="CA63">
        <v>84.816355534500005</v>
      </c>
      <c r="CB63">
        <v>109.235461849</v>
      </c>
      <c r="CC63">
        <v>94.507409498100003</v>
      </c>
      <c r="CD63">
        <v>107.58250766899999</v>
      </c>
      <c r="CE63">
        <v>121.855374115</v>
      </c>
      <c r="CF63">
        <v>114.52915530600001</v>
      </c>
      <c r="CG63">
        <v>96.266785747</v>
      </c>
      <c r="CH63">
        <v>69.803491524899997</v>
      </c>
      <c r="CI63">
        <v>120.104368769</v>
      </c>
      <c r="CJ63">
        <v>110.58895782899999</v>
      </c>
      <c r="CK63">
        <v>95.055963870799999</v>
      </c>
      <c r="CL63">
        <v>108.18637309099999</v>
      </c>
      <c r="CM63">
        <v>79.563378742699996</v>
      </c>
      <c r="CN63">
        <v>99.755072000200002</v>
      </c>
      <c r="CO63">
        <v>120.20353426299999</v>
      </c>
      <c r="CP63">
        <v>96.601283703500002</v>
      </c>
      <c r="CQ63">
        <v>82.307172637999997</v>
      </c>
      <c r="CR63">
        <v>90.535830405599995</v>
      </c>
      <c r="CS63">
        <v>93.488552770200002</v>
      </c>
      <c r="CT63">
        <v>83.172104493700004</v>
      </c>
      <c r="CU63">
        <v>132.74816954900001</v>
      </c>
      <c r="CV63">
        <v>100.36686950000001</v>
      </c>
      <c r="CW63">
        <v>109.71600011300001</v>
      </c>
      <c r="CX63">
        <v>109.58140183499999</v>
      </c>
      <c r="CY63">
        <v>128.82075807800001</v>
      </c>
      <c r="CZ63">
        <v>121.760144625</v>
      </c>
      <c r="DA63">
        <v>101.4903235</v>
      </c>
    </row>
    <row r="64" spans="5:105" x14ac:dyDescent="0.25">
      <c r="E64">
        <f>S_plus!L64</f>
        <v>0.62000000000000033</v>
      </c>
      <c r="F64">
        <v>119.265086958</v>
      </c>
      <c r="G64">
        <v>112.54258368000001</v>
      </c>
      <c r="H64">
        <v>103.52077264499999</v>
      </c>
      <c r="I64">
        <v>110.196705889</v>
      </c>
      <c r="J64">
        <v>144.13118090500001</v>
      </c>
      <c r="K64">
        <v>118.74147433100001</v>
      </c>
      <c r="L64">
        <v>95.509767713200006</v>
      </c>
      <c r="M64">
        <v>135.38908049599999</v>
      </c>
      <c r="N64">
        <v>97.002524962999999</v>
      </c>
      <c r="O64">
        <v>88.402982577000003</v>
      </c>
      <c r="P64">
        <v>100.108782676</v>
      </c>
      <c r="Q64">
        <v>95.759930742500003</v>
      </c>
      <c r="R64">
        <v>117.37762192300001</v>
      </c>
      <c r="S64">
        <v>92.352984747899995</v>
      </c>
      <c r="T64">
        <v>98.207837389999995</v>
      </c>
      <c r="U64">
        <v>95.711639912899997</v>
      </c>
      <c r="V64">
        <v>123.754544713</v>
      </c>
      <c r="W64">
        <v>104.409554357</v>
      </c>
      <c r="X64">
        <v>74.107095947000005</v>
      </c>
      <c r="Y64">
        <v>73.439313283299995</v>
      </c>
      <c r="Z64">
        <v>89.777392976100003</v>
      </c>
      <c r="AA64">
        <v>81.714491695800007</v>
      </c>
      <c r="AB64">
        <v>122.275405775</v>
      </c>
      <c r="AC64">
        <v>128.43478827499999</v>
      </c>
      <c r="AD64">
        <v>93.216069215299996</v>
      </c>
      <c r="AE64">
        <v>97.873405379999994</v>
      </c>
      <c r="AF64">
        <v>114.282587869</v>
      </c>
      <c r="AG64">
        <v>107.796601923</v>
      </c>
      <c r="AH64">
        <v>111.02726197299999</v>
      </c>
      <c r="AI64">
        <v>125.187522352</v>
      </c>
      <c r="AJ64">
        <v>89.281419243399995</v>
      </c>
      <c r="AK64">
        <v>106.05689174</v>
      </c>
      <c r="AL64">
        <v>82.889845841799996</v>
      </c>
      <c r="AM64">
        <v>119.609349521</v>
      </c>
      <c r="AN64">
        <v>94.121138673399997</v>
      </c>
      <c r="AO64">
        <v>85.165452664900002</v>
      </c>
      <c r="AP64">
        <v>87.52515726</v>
      </c>
      <c r="AQ64">
        <v>98.152368038999995</v>
      </c>
      <c r="AR64">
        <v>103.832806551</v>
      </c>
      <c r="AS64">
        <v>79.384555587899996</v>
      </c>
      <c r="AT64">
        <v>89.648191938500005</v>
      </c>
      <c r="AU64">
        <v>95.389254176700007</v>
      </c>
      <c r="AV64">
        <v>87.441328071800001</v>
      </c>
      <c r="AW64">
        <v>92.530867450700001</v>
      </c>
      <c r="AX64">
        <v>100.45379108900001</v>
      </c>
      <c r="AY64">
        <v>122.634334998</v>
      </c>
      <c r="AZ64">
        <v>108.932266089</v>
      </c>
      <c r="BA64">
        <v>100.62563078399999</v>
      </c>
      <c r="BB64">
        <v>97.027222138499994</v>
      </c>
      <c r="BC64">
        <v>98.7902407001</v>
      </c>
      <c r="BD64">
        <v>100.528117388</v>
      </c>
      <c r="BE64">
        <v>124.432807497</v>
      </c>
      <c r="BF64">
        <v>90.963063011800003</v>
      </c>
      <c r="BG64">
        <v>96.728555057700007</v>
      </c>
      <c r="BH64">
        <v>112.70332444</v>
      </c>
      <c r="BI64">
        <v>129.56536365599999</v>
      </c>
      <c r="BJ64">
        <v>103.973087913</v>
      </c>
      <c r="BK64">
        <v>91.777163788999999</v>
      </c>
      <c r="BL64">
        <v>84.365169339199994</v>
      </c>
      <c r="BM64">
        <v>95.7043086937</v>
      </c>
      <c r="BN64">
        <v>105.072935499</v>
      </c>
      <c r="BO64">
        <v>124.695230759</v>
      </c>
      <c r="BP64">
        <v>100.604154026</v>
      </c>
      <c r="BQ64">
        <v>141.734706553</v>
      </c>
      <c r="BR64">
        <v>111.815698329</v>
      </c>
      <c r="BS64">
        <v>88.320914363900002</v>
      </c>
      <c r="BT64">
        <v>117.69013299300001</v>
      </c>
      <c r="BU64">
        <v>107.55534812400001</v>
      </c>
      <c r="BV64">
        <v>135.282387997</v>
      </c>
      <c r="BW64">
        <v>105.747786241</v>
      </c>
      <c r="BX64">
        <v>125.08066427599999</v>
      </c>
      <c r="BY64">
        <v>121.710869049</v>
      </c>
      <c r="BZ64">
        <v>111.301060445</v>
      </c>
      <c r="CA64">
        <v>81.353446554200005</v>
      </c>
      <c r="CB64">
        <v>107.17073574299999</v>
      </c>
      <c r="CC64">
        <v>98.275141554000001</v>
      </c>
      <c r="CD64">
        <v>109.124902784</v>
      </c>
      <c r="CE64">
        <v>127.26530977900001</v>
      </c>
      <c r="CF64">
        <v>112.324360144</v>
      </c>
      <c r="CG64">
        <v>93.986323939000002</v>
      </c>
      <c r="CH64">
        <v>70.958023852799997</v>
      </c>
      <c r="CI64">
        <v>116.38848206599999</v>
      </c>
      <c r="CJ64">
        <v>112.179636946</v>
      </c>
      <c r="CK64">
        <v>93.896332500100002</v>
      </c>
      <c r="CL64">
        <v>107.675224558</v>
      </c>
      <c r="CM64">
        <v>77.116750926500004</v>
      </c>
      <c r="CN64">
        <v>97.714592398299999</v>
      </c>
      <c r="CO64">
        <v>122.75034044</v>
      </c>
      <c r="CP64">
        <v>98.842686500300005</v>
      </c>
      <c r="CQ64">
        <v>82.610161910100004</v>
      </c>
      <c r="CR64">
        <v>90.999542995300004</v>
      </c>
      <c r="CS64">
        <v>91.216415042099996</v>
      </c>
      <c r="CT64">
        <v>84.637264018899998</v>
      </c>
      <c r="CU64">
        <v>133.19122093199999</v>
      </c>
      <c r="CV64">
        <v>101.51991796999999</v>
      </c>
      <c r="CW64">
        <v>110.611588969</v>
      </c>
      <c r="CX64">
        <v>107.892749569</v>
      </c>
      <c r="CY64">
        <v>129.395154682</v>
      </c>
      <c r="CZ64">
        <v>120.09871933399999</v>
      </c>
      <c r="DA64">
        <v>102.427422252</v>
      </c>
    </row>
    <row r="65" spans="5:105" x14ac:dyDescent="0.25">
      <c r="E65">
        <f>S_plus!L65</f>
        <v>0.63000000000000034</v>
      </c>
      <c r="F65">
        <v>116.662662125</v>
      </c>
      <c r="G65">
        <v>109.811223602</v>
      </c>
      <c r="H65">
        <v>102.713736113</v>
      </c>
      <c r="I65">
        <v>108.70068055900001</v>
      </c>
      <c r="J65">
        <v>145.261963028</v>
      </c>
      <c r="K65">
        <v>116.470249168</v>
      </c>
      <c r="L65">
        <v>100.31656362299999</v>
      </c>
      <c r="M65">
        <v>132.239870782</v>
      </c>
      <c r="N65">
        <v>99.251316546599995</v>
      </c>
      <c r="O65">
        <v>87.702333286400005</v>
      </c>
      <c r="P65">
        <v>97.443297104300001</v>
      </c>
      <c r="Q65">
        <v>96.652251934700004</v>
      </c>
      <c r="R65">
        <v>119.017913286</v>
      </c>
      <c r="S65">
        <v>93.250929082699997</v>
      </c>
      <c r="T65">
        <v>97.811262902999999</v>
      </c>
      <c r="U65">
        <v>92.226544307599994</v>
      </c>
      <c r="V65">
        <v>122.66429472599999</v>
      </c>
      <c r="W65">
        <v>102.881408437</v>
      </c>
      <c r="X65">
        <v>73.394749833299997</v>
      </c>
      <c r="Y65">
        <v>74.650076590300003</v>
      </c>
      <c r="Z65">
        <v>89.947691427600006</v>
      </c>
      <c r="AA65">
        <v>80.764545107999993</v>
      </c>
      <c r="AB65">
        <v>126.42430412</v>
      </c>
      <c r="AC65">
        <v>126.401402148</v>
      </c>
      <c r="AD65">
        <v>93.161189261499999</v>
      </c>
      <c r="AE65">
        <v>98.158885543799997</v>
      </c>
      <c r="AF65">
        <v>120.263314455</v>
      </c>
      <c r="AG65">
        <v>105.765167221</v>
      </c>
      <c r="AH65">
        <v>109.07248840699999</v>
      </c>
      <c r="AI65">
        <v>122.78970044099999</v>
      </c>
      <c r="AJ65">
        <v>89.120929866500006</v>
      </c>
      <c r="AK65">
        <v>104.837263261</v>
      </c>
      <c r="AL65">
        <v>79.769316311699995</v>
      </c>
      <c r="AM65">
        <v>116.926990518</v>
      </c>
      <c r="AN65">
        <v>92.930325897399996</v>
      </c>
      <c r="AO65">
        <v>85.458289311599998</v>
      </c>
      <c r="AP65">
        <v>87.825337650700007</v>
      </c>
      <c r="AQ65">
        <v>99.689001338799997</v>
      </c>
      <c r="AR65">
        <v>103.556377316</v>
      </c>
      <c r="AS65">
        <v>80.162208250399999</v>
      </c>
      <c r="AT65">
        <v>89.102042450599996</v>
      </c>
      <c r="AU65">
        <v>93.679577421000005</v>
      </c>
      <c r="AV65">
        <v>89.766938319199994</v>
      </c>
      <c r="AW65">
        <v>91.591056368099999</v>
      </c>
      <c r="AX65">
        <v>99.160508381599996</v>
      </c>
      <c r="AY65">
        <v>123.070208411</v>
      </c>
      <c r="AZ65">
        <v>110.363688391</v>
      </c>
      <c r="BA65">
        <v>100.138542605</v>
      </c>
      <c r="BB65">
        <v>95.533250521699998</v>
      </c>
      <c r="BC65">
        <v>96.6083955143</v>
      </c>
      <c r="BD65">
        <v>99.296114805499997</v>
      </c>
      <c r="BE65">
        <v>127.46929142099999</v>
      </c>
      <c r="BF65">
        <v>93.408631797200002</v>
      </c>
      <c r="BG65">
        <v>95.407869300800002</v>
      </c>
      <c r="BH65">
        <v>111.837014818</v>
      </c>
      <c r="BI65">
        <v>128.34144345300001</v>
      </c>
      <c r="BJ65">
        <v>106.15602506899999</v>
      </c>
      <c r="BK65">
        <v>91.726266964499999</v>
      </c>
      <c r="BL65">
        <v>85.663869028600004</v>
      </c>
      <c r="BM65">
        <v>96.495379937899997</v>
      </c>
      <c r="BN65">
        <v>106.191672411</v>
      </c>
      <c r="BO65">
        <v>124.33716714400001</v>
      </c>
      <c r="BP65">
        <v>100.66860719899999</v>
      </c>
      <c r="BQ65">
        <v>147.649016604</v>
      </c>
      <c r="BR65">
        <v>112.85705106</v>
      </c>
      <c r="BS65">
        <v>90.805599528000002</v>
      </c>
      <c r="BT65">
        <v>118.89471718199999</v>
      </c>
      <c r="BU65">
        <v>104.209079558</v>
      </c>
      <c r="BV65">
        <v>136.86355232599999</v>
      </c>
      <c r="BW65">
        <v>108.436756254</v>
      </c>
      <c r="BX65">
        <v>127.09282795999999</v>
      </c>
      <c r="BY65">
        <v>123.050419367</v>
      </c>
      <c r="BZ65">
        <v>112.86651738800001</v>
      </c>
      <c r="CA65">
        <v>80.777882002200002</v>
      </c>
      <c r="CB65">
        <v>111.61232094899999</v>
      </c>
      <c r="CC65">
        <v>99.127118626200001</v>
      </c>
      <c r="CD65">
        <v>110.778395039</v>
      </c>
      <c r="CE65">
        <v>126.197647496</v>
      </c>
      <c r="CF65">
        <v>114.01791577199999</v>
      </c>
      <c r="CG65">
        <v>95.129348367399999</v>
      </c>
      <c r="CH65">
        <v>71.728264651299995</v>
      </c>
      <c r="CI65">
        <v>111.730088546</v>
      </c>
      <c r="CJ65">
        <v>117.011669318</v>
      </c>
      <c r="CK65">
        <v>93.855860306500006</v>
      </c>
      <c r="CL65">
        <v>106.50565359700001</v>
      </c>
      <c r="CM65">
        <v>77.382977625999999</v>
      </c>
      <c r="CN65">
        <v>96.663358554699997</v>
      </c>
      <c r="CO65">
        <v>126.21066063000001</v>
      </c>
      <c r="CP65">
        <v>100.90317030999999</v>
      </c>
      <c r="CQ65">
        <v>83.543768766499994</v>
      </c>
      <c r="CR65">
        <v>91.147696033700001</v>
      </c>
      <c r="CS65">
        <v>90.338352579299993</v>
      </c>
      <c r="CT65">
        <v>84.049303117999997</v>
      </c>
      <c r="CU65">
        <v>134.587924875</v>
      </c>
      <c r="CV65">
        <v>100.22904142599999</v>
      </c>
      <c r="CW65">
        <v>111.482243208</v>
      </c>
      <c r="CX65">
        <v>107.629779881</v>
      </c>
      <c r="CY65">
        <v>131.454815572</v>
      </c>
      <c r="CZ65">
        <v>118.650513346</v>
      </c>
      <c r="DA65">
        <v>103.472306923</v>
      </c>
    </row>
    <row r="66" spans="5:105" x14ac:dyDescent="0.25">
      <c r="E66">
        <f>S_plus!L66</f>
        <v>0.64000000000000035</v>
      </c>
      <c r="F66">
        <v>116.82273009799999</v>
      </c>
      <c r="G66">
        <v>105.148924615</v>
      </c>
      <c r="H66">
        <v>99.760442560000001</v>
      </c>
      <c r="I66">
        <v>104.47668159200001</v>
      </c>
      <c r="J66">
        <v>145.32272109100001</v>
      </c>
      <c r="K66">
        <v>113.847841387</v>
      </c>
      <c r="L66">
        <v>101.158601483</v>
      </c>
      <c r="M66">
        <v>132.45723720699999</v>
      </c>
      <c r="N66">
        <v>101.46124503999999</v>
      </c>
      <c r="O66">
        <v>87.918384180399997</v>
      </c>
      <c r="P66">
        <v>98.058380944800007</v>
      </c>
      <c r="Q66">
        <v>93.993288428400007</v>
      </c>
      <c r="R66">
        <v>114.347629144</v>
      </c>
      <c r="S66">
        <v>94.833730057500006</v>
      </c>
      <c r="T66">
        <v>93.997873036300007</v>
      </c>
      <c r="U66">
        <v>92.7504056537</v>
      </c>
      <c r="V66">
        <v>123.234858428</v>
      </c>
      <c r="W66">
        <v>102.572194461</v>
      </c>
      <c r="X66">
        <v>74.491648809099999</v>
      </c>
      <c r="Y66">
        <v>74.542025285199998</v>
      </c>
      <c r="Z66">
        <v>90.122857679299997</v>
      </c>
      <c r="AA66">
        <v>83.905615301300003</v>
      </c>
      <c r="AB66">
        <v>129.67272278799999</v>
      </c>
      <c r="AC66">
        <v>123.948236428</v>
      </c>
      <c r="AD66">
        <v>93.800009231600001</v>
      </c>
      <c r="AE66">
        <v>100.221334066</v>
      </c>
      <c r="AF66">
        <v>118.69723236199999</v>
      </c>
      <c r="AG66">
        <v>105.69606202</v>
      </c>
      <c r="AH66">
        <v>109.780165215</v>
      </c>
      <c r="AI66">
        <v>123.892349111</v>
      </c>
      <c r="AJ66">
        <v>88.468317609500005</v>
      </c>
      <c r="AK66">
        <v>107.26318030100001</v>
      </c>
      <c r="AL66">
        <v>81.206595379099994</v>
      </c>
      <c r="AM66">
        <v>117.850817013</v>
      </c>
      <c r="AN66">
        <v>90.631121373599996</v>
      </c>
      <c r="AO66">
        <v>82.930203953499998</v>
      </c>
      <c r="AP66">
        <v>90.821749637600007</v>
      </c>
      <c r="AQ66">
        <v>99.818991725999993</v>
      </c>
      <c r="AR66">
        <v>107.091335083</v>
      </c>
      <c r="AS66">
        <v>79.532663949799996</v>
      </c>
      <c r="AT66">
        <v>88.958061089300003</v>
      </c>
      <c r="AU66">
        <v>95.1193315485</v>
      </c>
      <c r="AV66">
        <v>92.031310757200004</v>
      </c>
      <c r="AW66">
        <v>90.991403767899996</v>
      </c>
      <c r="AX66">
        <v>98.604629207399995</v>
      </c>
      <c r="AY66">
        <v>124.485833881</v>
      </c>
      <c r="AZ66">
        <v>105.712937123</v>
      </c>
      <c r="BA66">
        <v>98.799445371700003</v>
      </c>
      <c r="BB66">
        <v>95.469791381999997</v>
      </c>
      <c r="BC66">
        <v>95.0836004815</v>
      </c>
      <c r="BD66">
        <v>99.320511069999995</v>
      </c>
      <c r="BE66">
        <v>129.123301793</v>
      </c>
      <c r="BF66">
        <v>91.9326710128</v>
      </c>
      <c r="BG66">
        <v>94.924133647700003</v>
      </c>
      <c r="BH66">
        <v>113.73313889800001</v>
      </c>
      <c r="BI66">
        <v>128.96923335599999</v>
      </c>
      <c r="BJ66">
        <v>106.62920414</v>
      </c>
      <c r="BK66">
        <v>93.562166063800007</v>
      </c>
      <c r="BL66">
        <v>87.020909762200006</v>
      </c>
      <c r="BM66">
        <v>94.623138504300002</v>
      </c>
      <c r="BN66">
        <v>107.069537027</v>
      </c>
      <c r="BO66">
        <v>122.802435338</v>
      </c>
      <c r="BP66">
        <v>100.342248204</v>
      </c>
      <c r="BQ66">
        <v>146.81102186699999</v>
      </c>
      <c r="BR66">
        <v>112.289796197</v>
      </c>
      <c r="BS66">
        <v>89.899014381200004</v>
      </c>
      <c r="BT66">
        <v>122.477773004</v>
      </c>
      <c r="BU66">
        <v>104.784599977</v>
      </c>
      <c r="BV66">
        <v>138.54111278900001</v>
      </c>
      <c r="BW66">
        <v>106.19321071</v>
      </c>
      <c r="BX66">
        <v>126.65984826</v>
      </c>
      <c r="BY66">
        <v>124.463652878</v>
      </c>
      <c r="BZ66">
        <v>111.55740093599999</v>
      </c>
      <c r="CA66">
        <v>80.596572614999999</v>
      </c>
      <c r="CB66">
        <v>112.914163696</v>
      </c>
      <c r="CC66">
        <v>98.581032022900004</v>
      </c>
      <c r="CD66">
        <v>111.95013566999999</v>
      </c>
      <c r="CE66">
        <v>127.55883408</v>
      </c>
      <c r="CF66">
        <v>117.115201103</v>
      </c>
      <c r="CG66">
        <v>97.912747962300003</v>
      </c>
      <c r="CH66">
        <v>72.2935753955</v>
      </c>
      <c r="CI66">
        <v>114.44336708599999</v>
      </c>
      <c r="CJ66">
        <v>117.79935601</v>
      </c>
      <c r="CK66">
        <v>94.803529660300001</v>
      </c>
      <c r="CL66">
        <v>109.47881703100001</v>
      </c>
      <c r="CM66">
        <v>78.979453137199997</v>
      </c>
      <c r="CN66">
        <v>98.217891482799999</v>
      </c>
      <c r="CO66">
        <v>124.647047112</v>
      </c>
      <c r="CP66">
        <v>101.37483831199999</v>
      </c>
      <c r="CQ66">
        <v>85.171765278199999</v>
      </c>
      <c r="CR66">
        <v>91.836345928900002</v>
      </c>
      <c r="CS66">
        <v>90.6236407719</v>
      </c>
      <c r="CT66">
        <v>82.292815023800003</v>
      </c>
      <c r="CU66">
        <v>133.94994386400001</v>
      </c>
      <c r="CV66">
        <v>97.468274246099995</v>
      </c>
      <c r="CW66">
        <v>110.482110671</v>
      </c>
      <c r="CX66">
        <v>106.185365293</v>
      </c>
      <c r="CY66">
        <v>131.76848945</v>
      </c>
      <c r="CZ66">
        <v>121.398122112</v>
      </c>
      <c r="DA66">
        <v>100.904306077</v>
      </c>
    </row>
    <row r="67" spans="5:105" x14ac:dyDescent="0.25">
      <c r="E67">
        <f>S_plus!L67</f>
        <v>0.65000000000000036</v>
      </c>
      <c r="F67">
        <v>122.07524484</v>
      </c>
      <c r="G67">
        <v>105.468880985</v>
      </c>
      <c r="H67">
        <v>100.299322511</v>
      </c>
      <c r="I67">
        <v>102.860087123</v>
      </c>
      <c r="J67">
        <v>149.62868068500001</v>
      </c>
      <c r="K67">
        <v>109.76097757799999</v>
      </c>
      <c r="L67">
        <v>100.82548767</v>
      </c>
      <c r="M67">
        <v>131.807354605</v>
      </c>
      <c r="N67">
        <v>99.263291469099997</v>
      </c>
      <c r="O67">
        <v>88.561947290099994</v>
      </c>
      <c r="P67">
        <v>93.752354599499995</v>
      </c>
      <c r="Q67">
        <v>88.6836417504</v>
      </c>
      <c r="R67">
        <v>111.12534599200001</v>
      </c>
      <c r="S67">
        <v>93.933830696699999</v>
      </c>
      <c r="T67">
        <v>94.3537969339</v>
      </c>
      <c r="U67">
        <v>90.501198218900001</v>
      </c>
      <c r="V67">
        <v>123.970648172</v>
      </c>
      <c r="W67">
        <v>107.872262771</v>
      </c>
      <c r="X67">
        <v>75.063754760999998</v>
      </c>
      <c r="Y67">
        <v>74.415874086100004</v>
      </c>
      <c r="Z67">
        <v>88.628122000399998</v>
      </c>
      <c r="AA67">
        <v>84.701089854000003</v>
      </c>
      <c r="AB67">
        <v>129.65505423299999</v>
      </c>
      <c r="AC67">
        <v>121.461776394</v>
      </c>
      <c r="AD67">
        <v>93.761323712199996</v>
      </c>
      <c r="AE67">
        <v>102.235163708</v>
      </c>
      <c r="AF67">
        <v>119.49548216399999</v>
      </c>
      <c r="AG67">
        <v>105.558777607</v>
      </c>
      <c r="AH67">
        <v>106.37605235700001</v>
      </c>
      <c r="AI67">
        <v>120.13915924699999</v>
      </c>
      <c r="AJ67">
        <v>89.853886952400003</v>
      </c>
      <c r="AK67">
        <v>105.576370638</v>
      </c>
      <c r="AL67">
        <v>79.642564744300003</v>
      </c>
      <c r="AM67">
        <v>119.85327914200001</v>
      </c>
      <c r="AN67">
        <v>91.402581230999999</v>
      </c>
      <c r="AO67">
        <v>82.969576524199994</v>
      </c>
      <c r="AP67">
        <v>90.7925411927</v>
      </c>
      <c r="AQ67">
        <v>101.174512777</v>
      </c>
      <c r="AR67">
        <v>106.236209022</v>
      </c>
      <c r="AS67">
        <v>76.919516682299999</v>
      </c>
      <c r="AT67">
        <v>88.101678348700005</v>
      </c>
      <c r="AU67">
        <v>93.3495933855</v>
      </c>
      <c r="AV67">
        <v>89.465485528800002</v>
      </c>
      <c r="AW67">
        <v>90.743642743999999</v>
      </c>
      <c r="AX67">
        <v>100.633096563</v>
      </c>
      <c r="AY67">
        <v>122.94427530900001</v>
      </c>
      <c r="AZ67">
        <v>105.027681797</v>
      </c>
      <c r="BA67">
        <v>98.493836585099999</v>
      </c>
      <c r="BB67">
        <v>94.136007393</v>
      </c>
      <c r="BC67">
        <v>93.714634025699993</v>
      </c>
      <c r="BD67">
        <v>102.317079204</v>
      </c>
      <c r="BE67">
        <v>128.45036849600001</v>
      </c>
      <c r="BF67">
        <v>91.392843913700005</v>
      </c>
      <c r="BG67">
        <v>94.610120479800003</v>
      </c>
      <c r="BH67">
        <v>117.533135758</v>
      </c>
      <c r="BI67">
        <v>128.31167718099999</v>
      </c>
      <c r="BJ67">
        <v>108.070652428</v>
      </c>
      <c r="BK67">
        <v>93.1550365696</v>
      </c>
      <c r="BL67">
        <v>85.611035572899993</v>
      </c>
      <c r="BM67">
        <v>94.825949485600006</v>
      </c>
      <c r="BN67">
        <v>105.706348381</v>
      </c>
      <c r="BO67">
        <v>122.00826324499999</v>
      </c>
      <c r="BP67">
        <v>99.800217802000006</v>
      </c>
      <c r="BQ67">
        <v>145.19422951300001</v>
      </c>
      <c r="BR67">
        <v>111.55603664</v>
      </c>
      <c r="BS67">
        <v>94.315750701799999</v>
      </c>
      <c r="BT67">
        <v>120.710370376</v>
      </c>
      <c r="BU67">
        <v>103.94227598000001</v>
      </c>
      <c r="BV67">
        <v>142.59778948600001</v>
      </c>
      <c r="BW67">
        <v>110.4583615</v>
      </c>
      <c r="BX67">
        <v>130.29972154699999</v>
      </c>
      <c r="BY67">
        <v>127.59601102000001</v>
      </c>
      <c r="BZ67">
        <v>108.90247616000001</v>
      </c>
      <c r="CA67">
        <v>81.923536849100003</v>
      </c>
      <c r="CB67">
        <v>113.22283800699999</v>
      </c>
      <c r="CC67">
        <v>102.449132702</v>
      </c>
      <c r="CD67">
        <v>113.62015218400001</v>
      </c>
      <c r="CE67">
        <v>127.62025604999999</v>
      </c>
      <c r="CF67">
        <v>123.933370079</v>
      </c>
      <c r="CG67">
        <v>97.153794325899995</v>
      </c>
      <c r="CH67">
        <v>72.478540687999995</v>
      </c>
      <c r="CI67">
        <v>114.31826427199999</v>
      </c>
      <c r="CJ67">
        <v>119.906782873</v>
      </c>
      <c r="CK67">
        <v>96.283812190800006</v>
      </c>
      <c r="CL67">
        <v>106.691188181</v>
      </c>
      <c r="CM67">
        <v>80.230170334999997</v>
      </c>
      <c r="CN67">
        <v>100.32742794000001</v>
      </c>
      <c r="CO67">
        <v>129.44438855999999</v>
      </c>
      <c r="CP67">
        <v>99.572361543499994</v>
      </c>
      <c r="CQ67">
        <v>85.868241307600002</v>
      </c>
      <c r="CR67">
        <v>90.233052768299999</v>
      </c>
      <c r="CS67">
        <v>92.050907430199999</v>
      </c>
      <c r="CT67">
        <v>81.893032465000005</v>
      </c>
      <c r="CU67">
        <v>133.352429374</v>
      </c>
      <c r="CV67">
        <v>96.973767984099993</v>
      </c>
      <c r="CW67">
        <v>108.886997304</v>
      </c>
      <c r="CX67">
        <v>106.227381349</v>
      </c>
      <c r="CY67">
        <v>134.20892266300001</v>
      </c>
      <c r="CZ67">
        <v>123.808456984</v>
      </c>
      <c r="DA67">
        <v>103.48898054599999</v>
      </c>
    </row>
    <row r="68" spans="5:105" x14ac:dyDescent="0.25">
      <c r="E68">
        <f>S_plus!L68</f>
        <v>0.66000000000000036</v>
      </c>
      <c r="F68">
        <v>122.94613425599999</v>
      </c>
      <c r="G68">
        <v>103.011746328</v>
      </c>
      <c r="H68">
        <v>101.71709911000001</v>
      </c>
      <c r="I68">
        <v>104.63516426</v>
      </c>
      <c r="J68">
        <v>151.091732818</v>
      </c>
      <c r="K68">
        <v>110.37290002100001</v>
      </c>
      <c r="L68">
        <v>101.13513307300001</v>
      </c>
      <c r="M68">
        <v>127.106688373</v>
      </c>
      <c r="N68">
        <v>96.492317152799998</v>
      </c>
      <c r="O68">
        <v>87.155458875099995</v>
      </c>
      <c r="P68">
        <v>94.713876644999999</v>
      </c>
      <c r="Q68">
        <v>87.944007546999998</v>
      </c>
      <c r="R68">
        <v>112.92098212099999</v>
      </c>
      <c r="S68">
        <v>96.348940043100001</v>
      </c>
      <c r="T68">
        <v>93.533009471400007</v>
      </c>
      <c r="U68">
        <v>89.710126037899997</v>
      </c>
      <c r="V68">
        <v>124.086194248</v>
      </c>
      <c r="W68">
        <v>111.07262085000001</v>
      </c>
      <c r="X68">
        <v>77.098892455699996</v>
      </c>
      <c r="Y68">
        <v>71.954379600400003</v>
      </c>
      <c r="Z68">
        <v>90.394685905599999</v>
      </c>
      <c r="AA68">
        <v>86.611617171899994</v>
      </c>
      <c r="AB68">
        <v>134.186081282</v>
      </c>
      <c r="AC68">
        <v>120.122181172</v>
      </c>
      <c r="AD68">
        <v>93.202073373000005</v>
      </c>
      <c r="AE68">
        <v>99.747101255299995</v>
      </c>
      <c r="AF68">
        <v>117.627593625</v>
      </c>
      <c r="AG68">
        <v>103.84533756899999</v>
      </c>
      <c r="AH68">
        <v>103.87545129900001</v>
      </c>
      <c r="AI68">
        <v>116.858693269</v>
      </c>
      <c r="AJ68">
        <v>89.240577953100001</v>
      </c>
      <c r="AK68">
        <v>104.59457631399999</v>
      </c>
      <c r="AL68">
        <v>78.494302107699994</v>
      </c>
      <c r="AM68">
        <v>120.805640743</v>
      </c>
      <c r="AN68">
        <v>89.223709924900007</v>
      </c>
      <c r="AO68">
        <v>80.475561413999998</v>
      </c>
      <c r="AP68">
        <v>95.688121464299996</v>
      </c>
      <c r="AQ68">
        <v>99.916853818000007</v>
      </c>
      <c r="AR68">
        <v>108.08447758600001</v>
      </c>
      <c r="AS68">
        <v>80.832696093899997</v>
      </c>
      <c r="AT68">
        <v>88.434572521000007</v>
      </c>
      <c r="AU68">
        <v>95.921583894899996</v>
      </c>
      <c r="AV68">
        <v>89.998323462900004</v>
      </c>
      <c r="AW68">
        <v>90.539777205199997</v>
      </c>
      <c r="AX68">
        <v>102.491501605</v>
      </c>
      <c r="AY68">
        <v>120.716095478</v>
      </c>
      <c r="AZ68">
        <v>108.351218117</v>
      </c>
      <c r="BA68">
        <v>99.025736042399998</v>
      </c>
      <c r="BB68">
        <v>93.3375249586</v>
      </c>
      <c r="BC68">
        <v>94.373332919700005</v>
      </c>
      <c r="BD68">
        <v>103.19622717999999</v>
      </c>
      <c r="BE68">
        <v>125.95688790600001</v>
      </c>
      <c r="BF68">
        <v>90.537077119200006</v>
      </c>
      <c r="BG68">
        <v>93.923724475599997</v>
      </c>
      <c r="BH68">
        <v>119.831865865</v>
      </c>
      <c r="BI68">
        <v>135.24143398999999</v>
      </c>
      <c r="BJ68">
        <v>108.164205438</v>
      </c>
      <c r="BK68">
        <v>91.986298641299996</v>
      </c>
      <c r="BL68">
        <v>86.521749546500004</v>
      </c>
      <c r="BM68">
        <v>93.092117364399996</v>
      </c>
      <c r="BN68">
        <v>105.98361217</v>
      </c>
      <c r="BO68">
        <v>125.04718456400001</v>
      </c>
      <c r="BP68">
        <v>97.164947146000003</v>
      </c>
      <c r="BQ68">
        <v>143.453527802</v>
      </c>
      <c r="BR68">
        <v>113.00705944000001</v>
      </c>
      <c r="BS68">
        <v>92.382649279000006</v>
      </c>
      <c r="BT68">
        <v>120.58229741300001</v>
      </c>
      <c r="BU68">
        <v>107.279328744</v>
      </c>
      <c r="BV68">
        <v>142.96198607299999</v>
      </c>
      <c r="BW68">
        <v>106.975582081</v>
      </c>
      <c r="BX68">
        <v>126.695961635</v>
      </c>
      <c r="BY68">
        <v>127.412389487</v>
      </c>
      <c r="BZ68">
        <v>105.365842292</v>
      </c>
      <c r="CA68">
        <v>78.977323891899999</v>
      </c>
      <c r="CB68">
        <v>112.58799261199999</v>
      </c>
      <c r="CC68">
        <v>102.984553191</v>
      </c>
      <c r="CD68">
        <v>113.25092594</v>
      </c>
      <c r="CE68">
        <v>127.536383468</v>
      </c>
      <c r="CF68">
        <v>122.108592836</v>
      </c>
      <c r="CG68">
        <v>98.296925852100003</v>
      </c>
      <c r="CH68">
        <v>72.089107969400004</v>
      </c>
      <c r="CI68">
        <v>112.748140832</v>
      </c>
      <c r="CJ68">
        <v>120.443329838</v>
      </c>
      <c r="CK68">
        <v>98.585348207500004</v>
      </c>
      <c r="CL68">
        <v>105.455333057</v>
      </c>
      <c r="CM68">
        <v>80.293900238800006</v>
      </c>
      <c r="CN68">
        <v>100.117632641</v>
      </c>
      <c r="CO68">
        <v>130.667010705</v>
      </c>
      <c r="CP68">
        <v>97.594418882499994</v>
      </c>
      <c r="CQ68">
        <v>85.982175784800006</v>
      </c>
      <c r="CR68">
        <v>90.625746292000002</v>
      </c>
      <c r="CS68">
        <v>93.768740282099998</v>
      </c>
      <c r="CT68">
        <v>80.254341815800004</v>
      </c>
      <c r="CU68">
        <v>136.57473787399999</v>
      </c>
      <c r="CV68">
        <v>98.683122641799997</v>
      </c>
      <c r="CW68">
        <v>107.99224767299999</v>
      </c>
      <c r="CX68">
        <v>104.225339197</v>
      </c>
      <c r="CY68">
        <v>138.03181713999999</v>
      </c>
      <c r="CZ68">
        <v>122.806496444</v>
      </c>
      <c r="DA68">
        <v>104.296601123</v>
      </c>
    </row>
    <row r="69" spans="5:105" x14ac:dyDescent="0.25">
      <c r="E69">
        <f>S_plus!L69</f>
        <v>0.67000000000000037</v>
      </c>
      <c r="F69">
        <v>128.831488076</v>
      </c>
      <c r="G69">
        <v>97.899249397999995</v>
      </c>
      <c r="H69">
        <v>102.404099519</v>
      </c>
      <c r="I69">
        <v>103.67660892000001</v>
      </c>
      <c r="J69">
        <v>152.449964782</v>
      </c>
      <c r="K69">
        <v>110.165236064</v>
      </c>
      <c r="L69">
        <v>101.992221362</v>
      </c>
      <c r="M69">
        <v>123.281694677</v>
      </c>
      <c r="N69">
        <v>95.019789549600006</v>
      </c>
      <c r="O69">
        <v>87.599635015399997</v>
      </c>
      <c r="P69">
        <v>97.878901061299999</v>
      </c>
      <c r="Q69">
        <v>86.973777776800006</v>
      </c>
      <c r="R69">
        <v>113.985235437</v>
      </c>
      <c r="S69">
        <v>98.323087000300006</v>
      </c>
      <c r="T69">
        <v>97.860592270300003</v>
      </c>
      <c r="U69">
        <v>88.876599549399998</v>
      </c>
      <c r="V69">
        <v>127.582584942</v>
      </c>
      <c r="W69">
        <v>107.522849945</v>
      </c>
      <c r="X69">
        <v>76.932155384799998</v>
      </c>
      <c r="Y69">
        <v>70.071646144499994</v>
      </c>
      <c r="Z69">
        <v>91.982075968999993</v>
      </c>
      <c r="AA69">
        <v>87.420785304899994</v>
      </c>
      <c r="AB69">
        <v>131.31916825499999</v>
      </c>
      <c r="AC69">
        <v>119.525405175</v>
      </c>
      <c r="AD69">
        <v>96.314768827699993</v>
      </c>
      <c r="AE69">
        <v>101.25959369100001</v>
      </c>
      <c r="AF69">
        <v>115.705190351</v>
      </c>
      <c r="AG69">
        <v>105.33672499399999</v>
      </c>
      <c r="AH69">
        <v>109.03012148000001</v>
      </c>
      <c r="AI69">
        <v>117.07816719900001</v>
      </c>
      <c r="AJ69">
        <v>90.568516005199996</v>
      </c>
      <c r="AK69">
        <v>102.856052909</v>
      </c>
      <c r="AL69">
        <v>77.455906322800004</v>
      </c>
      <c r="AM69">
        <v>120.861409739</v>
      </c>
      <c r="AN69">
        <v>91.890266722299998</v>
      </c>
      <c r="AO69">
        <v>78.713457384899996</v>
      </c>
      <c r="AP69">
        <v>95.566253829499999</v>
      </c>
      <c r="AQ69">
        <v>102.77863534799999</v>
      </c>
      <c r="AR69">
        <v>107.2483569</v>
      </c>
      <c r="AS69">
        <v>83.134102751100002</v>
      </c>
      <c r="AT69">
        <v>87.576929853799996</v>
      </c>
      <c r="AU69">
        <v>96.899162819599994</v>
      </c>
      <c r="AV69">
        <v>90.6104333615</v>
      </c>
      <c r="AW69">
        <v>91.785384271599995</v>
      </c>
      <c r="AX69">
        <v>102.081499619</v>
      </c>
      <c r="AY69">
        <v>119.401262151</v>
      </c>
      <c r="AZ69">
        <v>111.847278602</v>
      </c>
      <c r="BA69">
        <v>99.487159448400007</v>
      </c>
      <c r="BB69">
        <v>96.966559131400004</v>
      </c>
      <c r="BC69">
        <v>96.562772805400002</v>
      </c>
      <c r="BD69">
        <v>104.914563672</v>
      </c>
      <c r="BE69">
        <v>128.47577868900001</v>
      </c>
      <c r="BF69">
        <v>89.033502126800002</v>
      </c>
      <c r="BG69">
        <v>95.044592303599998</v>
      </c>
      <c r="BH69">
        <v>119.97849917400001</v>
      </c>
      <c r="BI69">
        <v>135.33420301000001</v>
      </c>
      <c r="BJ69">
        <v>112.004083874</v>
      </c>
      <c r="BK69">
        <v>92.853759935699998</v>
      </c>
      <c r="BL69">
        <v>84.373126369000005</v>
      </c>
      <c r="BM69">
        <v>91.447243476599994</v>
      </c>
      <c r="BN69">
        <v>107.538625638</v>
      </c>
      <c r="BO69">
        <v>124.26670637399999</v>
      </c>
      <c r="BP69">
        <v>95.099111240200003</v>
      </c>
      <c r="BQ69">
        <v>144.17610758800001</v>
      </c>
      <c r="BR69">
        <v>111.756801498</v>
      </c>
      <c r="BS69">
        <v>93.122782594100002</v>
      </c>
      <c r="BT69">
        <v>121.44689250499999</v>
      </c>
      <c r="BU69">
        <v>103.843846691</v>
      </c>
      <c r="BV69">
        <v>139.772786852</v>
      </c>
      <c r="BW69">
        <v>105.90058761</v>
      </c>
      <c r="BX69">
        <v>126.817418725</v>
      </c>
      <c r="BY69">
        <v>126.702051395</v>
      </c>
      <c r="BZ69">
        <v>104.380787656</v>
      </c>
      <c r="CA69">
        <v>75.979584279700006</v>
      </c>
      <c r="CB69">
        <v>113.91337258199999</v>
      </c>
      <c r="CC69">
        <v>103.16561521200001</v>
      </c>
      <c r="CD69">
        <v>116.512329624</v>
      </c>
      <c r="CE69">
        <v>126.43590494199999</v>
      </c>
      <c r="CF69">
        <v>121.299660753</v>
      </c>
      <c r="CG69">
        <v>98.508829681799995</v>
      </c>
      <c r="CH69">
        <v>71.999868204099997</v>
      </c>
      <c r="CI69">
        <v>112.120971197</v>
      </c>
      <c r="CJ69">
        <v>122.354522731</v>
      </c>
      <c r="CK69">
        <v>98.0469889365</v>
      </c>
      <c r="CL69">
        <v>106.664320565</v>
      </c>
      <c r="CM69">
        <v>81.607929928999994</v>
      </c>
      <c r="CN69">
        <v>97.705687089999998</v>
      </c>
      <c r="CO69">
        <v>130.86586843399999</v>
      </c>
      <c r="CP69">
        <v>95.285644856000005</v>
      </c>
      <c r="CQ69">
        <v>85.584582223599995</v>
      </c>
      <c r="CR69">
        <v>88.098560187000004</v>
      </c>
      <c r="CS69">
        <v>97.608279102599994</v>
      </c>
      <c r="CT69">
        <v>80.993374353500002</v>
      </c>
      <c r="CU69">
        <v>136.59147651800001</v>
      </c>
      <c r="CV69">
        <v>99.009605829199998</v>
      </c>
      <c r="CW69">
        <v>111.693459006</v>
      </c>
      <c r="CX69">
        <v>99.401034941899994</v>
      </c>
      <c r="CY69">
        <v>141.42715678900001</v>
      </c>
      <c r="CZ69">
        <v>126.10771123400001</v>
      </c>
      <c r="DA69">
        <v>105.879783085</v>
      </c>
    </row>
    <row r="70" spans="5:105" x14ac:dyDescent="0.25">
      <c r="E70">
        <f>S_plus!L70</f>
        <v>0.68000000000000038</v>
      </c>
      <c r="F70">
        <v>125.36327452</v>
      </c>
      <c r="G70">
        <v>95.042748556399999</v>
      </c>
      <c r="H70">
        <v>100.290089819</v>
      </c>
      <c r="I70">
        <v>106.777762701</v>
      </c>
      <c r="J70">
        <v>153.19917713800001</v>
      </c>
      <c r="K70">
        <v>108.59770105699999</v>
      </c>
      <c r="L70">
        <v>102.693461478</v>
      </c>
      <c r="M70">
        <v>123.679829256</v>
      </c>
      <c r="N70">
        <v>93.196443828499994</v>
      </c>
      <c r="O70">
        <v>86.161049524500001</v>
      </c>
      <c r="P70">
        <v>96.038643738000005</v>
      </c>
      <c r="Q70">
        <v>83.713049062600007</v>
      </c>
      <c r="R70">
        <v>115.15523672400001</v>
      </c>
      <c r="S70">
        <v>101.154711725</v>
      </c>
      <c r="T70">
        <v>99.474768967399996</v>
      </c>
      <c r="U70">
        <v>89.054878555599998</v>
      </c>
      <c r="V70">
        <v>129.24637924000001</v>
      </c>
      <c r="W70">
        <v>104.019671957</v>
      </c>
      <c r="X70">
        <v>77.988079861700001</v>
      </c>
      <c r="Y70">
        <v>69.379573672800007</v>
      </c>
      <c r="Z70">
        <v>91.804825804999993</v>
      </c>
      <c r="AA70">
        <v>88.215314177400003</v>
      </c>
      <c r="AB70">
        <v>130.176931911</v>
      </c>
      <c r="AC70">
        <v>119.56789778700001</v>
      </c>
      <c r="AD70">
        <v>96.377249220500005</v>
      </c>
      <c r="AE70">
        <v>101.32333083899999</v>
      </c>
      <c r="AF70">
        <v>116.063631074</v>
      </c>
      <c r="AG70">
        <v>101.611004694</v>
      </c>
      <c r="AH70">
        <v>106.996867307</v>
      </c>
      <c r="AI70">
        <v>115.21836397600001</v>
      </c>
      <c r="AJ70">
        <v>89.867021693500007</v>
      </c>
      <c r="AK70">
        <v>102.774532853</v>
      </c>
      <c r="AL70">
        <v>75.408261408200005</v>
      </c>
      <c r="AM70">
        <v>123.603666656</v>
      </c>
      <c r="AN70">
        <v>94.177133307199995</v>
      </c>
      <c r="AO70">
        <v>79.213137595299997</v>
      </c>
      <c r="AP70">
        <v>92.299563283300003</v>
      </c>
      <c r="AQ70">
        <v>105.830468806</v>
      </c>
      <c r="AR70">
        <v>106.541842492</v>
      </c>
      <c r="AS70">
        <v>83.224533880400003</v>
      </c>
      <c r="AT70">
        <v>86.707078539500003</v>
      </c>
      <c r="AU70">
        <v>96.729763084699997</v>
      </c>
      <c r="AV70">
        <v>91.520641433400002</v>
      </c>
      <c r="AW70">
        <v>91.832911018600001</v>
      </c>
      <c r="AX70">
        <v>104.489351712</v>
      </c>
      <c r="AY70">
        <v>120.26711921899999</v>
      </c>
      <c r="AZ70">
        <v>111.59826068</v>
      </c>
      <c r="BA70">
        <v>100.390076654</v>
      </c>
      <c r="BB70">
        <v>96.695294403800006</v>
      </c>
      <c r="BC70">
        <v>95.7863956841</v>
      </c>
      <c r="BD70">
        <v>103.980409929</v>
      </c>
      <c r="BE70">
        <v>129.82609900200001</v>
      </c>
      <c r="BF70">
        <v>88.195722761599995</v>
      </c>
      <c r="BG70">
        <v>92.729010163599995</v>
      </c>
      <c r="BH70">
        <v>121.709763874</v>
      </c>
      <c r="BI70">
        <v>137.62291776199999</v>
      </c>
      <c r="BJ70">
        <v>110.259147052</v>
      </c>
      <c r="BK70">
        <v>91.392188943099995</v>
      </c>
      <c r="BL70">
        <v>83.816936521100004</v>
      </c>
      <c r="BM70">
        <v>89.886393220499997</v>
      </c>
      <c r="BN70">
        <v>111.02262105</v>
      </c>
      <c r="BO70">
        <v>124.939821028</v>
      </c>
      <c r="BP70">
        <v>95.543179586099996</v>
      </c>
      <c r="BQ70">
        <v>142.29075680899999</v>
      </c>
      <c r="BR70">
        <v>110.639004718</v>
      </c>
      <c r="BS70">
        <v>92.9872390381</v>
      </c>
      <c r="BT70">
        <v>118.760249727</v>
      </c>
      <c r="BU70">
        <v>102.44625577799999</v>
      </c>
      <c r="BV70">
        <v>141.006886966</v>
      </c>
      <c r="BW70">
        <v>102.903545929</v>
      </c>
      <c r="BX70">
        <v>125.899531303</v>
      </c>
      <c r="BY70">
        <v>129.10972756699999</v>
      </c>
      <c r="BZ70">
        <v>104.563707059</v>
      </c>
      <c r="CA70">
        <v>76.948679331099996</v>
      </c>
      <c r="CB70">
        <v>113.98079477500001</v>
      </c>
      <c r="CC70">
        <v>105.72913668699999</v>
      </c>
      <c r="CD70">
        <v>111.29650208299999</v>
      </c>
      <c r="CE70">
        <v>125.20584777099999</v>
      </c>
      <c r="CF70">
        <v>123.084010824</v>
      </c>
      <c r="CG70">
        <v>98.535983958000003</v>
      </c>
      <c r="CH70">
        <v>72.204720484299997</v>
      </c>
      <c r="CI70">
        <v>114.14230467</v>
      </c>
      <c r="CJ70">
        <v>118.304632115</v>
      </c>
      <c r="CK70">
        <v>98.128958923699997</v>
      </c>
      <c r="CL70">
        <v>107.71074099000001</v>
      </c>
      <c r="CM70">
        <v>83.100316301600003</v>
      </c>
      <c r="CN70">
        <v>96.302054836400004</v>
      </c>
      <c r="CO70">
        <v>127.04846461699999</v>
      </c>
      <c r="CP70">
        <v>94.791288639100003</v>
      </c>
      <c r="CQ70">
        <v>84.652541794800001</v>
      </c>
      <c r="CR70">
        <v>85.743632507900003</v>
      </c>
      <c r="CS70">
        <v>96.941825844600004</v>
      </c>
      <c r="CT70">
        <v>80.694003982599995</v>
      </c>
      <c r="CU70">
        <v>132.37918486800001</v>
      </c>
      <c r="CV70">
        <v>98.382862235199994</v>
      </c>
      <c r="CW70">
        <v>109.810080351</v>
      </c>
      <c r="CX70">
        <v>96.831779213700003</v>
      </c>
      <c r="CY70">
        <v>141.30406981600001</v>
      </c>
      <c r="CZ70">
        <v>125.39589056600001</v>
      </c>
      <c r="DA70">
        <v>107.55928869500001</v>
      </c>
    </row>
    <row r="71" spans="5:105" x14ac:dyDescent="0.25">
      <c r="E71">
        <f>S_plus!L71</f>
        <v>0.69000000000000039</v>
      </c>
      <c r="F71">
        <v>126.0940537</v>
      </c>
      <c r="G71">
        <v>93.086765975000006</v>
      </c>
      <c r="H71">
        <v>98.927989924299993</v>
      </c>
      <c r="I71">
        <v>106.364585808</v>
      </c>
      <c r="J71">
        <v>154.368684847</v>
      </c>
      <c r="K71">
        <v>108.569699462</v>
      </c>
      <c r="L71">
        <v>100.459918931</v>
      </c>
      <c r="M71">
        <v>121.55491537499999</v>
      </c>
      <c r="N71">
        <v>91.021780434999997</v>
      </c>
      <c r="O71">
        <v>87.752494790599997</v>
      </c>
      <c r="P71">
        <v>96.373975144799999</v>
      </c>
      <c r="Q71">
        <v>81.466947532299997</v>
      </c>
      <c r="R71">
        <v>116.655999335</v>
      </c>
      <c r="S71">
        <v>105.165431021</v>
      </c>
      <c r="T71">
        <v>100.38491300699999</v>
      </c>
      <c r="U71">
        <v>88.675871112400003</v>
      </c>
      <c r="V71">
        <v>131.502961382</v>
      </c>
      <c r="W71">
        <v>99.704271309199996</v>
      </c>
      <c r="X71">
        <v>78.867748495599997</v>
      </c>
      <c r="Y71">
        <v>71.095739032200001</v>
      </c>
      <c r="Z71">
        <v>92.545276068999996</v>
      </c>
      <c r="AA71">
        <v>87.428102528300002</v>
      </c>
      <c r="AB71">
        <v>129.94056490099999</v>
      </c>
      <c r="AC71">
        <v>117.24830733899999</v>
      </c>
      <c r="AD71">
        <v>98.694398336099994</v>
      </c>
      <c r="AE71">
        <v>101.045167772</v>
      </c>
      <c r="AF71">
        <v>115.59640561400001</v>
      </c>
      <c r="AG71">
        <v>106.01616741799999</v>
      </c>
      <c r="AH71">
        <v>106.39928409700001</v>
      </c>
      <c r="AI71">
        <v>114.474902008</v>
      </c>
      <c r="AJ71">
        <v>88.099708098799994</v>
      </c>
      <c r="AK71">
        <v>99.861350376600001</v>
      </c>
      <c r="AL71">
        <v>75.883019280300005</v>
      </c>
      <c r="AM71">
        <v>121.218947176</v>
      </c>
      <c r="AN71">
        <v>93.011859231200006</v>
      </c>
      <c r="AO71">
        <v>81.504337158400006</v>
      </c>
      <c r="AP71">
        <v>90.669555357700006</v>
      </c>
      <c r="AQ71">
        <v>106.106601113</v>
      </c>
      <c r="AR71">
        <v>107.17768910700001</v>
      </c>
      <c r="AS71">
        <v>81.407694218900005</v>
      </c>
      <c r="AT71">
        <v>84.811067978599993</v>
      </c>
      <c r="AU71">
        <v>96.509522924600006</v>
      </c>
      <c r="AV71">
        <v>93.677648082600001</v>
      </c>
      <c r="AW71">
        <v>86.338870023200002</v>
      </c>
      <c r="AX71">
        <v>106.779418874</v>
      </c>
      <c r="AY71">
        <v>117.42990521500001</v>
      </c>
      <c r="AZ71">
        <v>109.216323894</v>
      </c>
      <c r="BA71">
        <v>97.308225741200005</v>
      </c>
      <c r="BB71">
        <v>98.841671209200001</v>
      </c>
      <c r="BC71">
        <v>92.711996490499999</v>
      </c>
      <c r="BD71">
        <v>102.91181232700001</v>
      </c>
      <c r="BE71">
        <v>130.61475817300001</v>
      </c>
      <c r="BF71">
        <v>86.193922219599997</v>
      </c>
      <c r="BG71">
        <v>90.504756383300005</v>
      </c>
      <c r="BH71">
        <v>120.608145498</v>
      </c>
      <c r="BI71">
        <v>138.74711275999999</v>
      </c>
      <c r="BJ71">
        <v>107.73316373199999</v>
      </c>
      <c r="BK71">
        <v>92.628065777200007</v>
      </c>
      <c r="BL71">
        <v>82.168760741900002</v>
      </c>
      <c r="BM71">
        <v>89.318864573499994</v>
      </c>
      <c r="BN71">
        <v>110.02282179300001</v>
      </c>
      <c r="BO71">
        <v>121.04395704700001</v>
      </c>
      <c r="BP71">
        <v>98.855437296000005</v>
      </c>
      <c r="BQ71">
        <v>141.40605315799999</v>
      </c>
      <c r="BR71">
        <v>109.86009503699999</v>
      </c>
      <c r="BS71">
        <v>90.031201320400001</v>
      </c>
      <c r="BT71">
        <v>119.204455092</v>
      </c>
      <c r="BU71">
        <v>101.71356358600001</v>
      </c>
      <c r="BV71">
        <v>139.94229460400001</v>
      </c>
      <c r="BW71">
        <v>104.46449426700001</v>
      </c>
      <c r="BX71">
        <v>132.58585351900001</v>
      </c>
      <c r="BY71">
        <v>133.71659214100001</v>
      </c>
      <c r="BZ71">
        <v>104.696633193</v>
      </c>
      <c r="CA71">
        <v>77.327846474200001</v>
      </c>
      <c r="CB71">
        <v>116.50677195599999</v>
      </c>
      <c r="CC71">
        <v>106.44459455400001</v>
      </c>
      <c r="CD71">
        <v>111.271820202</v>
      </c>
      <c r="CE71">
        <v>123.179739048</v>
      </c>
      <c r="CF71">
        <v>125.32151194799999</v>
      </c>
      <c r="CG71">
        <v>101.099582485</v>
      </c>
      <c r="CH71">
        <v>73.046496024700005</v>
      </c>
      <c r="CI71">
        <v>117.58585494</v>
      </c>
      <c r="CJ71">
        <v>116.532382076</v>
      </c>
      <c r="CK71">
        <v>96.657758167400004</v>
      </c>
      <c r="CL71">
        <v>110.070002501</v>
      </c>
      <c r="CM71">
        <v>83.259215953199998</v>
      </c>
      <c r="CN71">
        <v>93.529689825600002</v>
      </c>
      <c r="CO71">
        <v>126.24097615700001</v>
      </c>
      <c r="CP71">
        <v>99.595706011000004</v>
      </c>
      <c r="CQ71">
        <v>82.369607075499999</v>
      </c>
      <c r="CR71">
        <v>86.450980004599998</v>
      </c>
      <c r="CS71">
        <v>94.526882009100007</v>
      </c>
      <c r="CT71">
        <v>82.119218049899999</v>
      </c>
      <c r="CU71">
        <v>131.47746713199999</v>
      </c>
      <c r="CV71">
        <v>95.2341821638</v>
      </c>
      <c r="CW71">
        <v>111.886908635</v>
      </c>
      <c r="CX71">
        <v>97.4997313736</v>
      </c>
      <c r="CY71">
        <v>145.01297176</v>
      </c>
      <c r="CZ71">
        <v>125.598431425</v>
      </c>
      <c r="DA71">
        <v>113.703027112</v>
      </c>
    </row>
    <row r="72" spans="5:105" x14ac:dyDescent="0.25">
      <c r="E72">
        <f>S_plus!L72</f>
        <v>0.7000000000000004</v>
      </c>
      <c r="F72">
        <v>125.973100045</v>
      </c>
      <c r="G72">
        <v>93.191679442799995</v>
      </c>
      <c r="H72">
        <v>97.8996379166</v>
      </c>
      <c r="I72">
        <v>106.23028673899999</v>
      </c>
      <c r="J72">
        <v>161.21352494300001</v>
      </c>
      <c r="K72">
        <v>107.059902091</v>
      </c>
      <c r="L72">
        <v>98.859870133000001</v>
      </c>
      <c r="M72">
        <v>119.20027139699999</v>
      </c>
      <c r="N72">
        <v>88.390058536599994</v>
      </c>
      <c r="O72">
        <v>87.007713855299997</v>
      </c>
      <c r="P72">
        <v>92.033838314500002</v>
      </c>
      <c r="Q72">
        <v>80.697810456200003</v>
      </c>
      <c r="R72">
        <v>113.96163440399999</v>
      </c>
      <c r="S72">
        <v>105.423895531</v>
      </c>
      <c r="T72">
        <v>98.866341124599998</v>
      </c>
      <c r="U72">
        <v>90.521108589700006</v>
      </c>
      <c r="V72">
        <v>131.171343412</v>
      </c>
      <c r="W72">
        <v>98.801211534100005</v>
      </c>
      <c r="X72">
        <v>77.171316593399993</v>
      </c>
      <c r="Y72">
        <v>71.332930793499997</v>
      </c>
      <c r="Z72">
        <v>95.735854190799998</v>
      </c>
      <c r="AA72">
        <v>88.861637411199993</v>
      </c>
      <c r="AB72">
        <v>129.60016035199999</v>
      </c>
      <c r="AC72">
        <v>118.02698560100001</v>
      </c>
      <c r="AD72">
        <v>97.988530362500001</v>
      </c>
      <c r="AE72">
        <v>97.171639545900007</v>
      </c>
      <c r="AF72">
        <v>116.272016433</v>
      </c>
      <c r="AG72">
        <v>104.421321952</v>
      </c>
      <c r="AH72">
        <v>106.435079417</v>
      </c>
      <c r="AI72">
        <v>112.257997449</v>
      </c>
      <c r="AJ72">
        <v>89.969282784000001</v>
      </c>
      <c r="AK72">
        <v>98.447762242699994</v>
      </c>
      <c r="AL72">
        <v>74.875116630500003</v>
      </c>
      <c r="AM72">
        <v>120.498108761</v>
      </c>
      <c r="AN72">
        <v>92.7642099479</v>
      </c>
      <c r="AO72">
        <v>81.803152637300002</v>
      </c>
      <c r="AP72">
        <v>89.405904732799996</v>
      </c>
      <c r="AQ72">
        <v>108.128004683</v>
      </c>
      <c r="AR72">
        <v>104.477816925</v>
      </c>
      <c r="AS72">
        <v>81.667792575099995</v>
      </c>
      <c r="AT72">
        <v>84.875037308499998</v>
      </c>
      <c r="AU72">
        <v>98.148855897999994</v>
      </c>
      <c r="AV72">
        <v>91.932974040900007</v>
      </c>
      <c r="AW72">
        <v>85.068149321600004</v>
      </c>
      <c r="AX72">
        <v>107.24873700800001</v>
      </c>
      <c r="AY72">
        <v>118.583893233</v>
      </c>
      <c r="AZ72">
        <v>106.37880815600001</v>
      </c>
      <c r="BA72">
        <v>96.502040150599996</v>
      </c>
      <c r="BB72">
        <v>95.831631805900003</v>
      </c>
      <c r="BC72">
        <v>92.5725492702</v>
      </c>
      <c r="BD72">
        <v>103.681062958</v>
      </c>
      <c r="BE72">
        <v>133.03706527200001</v>
      </c>
      <c r="BF72">
        <v>85.722190979299995</v>
      </c>
      <c r="BG72">
        <v>91.750370845099994</v>
      </c>
      <c r="BH72">
        <v>121.051494994</v>
      </c>
      <c r="BI72">
        <v>137.31173948099999</v>
      </c>
      <c r="BJ72">
        <v>107.906697409</v>
      </c>
      <c r="BK72">
        <v>94.011702359699996</v>
      </c>
      <c r="BL72">
        <v>83.078481576599998</v>
      </c>
      <c r="BM72">
        <v>86.745919263800005</v>
      </c>
      <c r="BN72">
        <v>109.775473765</v>
      </c>
      <c r="BO72">
        <v>121.90486784399999</v>
      </c>
      <c r="BP72">
        <v>97.155856052900006</v>
      </c>
      <c r="BQ72">
        <v>143.43356806700001</v>
      </c>
      <c r="BR72">
        <v>110.543974553</v>
      </c>
      <c r="BS72">
        <v>85.615671091400003</v>
      </c>
      <c r="BT72">
        <v>118.937209422</v>
      </c>
      <c r="BU72">
        <v>100.33263051500001</v>
      </c>
      <c r="BV72">
        <v>137.38195273700001</v>
      </c>
      <c r="BW72">
        <v>101.65653758000001</v>
      </c>
      <c r="BX72">
        <v>135.06986527699999</v>
      </c>
      <c r="BY72">
        <v>131.50925676899999</v>
      </c>
      <c r="BZ72">
        <v>103.848837065</v>
      </c>
      <c r="CA72">
        <v>76.848521807799997</v>
      </c>
      <c r="CB72">
        <v>116.408931325</v>
      </c>
      <c r="CC72">
        <v>105.652506765</v>
      </c>
      <c r="CD72">
        <v>113.02143070699999</v>
      </c>
      <c r="CE72">
        <v>123.671993837</v>
      </c>
      <c r="CF72">
        <v>125.220408698</v>
      </c>
      <c r="CG72">
        <v>103.392012909</v>
      </c>
      <c r="CH72">
        <v>70.023487797599998</v>
      </c>
      <c r="CI72">
        <v>116.08282100700001</v>
      </c>
      <c r="CJ72">
        <v>114.24773107199999</v>
      </c>
      <c r="CK72">
        <v>99.682990018200002</v>
      </c>
      <c r="CL72">
        <v>106.106391542</v>
      </c>
      <c r="CM72">
        <v>83.564149080299998</v>
      </c>
      <c r="CN72">
        <v>92.694485336499994</v>
      </c>
      <c r="CO72">
        <v>125.420880004</v>
      </c>
      <c r="CP72">
        <v>99.328268007700004</v>
      </c>
      <c r="CQ72">
        <v>82.826346535300004</v>
      </c>
      <c r="CR72">
        <v>84.969219127000002</v>
      </c>
      <c r="CS72">
        <v>94.762948469099996</v>
      </c>
      <c r="CT72">
        <v>81.763179214100006</v>
      </c>
      <c r="CU72">
        <v>135.00951237500001</v>
      </c>
      <c r="CV72">
        <v>92.379913458700003</v>
      </c>
      <c r="CW72">
        <v>108.74315536500001</v>
      </c>
      <c r="CX72">
        <v>94.220952334700002</v>
      </c>
      <c r="CY72">
        <v>139.47642438299999</v>
      </c>
      <c r="CZ72">
        <v>123.745191937</v>
      </c>
      <c r="DA72">
        <v>114.165650537</v>
      </c>
    </row>
    <row r="73" spans="5:105" x14ac:dyDescent="0.25">
      <c r="E73">
        <f>S_plus!L73</f>
        <v>0.71000000000000041</v>
      </c>
      <c r="F73">
        <v>123.064406211</v>
      </c>
      <c r="G73">
        <v>92.856649094199994</v>
      </c>
      <c r="H73">
        <v>96.672123832899999</v>
      </c>
      <c r="I73">
        <v>105.866381549</v>
      </c>
      <c r="J73">
        <v>164.17666675699999</v>
      </c>
      <c r="K73">
        <v>108.005935944</v>
      </c>
      <c r="L73">
        <v>103.366061368</v>
      </c>
      <c r="M73">
        <v>120.32357865</v>
      </c>
      <c r="N73">
        <v>88.468033641700003</v>
      </c>
      <c r="O73">
        <v>85.097068887000006</v>
      </c>
      <c r="P73">
        <v>93.313192580000006</v>
      </c>
      <c r="Q73">
        <v>81.012682889600001</v>
      </c>
      <c r="R73">
        <v>115.26564217000001</v>
      </c>
      <c r="S73">
        <v>105.38801076599999</v>
      </c>
      <c r="T73">
        <v>95.805918375299996</v>
      </c>
      <c r="U73">
        <v>90.502824066100004</v>
      </c>
      <c r="V73">
        <v>130.67091277099999</v>
      </c>
      <c r="W73">
        <v>97.791572272099998</v>
      </c>
      <c r="X73">
        <v>76.474167797299998</v>
      </c>
      <c r="Y73">
        <v>72.890293081400003</v>
      </c>
      <c r="Z73">
        <v>96.518016267600004</v>
      </c>
      <c r="AA73">
        <v>89.646764242200007</v>
      </c>
      <c r="AB73">
        <v>126.642613492</v>
      </c>
      <c r="AC73">
        <v>121.717519995</v>
      </c>
      <c r="AD73">
        <v>99.882164434800004</v>
      </c>
      <c r="AE73">
        <v>96.311802331799996</v>
      </c>
      <c r="AF73">
        <v>115.150547577</v>
      </c>
      <c r="AG73">
        <v>104.064025067</v>
      </c>
      <c r="AH73">
        <v>104.664975864</v>
      </c>
      <c r="AI73">
        <v>113.27968061999999</v>
      </c>
      <c r="AJ73">
        <v>89.148032023200003</v>
      </c>
      <c r="AK73">
        <v>99.022075600999997</v>
      </c>
      <c r="AL73">
        <v>75.044541790599993</v>
      </c>
      <c r="AM73">
        <v>119.048532369</v>
      </c>
      <c r="AN73">
        <v>90.481669590999999</v>
      </c>
      <c r="AO73">
        <v>83.963004498999993</v>
      </c>
      <c r="AP73">
        <v>92.238243758099998</v>
      </c>
      <c r="AQ73">
        <v>107.66250710200001</v>
      </c>
      <c r="AR73">
        <v>104.973769534</v>
      </c>
      <c r="AS73">
        <v>85.014295583299997</v>
      </c>
      <c r="AT73">
        <v>82.516494505300003</v>
      </c>
      <c r="AU73">
        <v>95.551020475800001</v>
      </c>
      <c r="AV73">
        <v>92.779359402500006</v>
      </c>
      <c r="AW73">
        <v>87.438838751800006</v>
      </c>
      <c r="AX73">
        <v>108.24719956</v>
      </c>
      <c r="AY73">
        <v>118.50019994500001</v>
      </c>
      <c r="AZ73">
        <v>104.273553487</v>
      </c>
      <c r="BA73">
        <v>95.052857423500001</v>
      </c>
      <c r="BB73">
        <v>96.771214906200001</v>
      </c>
      <c r="BC73">
        <v>90.252632720400001</v>
      </c>
      <c r="BD73">
        <v>107.253998646</v>
      </c>
      <c r="BE73">
        <v>134.491270138</v>
      </c>
      <c r="BF73">
        <v>86.809374994899997</v>
      </c>
      <c r="BG73">
        <v>92.379482693400007</v>
      </c>
      <c r="BH73">
        <v>121.70773059699999</v>
      </c>
      <c r="BI73">
        <v>133.814059042</v>
      </c>
      <c r="BJ73">
        <v>112.46893964500001</v>
      </c>
      <c r="BK73">
        <v>92.663229476200001</v>
      </c>
      <c r="BL73">
        <v>82.924766008899994</v>
      </c>
      <c r="BM73">
        <v>90.362659611699996</v>
      </c>
      <c r="BN73">
        <v>107.993560962</v>
      </c>
      <c r="BO73">
        <v>123.79829574599999</v>
      </c>
      <c r="BP73">
        <v>98.485220111999993</v>
      </c>
      <c r="BQ73">
        <v>140.19633636399999</v>
      </c>
      <c r="BR73">
        <v>111.12430684900001</v>
      </c>
      <c r="BS73">
        <v>88.211057103300007</v>
      </c>
      <c r="BT73">
        <v>121.484778178</v>
      </c>
      <c r="BU73">
        <v>103.99495380800001</v>
      </c>
      <c r="BV73">
        <v>139.54081513200001</v>
      </c>
      <c r="BW73">
        <v>101.932814901</v>
      </c>
      <c r="BX73">
        <v>135.64258636400001</v>
      </c>
      <c r="BY73">
        <v>126.887866755</v>
      </c>
      <c r="BZ73">
        <v>101.262488046</v>
      </c>
      <c r="CA73">
        <v>76.483769368300003</v>
      </c>
      <c r="CB73">
        <v>119.814219444</v>
      </c>
      <c r="CC73">
        <v>107.37023210300001</v>
      </c>
      <c r="CD73">
        <v>113.55215969</v>
      </c>
      <c r="CE73">
        <v>125.79603052900001</v>
      </c>
      <c r="CF73">
        <v>121.11473441299999</v>
      </c>
      <c r="CG73">
        <v>105.94649310600001</v>
      </c>
      <c r="CH73">
        <v>68.985177626400002</v>
      </c>
      <c r="CI73">
        <v>117.061391628</v>
      </c>
      <c r="CJ73">
        <v>117.971082982</v>
      </c>
      <c r="CK73">
        <v>96.511544067100004</v>
      </c>
      <c r="CL73">
        <v>106.065296336</v>
      </c>
      <c r="CM73">
        <v>82.473990247200007</v>
      </c>
      <c r="CN73">
        <v>91.841752255800003</v>
      </c>
      <c r="CO73">
        <v>121.3750464</v>
      </c>
      <c r="CP73">
        <v>98.840866464300007</v>
      </c>
      <c r="CQ73">
        <v>80.720096392900004</v>
      </c>
      <c r="CR73">
        <v>84.286583558299995</v>
      </c>
      <c r="CS73">
        <v>98.457746757600006</v>
      </c>
      <c r="CT73">
        <v>85.468756108600004</v>
      </c>
      <c r="CU73">
        <v>138.30496504800001</v>
      </c>
      <c r="CV73">
        <v>93.579889967200003</v>
      </c>
      <c r="CW73">
        <v>109.70454379500001</v>
      </c>
      <c r="CX73">
        <v>97.602517044999999</v>
      </c>
      <c r="CY73">
        <v>138.554035769</v>
      </c>
      <c r="CZ73">
        <v>126.854373197</v>
      </c>
      <c r="DA73">
        <v>114.84470928</v>
      </c>
    </row>
    <row r="74" spans="5:105" x14ac:dyDescent="0.25">
      <c r="E74">
        <f>S_plus!L74</f>
        <v>0.72000000000000042</v>
      </c>
      <c r="F74">
        <v>121.06443803800001</v>
      </c>
      <c r="G74">
        <v>94.846651243300002</v>
      </c>
      <c r="H74">
        <v>94.989426429800005</v>
      </c>
      <c r="I74">
        <v>106.22134354799999</v>
      </c>
      <c r="J74">
        <v>155.58890068100001</v>
      </c>
      <c r="K74">
        <v>107.796913209</v>
      </c>
      <c r="L74">
        <v>102.013333902</v>
      </c>
      <c r="M74">
        <v>118.97794925300001</v>
      </c>
      <c r="N74">
        <v>87.899973195900003</v>
      </c>
      <c r="O74">
        <v>79.488284096100003</v>
      </c>
      <c r="P74">
        <v>95.147336950799996</v>
      </c>
      <c r="Q74">
        <v>78.585655421200002</v>
      </c>
      <c r="R74">
        <v>113.1132234</v>
      </c>
      <c r="S74">
        <v>105.023950582</v>
      </c>
      <c r="T74">
        <v>95.675715366600002</v>
      </c>
      <c r="U74">
        <v>92.973101358600005</v>
      </c>
      <c r="V74">
        <v>131.569827726</v>
      </c>
      <c r="W74">
        <v>94.712361916399999</v>
      </c>
      <c r="X74">
        <v>77.461525735400002</v>
      </c>
      <c r="Y74">
        <v>73.663829256599996</v>
      </c>
      <c r="Z74">
        <v>96.947895444599993</v>
      </c>
      <c r="AA74">
        <v>88.509615469600007</v>
      </c>
      <c r="AB74">
        <v>126.318959705</v>
      </c>
      <c r="AC74">
        <v>123.231944505</v>
      </c>
      <c r="AD74">
        <v>103.884399707</v>
      </c>
      <c r="AE74">
        <v>94.524352217800001</v>
      </c>
      <c r="AF74">
        <v>114.73318228799999</v>
      </c>
      <c r="AG74">
        <v>106.579144004</v>
      </c>
      <c r="AH74">
        <v>106.851514221</v>
      </c>
      <c r="AI74">
        <v>114.118043922</v>
      </c>
      <c r="AJ74">
        <v>90.235099365500005</v>
      </c>
      <c r="AK74">
        <v>99.529275519799995</v>
      </c>
      <c r="AL74">
        <v>74.266796922599994</v>
      </c>
      <c r="AM74">
        <v>122.649668585</v>
      </c>
      <c r="AN74">
        <v>86.761003088400003</v>
      </c>
      <c r="AO74">
        <v>85.327590427299995</v>
      </c>
      <c r="AP74">
        <v>92.569551146799995</v>
      </c>
      <c r="AQ74">
        <v>108.842871274</v>
      </c>
      <c r="AR74">
        <v>106.204320173</v>
      </c>
      <c r="AS74">
        <v>84.3712385985</v>
      </c>
      <c r="AT74">
        <v>83.578107800300003</v>
      </c>
      <c r="AU74">
        <v>97.259240955799996</v>
      </c>
      <c r="AV74">
        <v>92.338846262999994</v>
      </c>
      <c r="AW74">
        <v>87.267353380900005</v>
      </c>
      <c r="AX74">
        <v>111.396133216</v>
      </c>
      <c r="AY74">
        <v>114.388656836</v>
      </c>
      <c r="AZ74">
        <v>106.83938360000001</v>
      </c>
      <c r="BA74">
        <v>96.023287838900004</v>
      </c>
      <c r="BB74">
        <v>97.174245455700003</v>
      </c>
      <c r="BC74">
        <v>89.059010508499995</v>
      </c>
      <c r="BD74">
        <v>106.57700509999999</v>
      </c>
      <c r="BE74">
        <v>136.88809339400001</v>
      </c>
      <c r="BF74">
        <v>86.743888712399993</v>
      </c>
      <c r="BG74">
        <v>91.462757668500004</v>
      </c>
      <c r="BH74">
        <v>123.557395056</v>
      </c>
      <c r="BI74">
        <v>133.10965168999999</v>
      </c>
      <c r="BJ74">
        <v>111.774863287</v>
      </c>
      <c r="BK74">
        <v>92.859086264499993</v>
      </c>
      <c r="BL74">
        <v>85.845876163499995</v>
      </c>
      <c r="BM74">
        <v>88.854242160300004</v>
      </c>
      <c r="BN74">
        <v>108.917217189</v>
      </c>
      <c r="BO74">
        <v>125.60421789599999</v>
      </c>
      <c r="BP74">
        <v>99.209390693299994</v>
      </c>
      <c r="BQ74">
        <v>140.80099339399999</v>
      </c>
      <c r="BR74">
        <v>112.73960883700001</v>
      </c>
      <c r="BS74">
        <v>86.354778809300001</v>
      </c>
      <c r="BT74">
        <v>120.172683397</v>
      </c>
      <c r="BU74">
        <v>107.71767470499999</v>
      </c>
      <c r="BV74">
        <v>137.488251967</v>
      </c>
      <c r="BW74">
        <v>99.800391603099996</v>
      </c>
      <c r="BX74">
        <v>138.61975969599999</v>
      </c>
      <c r="BY74">
        <v>130.77907217399999</v>
      </c>
      <c r="BZ74">
        <v>104.284103199</v>
      </c>
      <c r="CA74">
        <v>79.975051434600005</v>
      </c>
      <c r="CB74">
        <v>117.332338828</v>
      </c>
      <c r="CC74">
        <v>108.09053505599999</v>
      </c>
      <c r="CD74">
        <v>111.374000048</v>
      </c>
      <c r="CE74">
        <v>126.730703721</v>
      </c>
      <c r="CF74">
        <v>123.465849026</v>
      </c>
      <c r="CG74">
        <v>109.461882398</v>
      </c>
      <c r="CH74">
        <v>70.582489892500007</v>
      </c>
      <c r="CI74">
        <v>118.670373641</v>
      </c>
      <c r="CJ74">
        <v>118.566078379</v>
      </c>
      <c r="CK74">
        <v>101.19456348200001</v>
      </c>
      <c r="CL74">
        <v>105.897497458</v>
      </c>
      <c r="CM74">
        <v>82.256230102499998</v>
      </c>
      <c r="CN74">
        <v>90.431518379500005</v>
      </c>
      <c r="CO74">
        <v>130.31186069500001</v>
      </c>
      <c r="CP74">
        <v>97.248823641000001</v>
      </c>
      <c r="CQ74">
        <v>79.920336008999996</v>
      </c>
      <c r="CR74">
        <v>85.868759346800005</v>
      </c>
      <c r="CS74">
        <v>97.063939142699994</v>
      </c>
      <c r="CT74">
        <v>83.463611408899993</v>
      </c>
      <c r="CU74">
        <v>137.50094055700001</v>
      </c>
      <c r="CV74">
        <v>95.132984538499997</v>
      </c>
      <c r="CW74">
        <v>106.88403867700001</v>
      </c>
      <c r="CX74">
        <v>100.36001267499999</v>
      </c>
      <c r="CY74">
        <v>136.13244644299999</v>
      </c>
      <c r="CZ74">
        <v>123.45738946</v>
      </c>
      <c r="DA74">
        <v>114.902593731</v>
      </c>
    </row>
    <row r="75" spans="5:105" x14ac:dyDescent="0.25">
      <c r="E75">
        <f>S_plus!L75</f>
        <v>0.73000000000000043</v>
      </c>
      <c r="F75">
        <v>119.116385568</v>
      </c>
      <c r="G75">
        <v>96.871824162799996</v>
      </c>
      <c r="H75">
        <v>94.086004722499993</v>
      </c>
      <c r="I75">
        <v>105.551063392</v>
      </c>
      <c r="J75">
        <v>155.33239583100001</v>
      </c>
      <c r="K75">
        <v>107.40997162799999</v>
      </c>
      <c r="L75">
        <v>101.95342258399999</v>
      </c>
      <c r="M75">
        <v>117.734445233</v>
      </c>
      <c r="N75">
        <v>88.594528959499996</v>
      </c>
      <c r="O75">
        <v>80.900487286499995</v>
      </c>
      <c r="P75">
        <v>95.717077023900003</v>
      </c>
      <c r="Q75">
        <v>77.300753420700005</v>
      </c>
      <c r="R75">
        <v>113.301885638</v>
      </c>
      <c r="S75">
        <v>105.153021376</v>
      </c>
      <c r="T75">
        <v>97.428715920299993</v>
      </c>
      <c r="U75">
        <v>93.016743751700005</v>
      </c>
      <c r="V75">
        <v>127.191334568</v>
      </c>
      <c r="W75">
        <v>96.240446508000005</v>
      </c>
      <c r="X75">
        <v>75.448149757799996</v>
      </c>
      <c r="Y75">
        <v>73.126834705899995</v>
      </c>
      <c r="Z75">
        <v>101.131166663</v>
      </c>
      <c r="AA75">
        <v>85.527547525700001</v>
      </c>
      <c r="AB75">
        <v>129.480266793</v>
      </c>
      <c r="AC75">
        <v>124.425881561</v>
      </c>
      <c r="AD75">
        <v>107.08651389400001</v>
      </c>
      <c r="AE75">
        <v>94.253011157900005</v>
      </c>
      <c r="AF75">
        <v>114.254078486</v>
      </c>
      <c r="AG75">
        <v>108.39124229700001</v>
      </c>
      <c r="AH75">
        <v>106.006709031</v>
      </c>
      <c r="AI75">
        <v>111.322444662</v>
      </c>
      <c r="AJ75">
        <v>89.488929144599993</v>
      </c>
      <c r="AK75">
        <v>100.816945026</v>
      </c>
      <c r="AL75">
        <v>76.785707053799996</v>
      </c>
      <c r="AM75">
        <v>117.015114213</v>
      </c>
      <c r="AN75">
        <v>88.037708582099995</v>
      </c>
      <c r="AO75">
        <v>84.879328504200004</v>
      </c>
      <c r="AP75">
        <v>93.085587611799994</v>
      </c>
      <c r="AQ75">
        <v>104.124113368</v>
      </c>
      <c r="AR75">
        <v>107.84297867399999</v>
      </c>
      <c r="AS75">
        <v>84.193201418699999</v>
      </c>
      <c r="AT75">
        <v>84.587087630599996</v>
      </c>
      <c r="AU75">
        <v>99.454136665299998</v>
      </c>
      <c r="AV75">
        <v>91.582650604999998</v>
      </c>
      <c r="AW75">
        <v>87.633671916699996</v>
      </c>
      <c r="AX75">
        <v>108.06734466</v>
      </c>
      <c r="AY75">
        <v>119.748853688</v>
      </c>
      <c r="AZ75">
        <v>108.012190359</v>
      </c>
      <c r="BA75">
        <v>94.370218760599997</v>
      </c>
      <c r="BB75">
        <v>97.454282654099998</v>
      </c>
      <c r="BC75">
        <v>89.068857475000002</v>
      </c>
      <c r="BD75">
        <v>107.560776545</v>
      </c>
      <c r="BE75">
        <v>135.76840656499999</v>
      </c>
      <c r="BF75">
        <v>85.505685429699994</v>
      </c>
      <c r="BG75">
        <v>94.2893701295</v>
      </c>
      <c r="BH75">
        <v>122.573240408</v>
      </c>
      <c r="BI75">
        <v>136.69326102599999</v>
      </c>
      <c r="BJ75">
        <v>110.00835600400001</v>
      </c>
      <c r="BK75">
        <v>90.662964607199996</v>
      </c>
      <c r="BL75">
        <v>88.388588640699993</v>
      </c>
      <c r="BM75">
        <v>89.625147522800006</v>
      </c>
      <c r="BN75">
        <v>113.880183582</v>
      </c>
      <c r="BO75">
        <v>126.91544295200001</v>
      </c>
      <c r="BP75">
        <v>96.005924469000007</v>
      </c>
      <c r="BQ75">
        <v>140.244680628</v>
      </c>
      <c r="BR75">
        <v>118.25525851800001</v>
      </c>
      <c r="BS75">
        <v>83.633865397700006</v>
      </c>
      <c r="BT75">
        <v>119.54637454900001</v>
      </c>
      <c r="BU75">
        <v>103.373996343</v>
      </c>
      <c r="BV75">
        <v>140.71458009899999</v>
      </c>
      <c r="BW75">
        <v>99.415665103099997</v>
      </c>
      <c r="BX75">
        <v>136.79210975999999</v>
      </c>
      <c r="BY75">
        <v>132.920110104</v>
      </c>
      <c r="BZ75">
        <v>101.779540995</v>
      </c>
      <c r="CA75">
        <v>84.552017542399994</v>
      </c>
      <c r="CB75">
        <v>114.57110275399999</v>
      </c>
      <c r="CC75">
        <v>107.29616694800001</v>
      </c>
      <c r="CD75">
        <v>110.483998356</v>
      </c>
      <c r="CE75">
        <v>125.99085123099999</v>
      </c>
      <c r="CF75">
        <v>122.376385629</v>
      </c>
      <c r="CG75">
        <v>107.312200659</v>
      </c>
      <c r="CH75">
        <v>70.797309392000003</v>
      </c>
      <c r="CI75">
        <v>119.6054532</v>
      </c>
      <c r="CJ75">
        <v>121.436923077</v>
      </c>
      <c r="CK75">
        <v>104.97787837200001</v>
      </c>
      <c r="CL75">
        <v>106.641021424</v>
      </c>
      <c r="CM75">
        <v>82.537818724299996</v>
      </c>
      <c r="CN75">
        <v>92.580548236599995</v>
      </c>
      <c r="CO75">
        <v>124.61631718700001</v>
      </c>
      <c r="CP75">
        <v>100.864241581</v>
      </c>
      <c r="CQ75">
        <v>80.746574512099997</v>
      </c>
      <c r="CR75">
        <v>85.586145225199999</v>
      </c>
      <c r="CS75">
        <v>96.108158182400004</v>
      </c>
      <c r="CT75">
        <v>82.583144349999998</v>
      </c>
      <c r="CU75">
        <v>133.25858402599999</v>
      </c>
      <c r="CV75">
        <v>93.591795448300005</v>
      </c>
      <c r="CW75">
        <v>105.76884969</v>
      </c>
      <c r="CX75">
        <v>101.009691721</v>
      </c>
      <c r="CY75">
        <v>134.11133383000001</v>
      </c>
      <c r="CZ75">
        <v>124.470699854</v>
      </c>
      <c r="DA75">
        <v>115.439066533</v>
      </c>
    </row>
    <row r="76" spans="5:105" x14ac:dyDescent="0.25">
      <c r="E76">
        <f>S_plus!L76</f>
        <v>0.74000000000000044</v>
      </c>
      <c r="F76">
        <v>118.638058796</v>
      </c>
      <c r="G76">
        <v>95.086307786099994</v>
      </c>
      <c r="H76">
        <v>96.191587100700005</v>
      </c>
      <c r="I76">
        <v>107.35798185599999</v>
      </c>
      <c r="J76">
        <v>158.026015551</v>
      </c>
      <c r="K76">
        <v>108.807012974</v>
      </c>
      <c r="L76">
        <v>101.240486585</v>
      </c>
      <c r="M76">
        <v>117.84392604</v>
      </c>
      <c r="N76">
        <v>87.922017150599999</v>
      </c>
      <c r="O76">
        <v>81.481245572600002</v>
      </c>
      <c r="P76">
        <v>95.987429779600006</v>
      </c>
      <c r="Q76">
        <v>78.133408241300003</v>
      </c>
      <c r="R76">
        <v>112.25190000800001</v>
      </c>
      <c r="S76">
        <v>105.050298715</v>
      </c>
      <c r="T76">
        <v>97.0096107281</v>
      </c>
      <c r="U76">
        <v>93.620111716400004</v>
      </c>
      <c r="V76">
        <v>125.375394434</v>
      </c>
      <c r="W76">
        <v>96.946899166700007</v>
      </c>
      <c r="X76">
        <v>76.487478181300006</v>
      </c>
      <c r="Y76">
        <v>74.994533636100002</v>
      </c>
      <c r="Z76">
        <v>98.363749185399996</v>
      </c>
      <c r="AA76">
        <v>89.774496559200003</v>
      </c>
      <c r="AB76">
        <v>127.972085978</v>
      </c>
      <c r="AC76">
        <v>120.520113841</v>
      </c>
      <c r="AD76">
        <v>107.26084876199999</v>
      </c>
      <c r="AE76">
        <v>94.541835622299999</v>
      </c>
      <c r="AF76">
        <v>111.617262211</v>
      </c>
      <c r="AG76">
        <v>109.97622676</v>
      </c>
      <c r="AH76">
        <v>104.299185634</v>
      </c>
      <c r="AI76">
        <v>109.518803801</v>
      </c>
      <c r="AJ76">
        <v>91.171447017999995</v>
      </c>
      <c r="AK76">
        <v>102.03318948099999</v>
      </c>
      <c r="AL76">
        <v>76.015095387499997</v>
      </c>
      <c r="AM76">
        <v>116.46022370599999</v>
      </c>
      <c r="AN76">
        <v>85.722648517600007</v>
      </c>
      <c r="AO76">
        <v>82.180188214200001</v>
      </c>
      <c r="AP76">
        <v>90.447291138899999</v>
      </c>
      <c r="AQ76">
        <v>104.496101139</v>
      </c>
      <c r="AR76">
        <v>109.42611044500001</v>
      </c>
      <c r="AS76">
        <v>86.649131847700005</v>
      </c>
      <c r="AT76">
        <v>84.175350962600007</v>
      </c>
      <c r="AU76">
        <v>96.980716950399994</v>
      </c>
      <c r="AV76">
        <v>92.324561282800005</v>
      </c>
      <c r="AW76">
        <v>88.044823681099999</v>
      </c>
      <c r="AX76">
        <v>107.310312119</v>
      </c>
      <c r="AY76">
        <v>122.30619766700001</v>
      </c>
      <c r="AZ76">
        <v>109.31834812300001</v>
      </c>
      <c r="BA76">
        <v>93.839718004199995</v>
      </c>
      <c r="BB76">
        <v>94.874205695000001</v>
      </c>
      <c r="BC76">
        <v>89.653863319500005</v>
      </c>
      <c r="BD76">
        <v>104.696705897</v>
      </c>
      <c r="BE76">
        <v>138.00483719299999</v>
      </c>
      <c r="BF76">
        <v>86.877478732399993</v>
      </c>
      <c r="BG76">
        <v>94.334200546299996</v>
      </c>
      <c r="BH76">
        <v>122.967566195</v>
      </c>
      <c r="BI76">
        <v>134.09882930099999</v>
      </c>
      <c r="BJ76">
        <v>105.675296972</v>
      </c>
      <c r="BK76">
        <v>92.975742795499997</v>
      </c>
      <c r="BL76">
        <v>89.390311204499994</v>
      </c>
      <c r="BM76">
        <v>87.428939638000003</v>
      </c>
      <c r="BN76">
        <v>114.051941985</v>
      </c>
      <c r="BO76">
        <v>128.475341558</v>
      </c>
      <c r="BP76">
        <v>97.121003821299993</v>
      </c>
      <c r="BQ76">
        <v>142.79921563400001</v>
      </c>
      <c r="BR76">
        <v>119.96850048500001</v>
      </c>
      <c r="BS76">
        <v>83.974453039599993</v>
      </c>
      <c r="BT76">
        <v>120.773243839</v>
      </c>
      <c r="BU76">
        <v>102.361968873</v>
      </c>
      <c r="BV76">
        <v>145.40286319200001</v>
      </c>
      <c r="BW76">
        <v>96.159356617699999</v>
      </c>
      <c r="BX76">
        <v>134.048479219</v>
      </c>
      <c r="BY76">
        <v>132.785671764</v>
      </c>
      <c r="BZ76">
        <v>98.629417595000007</v>
      </c>
      <c r="CA76">
        <v>84.375350639999994</v>
      </c>
      <c r="CB76">
        <v>114.121186237</v>
      </c>
      <c r="CC76">
        <v>104.762853267</v>
      </c>
      <c r="CD76">
        <v>108.663241876</v>
      </c>
      <c r="CE76">
        <v>123.020301319</v>
      </c>
      <c r="CF76">
        <v>120.761335524</v>
      </c>
      <c r="CG76">
        <v>104.314010866</v>
      </c>
      <c r="CH76">
        <v>72.176035711300003</v>
      </c>
      <c r="CI76">
        <v>120.861274854</v>
      </c>
      <c r="CJ76">
        <v>122.38043703</v>
      </c>
      <c r="CK76">
        <v>107.204551655</v>
      </c>
      <c r="CL76">
        <v>107.678147559</v>
      </c>
      <c r="CM76">
        <v>82.785469618099995</v>
      </c>
      <c r="CN76">
        <v>94.796199553199997</v>
      </c>
      <c r="CO76">
        <v>123.173580583</v>
      </c>
      <c r="CP76">
        <v>101.62286719799999</v>
      </c>
      <c r="CQ76">
        <v>79.166956392299994</v>
      </c>
      <c r="CR76">
        <v>85.954684162500001</v>
      </c>
      <c r="CS76">
        <v>97.932707430600004</v>
      </c>
      <c r="CT76">
        <v>80.971292458199997</v>
      </c>
      <c r="CU76">
        <v>131.234900031</v>
      </c>
      <c r="CV76">
        <v>95.182322662700003</v>
      </c>
      <c r="CW76">
        <v>105.487656801</v>
      </c>
      <c r="CX76">
        <v>98.5771986301</v>
      </c>
      <c r="CY76">
        <v>133.36160731199999</v>
      </c>
      <c r="CZ76">
        <v>121.844835637</v>
      </c>
      <c r="DA76">
        <v>116.498053674</v>
      </c>
    </row>
    <row r="77" spans="5:105" x14ac:dyDescent="0.25">
      <c r="E77">
        <f>S_plus!L77</f>
        <v>0.75000000000000044</v>
      </c>
      <c r="F77">
        <v>119.078940428</v>
      </c>
      <c r="G77">
        <v>96.643084135899997</v>
      </c>
      <c r="H77">
        <v>97.689698549400006</v>
      </c>
      <c r="I77">
        <v>108.890870811</v>
      </c>
      <c r="J77">
        <v>158.80066539800001</v>
      </c>
      <c r="K77">
        <v>110.23577617799999</v>
      </c>
      <c r="L77">
        <v>103.24763577500001</v>
      </c>
      <c r="M77">
        <v>116.30514615200001</v>
      </c>
      <c r="N77">
        <v>89.845053326699997</v>
      </c>
      <c r="O77">
        <v>83.1757914712</v>
      </c>
      <c r="P77">
        <v>96.839054297999994</v>
      </c>
      <c r="Q77">
        <v>76.6719414903</v>
      </c>
      <c r="R77">
        <v>114.38896958399999</v>
      </c>
      <c r="S77">
        <v>107.721089613</v>
      </c>
      <c r="T77">
        <v>96.574863062600002</v>
      </c>
      <c r="U77">
        <v>92.793590523800006</v>
      </c>
      <c r="V77">
        <v>122.23213214</v>
      </c>
      <c r="W77">
        <v>100.401677316</v>
      </c>
      <c r="X77">
        <v>76.262964624700004</v>
      </c>
      <c r="Y77">
        <v>74.516228107299995</v>
      </c>
      <c r="Z77">
        <v>100.122185778</v>
      </c>
      <c r="AA77">
        <v>93.068329676999994</v>
      </c>
      <c r="AB77">
        <v>123.737578222</v>
      </c>
      <c r="AC77">
        <v>121.89060006699999</v>
      </c>
      <c r="AD77">
        <v>108.22512863599999</v>
      </c>
      <c r="AE77">
        <v>94.534379057099997</v>
      </c>
      <c r="AF77">
        <v>111.63796123500001</v>
      </c>
      <c r="AG77">
        <v>106.122393801</v>
      </c>
      <c r="AH77">
        <v>101.426673419</v>
      </c>
      <c r="AI77">
        <v>111.160916439</v>
      </c>
      <c r="AJ77">
        <v>89.729371154700004</v>
      </c>
      <c r="AK77">
        <v>102.57360987</v>
      </c>
      <c r="AL77">
        <v>76.046603054299993</v>
      </c>
      <c r="AM77">
        <v>114.404879701</v>
      </c>
      <c r="AN77">
        <v>86.584946054300005</v>
      </c>
      <c r="AO77">
        <v>80.935233701900003</v>
      </c>
      <c r="AP77">
        <v>90.067751565899997</v>
      </c>
      <c r="AQ77">
        <v>101.909153238</v>
      </c>
      <c r="AR77">
        <v>113.400115253</v>
      </c>
      <c r="AS77">
        <v>86.441562408099998</v>
      </c>
      <c r="AT77">
        <v>84.059215641899996</v>
      </c>
      <c r="AU77">
        <v>96.766645801199999</v>
      </c>
      <c r="AV77">
        <v>89.359211344100004</v>
      </c>
      <c r="AW77">
        <v>89.386248338200005</v>
      </c>
      <c r="AX77">
        <v>107.572936816</v>
      </c>
      <c r="AY77">
        <v>120.514404425</v>
      </c>
      <c r="AZ77">
        <v>111.348754589</v>
      </c>
      <c r="BA77">
        <v>97.266611945099996</v>
      </c>
      <c r="BB77">
        <v>97.514574236399994</v>
      </c>
      <c r="BC77">
        <v>89.910140254200002</v>
      </c>
      <c r="BD77">
        <v>105.328807666</v>
      </c>
      <c r="BE77">
        <v>141.979464914</v>
      </c>
      <c r="BF77">
        <v>85.696750836000007</v>
      </c>
      <c r="BG77">
        <v>93.201620210599998</v>
      </c>
      <c r="BH77">
        <v>124.18981167299999</v>
      </c>
      <c r="BI77">
        <v>133.71199025799999</v>
      </c>
      <c r="BJ77">
        <v>104.98070777700001</v>
      </c>
      <c r="BK77">
        <v>93.716907944499994</v>
      </c>
      <c r="BL77">
        <v>90.963876639700004</v>
      </c>
      <c r="BM77">
        <v>83.196861354500001</v>
      </c>
      <c r="BN77">
        <v>115.983475803</v>
      </c>
      <c r="BO77">
        <v>122.45001722000001</v>
      </c>
      <c r="BP77">
        <v>94.856224412800003</v>
      </c>
      <c r="BQ77">
        <v>149.49180326800001</v>
      </c>
      <c r="BR77">
        <v>123.25055726799999</v>
      </c>
      <c r="BS77">
        <v>84.981824433</v>
      </c>
      <c r="BT77">
        <v>117.232059444</v>
      </c>
      <c r="BU77">
        <v>102.748508839</v>
      </c>
      <c r="BV77">
        <v>143.92579139399999</v>
      </c>
      <c r="BW77">
        <v>95.733032883999996</v>
      </c>
      <c r="BX77">
        <v>136.89404059399999</v>
      </c>
      <c r="BY77">
        <v>129.88778409099999</v>
      </c>
      <c r="BZ77">
        <v>101.572533502</v>
      </c>
      <c r="CA77">
        <v>85.771620887400005</v>
      </c>
      <c r="CB77">
        <v>114.87854014600001</v>
      </c>
      <c r="CC77">
        <v>102.665098125</v>
      </c>
      <c r="CD77">
        <v>106.502977024</v>
      </c>
      <c r="CE77">
        <v>120.732606477</v>
      </c>
      <c r="CF77">
        <v>121.43442965</v>
      </c>
      <c r="CG77">
        <v>108.087182748</v>
      </c>
      <c r="CH77">
        <v>73.725468429299994</v>
      </c>
      <c r="CI77">
        <v>118.694172974</v>
      </c>
      <c r="CJ77">
        <v>119.863665674</v>
      </c>
      <c r="CK77">
        <v>110.561274068</v>
      </c>
      <c r="CL77">
        <v>106.567783498</v>
      </c>
      <c r="CM77">
        <v>81.2801674448</v>
      </c>
      <c r="CN77">
        <v>94.366169466700001</v>
      </c>
      <c r="CO77">
        <v>123.163984622</v>
      </c>
      <c r="CP77">
        <v>100.96520682400001</v>
      </c>
      <c r="CQ77">
        <v>76.827278670499993</v>
      </c>
      <c r="CR77">
        <v>86.5703846949</v>
      </c>
      <c r="CS77">
        <v>96.876836864599994</v>
      </c>
      <c r="CT77">
        <v>81.115654170799999</v>
      </c>
      <c r="CU77">
        <v>133.22977726600001</v>
      </c>
      <c r="CV77">
        <v>97.724971861</v>
      </c>
      <c r="CW77">
        <v>102.212488411</v>
      </c>
      <c r="CX77">
        <v>96.911115332199998</v>
      </c>
      <c r="CY77">
        <v>131.06041575500001</v>
      </c>
      <c r="CZ77">
        <v>119.164796995</v>
      </c>
      <c r="DA77">
        <v>116.487620599</v>
      </c>
    </row>
    <row r="78" spans="5:105" x14ac:dyDescent="0.25">
      <c r="E78">
        <f>S_plus!L78</f>
        <v>0.76000000000000045</v>
      </c>
      <c r="F78">
        <v>121.529618257</v>
      </c>
      <c r="G78">
        <v>97.879419468999998</v>
      </c>
      <c r="H78">
        <v>97.030392960200004</v>
      </c>
      <c r="I78">
        <v>105.295901348</v>
      </c>
      <c r="J78">
        <v>161.86156484599999</v>
      </c>
      <c r="K78">
        <v>110.673020661</v>
      </c>
      <c r="L78">
        <v>104.602132356</v>
      </c>
      <c r="M78">
        <v>116.16770726199999</v>
      </c>
      <c r="N78">
        <v>90.008723913500006</v>
      </c>
      <c r="O78">
        <v>84.256715962399994</v>
      </c>
      <c r="P78">
        <v>94.575029294100005</v>
      </c>
      <c r="Q78">
        <v>76.189415370099994</v>
      </c>
      <c r="R78">
        <v>114.355636917</v>
      </c>
      <c r="S78">
        <v>108.01249203499999</v>
      </c>
      <c r="T78">
        <v>95.789690851000003</v>
      </c>
      <c r="U78">
        <v>94.141718540300005</v>
      </c>
      <c r="V78">
        <v>122.87748900299999</v>
      </c>
      <c r="W78">
        <v>100.30328029899999</v>
      </c>
      <c r="X78">
        <v>76.739461607999999</v>
      </c>
      <c r="Y78">
        <v>75.356886799400002</v>
      </c>
      <c r="Z78">
        <v>99.831566860899997</v>
      </c>
      <c r="AA78">
        <v>92.952075980900005</v>
      </c>
      <c r="AB78">
        <v>125.557316649</v>
      </c>
      <c r="AC78">
        <v>123.009334436</v>
      </c>
      <c r="AD78">
        <v>106.690307437</v>
      </c>
      <c r="AE78">
        <v>92.639155079899993</v>
      </c>
      <c r="AF78">
        <v>109.956740291</v>
      </c>
      <c r="AG78">
        <v>107.29252362299999</v>
      </c>
      <c r="AH78">
        <v>100.06754126</v>
      </c>
      <c r="AI78">
        <v>111.19233499800001</v>
      </c>
      <c r="AJ78">
        <v>92.126399015199993</v>
      </c>
      <c r="AK78">
        <v>103.307409054</v>
      </c>
      <c r="AL78">
        <v>76.095619166800006</v>
      </c>
      <c r="AM78">
        <v>115.677898885</v>
      </c>
      <c r="AN78">
        <v>85.589210950600005</v>
      </c>
      <c r="AO78">
        <v>82.978489603300005</v>
      </c>
      <c r="AP78">
        <v>91.78460149</v>
      </c>
      <c r="AQ78">
        <v>103.708563368</v>
      </c>
      <c r="AR78">
        <v>113.31326522400001</v>
      </c>
      <c r="AS78">
        <v>86.404166502999999</v>
      </c>
      <c r="AT78">
        <v>84.629789928600005</v>
      </c>
      <c r="AU78">
        <v>97.093391431599997</v>
      </c>
      <c r="AV78">
        <v>91.056736914400005</v>
      </c>
      <c r="AW78">
        <v>90.437318364500001</v>
      </c>
      <c r="AX78">
        <v>109.30900254300001</v>
      </c>
      <c r="AY78">
        <v>120.536969947</v>
      </c>
      <c r="AZ78">
        <v>114.774263898</v>
      </c>
      <c r="BA78">
        <v>99.119399341999994</v>
      </c>
      <c r="BB78">
        <v>101.552695156</v>
      </c>
      <c r="BC78">
        <v>89.504882148799993</v>
      </c>
      <c r="BD78">
        <v>101.64207659500001</v>
      </c>
      <c r="BE78">
        <v>139.70707754099999</v>
      </c>
      <c r="BF78">
        <v>83.499318288599994</v>
      </c>
      <c r="BG78">
        <v>90.969829106099994</v>
      </c>
      <c r="BH78">
        <v>122.861272933</v>
      </c>
      <c r="BI78">
        <v>133.42118848199999</v>
      </c>
      <c r="BJ78">
        <v>105.65655853299999</v>
      </c>
      <c r="BK78">
        <v>94.576997908400003</v>
      </c>
      <c r="BL78">
        <v>91.328166300500001</v>
      </c>
      <c r="BM78">
        <v>85.051834818000003</v>
      </c>
      <c r="BN78">
        <v>116.526749714</v>
      </c>
      <c r="BO78">
        <v>120.90066730700001</v>
      </c>
      <c r="BP78">
        <v>93.669809520200005</v>
      </c>
      <c r="BQ78">
        <v>150.985098564</v>
      </c>
      <c r="BR78">
        <v>125.230832072</v>
      </c>
      <c r="BS78">
        <v>81.853085287200003</v>
      </c>
      <c r="BT78">
        <v>116.434742439</v>
      </c>
      <c r="BU78">
        <v>102.952369906</v>
      </c>
      <c r="BV78">
        <v>146.29603029899999</v>
      </c>
      <c r="BW78">
        <v>94.862816796900006</v>
      </c>
      <c r="BX78">
        <v>136.315097221</v>
      </c>
      <c r="BY78">
        <v>131.187788267</v>
      </c>
      <c r="BZ78">
        <v>98.404942602399998</v>
      </c>
      <c r="CA78">
        <v>85.470305039899998</v>
      </c>
      <c r="CB78">
        <v>116.65835643200001</v>
      </c>
      <c r="CC78">
        <v>99.935209153800002</v>
      </c>
      <c r="CD78">
        <v>105.062748328</v>
      </c>
      <c r="CE78">
        <v>121.530000488</v>
      </c>
      <c r="CF78">
        <v>123.20063675599999</v>
      </c>
      <c r="CG78">
        <v>108.256906759</v>
      </c>
      <c r="CH78">
        <v>73.489267255499996</v>
      </c>
      <c r="CI78">
        <v>116.83275635699999</v>
      </c>
      <c r="CJ78">
        <v>122.348475412</v>
      </c>
      <c r="CK78">
        <v>110.664684518</v>
      </c>
      <c r="CL78">
        <v>107.78412019300001</v>
      </c>
      <c r="CM78">
        <v>82.338589822499998</v>
      </c>
      <c r="CN78">
        <v>92.467438754499995</v>
      </c>
      <c r="CO78">
        <v>123.492781687</v>
      </c>
      <c r="CP78">
        <v>101.537536515</v>
      </c>
      <c r="CQ78">
        <v>74.442078470699997</v>
      </c>
      <c r="CR78">
        <v>81.8280784942</v>
      </c>
      <c r="CS78">
        <v>99.228886673900007</v>
      </c>
      <c r="CT78">
        <v>85.043577931599998</v>
      </c>
      <c r="CU78">
        <v>137.848616776</v>
      </c>
      <c r="CV78">
        <v>96.970705310499994</v>
      </c>
      <c r="CW78">
        <v>104.09882243200001</v>
      </c>
      <c r="CX78">
        <v>97.874057980499998</v>
      </c>
      <c r="CY78">
        <v>129.03206035100001</v>
      </c>
      <c r="CZ78">
        <v>123.646153216</v>
      </c>
      <c r="DA78">
        <v>117.046343248</v>
      </c>
    </row>
    <row r="79" spans="5:105" x14ac:dyDescent="0.25">
      <c r="E79">
        <f>S_plus!L79</f>
        <v>0.77000000000000046</v>
      </c>
      <c r="F79">
        <v>127.106826223</v>
      </c>
      <c r="G79">
        <v>98.829625409299993</v>
      </c>
      <c r="H79">
        <v>100.945620823</v>
      </c>
      <c r="I79">
        <v>101.961924733</v>
      </c>
      <c r="J79">
        <v>155.77058392399999</v>
      </c>
      <c r="K79">
        <v>108.641163428</v>
      </c>
      <c r="L79">
        <v>105.578664655</v>
      </c>
      <c r="M79">
        <v>120.383690864</v>
      </c>
      <c r="N79">
        <v>88.3837173597</v>
      </c>
      <c r="O79">
        <v>84.251423207599998</v>
      </c>
      <c r="P79">
        <v>92.632541828499996</v>
      </c>
      <c r="Q79">
        <v>76.805918697199999</v>
      </c>
      <c r="R79">
        <v>115.20280703500001</v>
      </c>
      <c r="S79">
        <v>109.04009713400001</v>
      </c>
      <c r="T79">
        <v>100.538119761</v>
      </c>
      <c r="U79">
        <v>93.655940207100002</v>
      </c>
      <c r="V79">
        <v>129.92814066700001</v>
      </c>
      <c r="W79">
        <v>101.618696668</v>
      </c>
      <c r="X79">
        <v>77.424288407099993</v>
      </c>
      <c r="Y79">
        <v>76.603672126399999</v>
      </c>
      <c r="Z79">
        <v>95.526795200099997</v>
      </c>
      <c r="AA79">
        <v>92.475056631599998</v>
      </c>
      <c r="AB79">
        <v>124.19997395199999</v>
      </c>
      <c r="AC79">
        <v>121.00956908800001</v>
      </c>
      <c r="AD79">
        <v>105.73384869500001</v>
      </c>
      <c r="AE79">
        <v>89.917885974800001</v>
      </c>
      <c r="AF79">
        <v>107.489354538</v>
      </c>
      <c r="AG79">
        <v>108.579083246</v>
      </c>
      <c r="AH79">
        <v>101.189402484</v>
      </c>
      <c r="AI79">
        <v>107.794163674</v>
      </c>
      <c r="AJ79">
        <v>92.763537332300004</v>
      </c>
      <c r="AK79">
        <v>100.43784517</v>
      </c>
      <c r="AL79">
        <v>74.714910886300004</v>
      </c>
      <c r="AM79">
        <v>112.702602605</v>
      </c>
      <c r="AN79">
        <v>84.682910899099994</v>
      </c>
      <c r="AO79">
        <v>85.749815489900001</v>
      </c>
      <c r="AP79">
        <v>92.594482789599994</v>
      </c>
      <c r="AQ79">
        <v>103.47346861299999</v>
      </c>
      <c r="AR79">
        <v>113.593596335</v>
      </c>
      <c r="AS79">
        <v>87.074947807699999</v>
      </c>
      <c r="AT79">
        <v>83.057627530199994</v>
      </c>
      <c r="AU79">
        <v>100.999372851</v>
      </c>
      <c r="AV79">
        <v>89.563440286800002</v>
      </c>
      <c r="AW79">
        <v>87.127577218300004</v>
      </c>
      <c r="AX79">
        <v>107.49812955</v>
      </c>
      <c r="AY79">
        <v>121.228230536</v>
      </c>
      <c r="AZ79">
        <v>118.12932106300001</v>
      </c>
      <c r="BA79">
        <v>92.818146279399997</v>
      </c>
      <c r="BB79">
        <v>104.602496421</v>
      </c>
      <c r="BC79">
        <v>87.726771080999995</v>
      </c>
      <c r="BD79">
        <v>99.6895971581</v>
      </c>
      <c r="BE79">
        <v>142.19044337599999</v>
      </c>
      <c r="BF79">
        <v>85.782295393300004</v>
      </c>
      <c r="BG79">
        <v>89.406008794399995</v>
      </c>
      <c r="BH79">
        <v>119.661673665</v>
      </c>
      <c r="BI79">
        <v>134.04117872</v>
      </c>
      <c r="BJ79">
        <v>104.120710753</v>
      </c>
      <c r="BK79">
        <v>93.997517413699995</v>
      </c>
      <c r="BL79">
        <v>92.1097573797</v>
      </c>
      <c r="BM79">
        <v>86.045502832899999</v>
      </c>
      <c r="BN79">
        <v>118.603910946</v>
      </c>
      <c r="BO79">
        <v>122.0980361</v>
      </c>
      <c r="BP79">
        <v>93.326642466699994</v>
      </c>
      <c r="BQ79">
        <v>149.749551508</v>
      </c>
      <c r="BR79">
        <v>120.9989965</v>
      </c>
      <c r="BS79">
        <v>82.487083321300005</v>
      </c>
      <c r="BT79">
        <v>114.612024815</v>
      </c>
      <c r="BU79">
        <v>103.59628814200001</v>
      </c>
      <c r="BV79">
        <v>148.83169820000001</v>
      </c>
      <c r="BW79">
        <v>96.880564946299998</v>
      </c>
      <c r="BX79">
        <v>129.76767835000001</v>
      </c>
      <c r="BY79">
        <v>131.54381578300001</v>
      </c>
      <c r="BZ79">
        <v>100.964598104</v>
      </c>
      <c r="CA79">
        <v>84.725285881399998</v>
      </c>
      <c r="CB79">
        <v>118.767283995</v>
      </c>
      <c r="CC79">
        <v>99.020430566900004</v>
      </c>
      <c r="CD79">
        <v>103.90230459199999</v>
      </c>
      <c r="CE79">
        <v>120.834021983</v>
      </c>
      <c r="CF79">
        <v>125.183765872</v>
      </c>
      <c r="CG79">
        <v>105.306515698</v>
      </c>
      <c r="CH79">
        <v>72.583353305900005</v>
      </c>
      <c r="CI79">
        <v>120.27246042</v>
      </c>
      <c r="CJ79">
        <v>123.378122182</v>
      </c>
      <c r="CK79">
        <v>111.13482265099999</v>
      </c>
      <c r="CL79">
        <v>107.09284634799999</v>
      </c>
      <c r="CM79">
        <v>78.820677779199997</v>
      </c>
      <c r="CN79">
        <v>90.980619715200007</v>
      </c>
      <c r="CO79">
        <v>127.18870216400001</v>
      </c>
      <c r="CP79">
        <v>102.284237508</v>
      </c>
      <c r="CQ79">
        <v>77.629490903399997</v>
      </c>
      <c r="CR79">
        <v>82.8708648203</v>
      </c>
      <c r="CS79">
        <v>99.011735467600005</v>
      </c>
      <c r="CT79">
        <v>85.624723761200002</v>
      </c>
      <c r="CU79">
        <v>141.99803748100001</v>
      </c>
      <c r="CV79">
        <v>95.686679457500006</v>
      </c>
      <c r="CW79">
        <v>102.935622657</v>
      </c>
      <c r="CX79">
        <v>98.5186766777</v>
      </c>
      <c r="CY79">
        <v>132.480529534</v>
      </c>
      <c r="CZ79">
        <v>121.795069971</v>
      </c>
      <c r="DA79">
        <v>113.498886942</v>
      </c>
    </row>
    <row r="80" spans="5:105" x14ac:dyDescent="0.25">
      <c r="E80">
        <f>S_plus!L80</f>
        <v>0.78000000000000047</v>
      </c>
      <c r="F80">
        <v>130.96821225599999</v>
      </c>
      <c r="G80">
        <v>97.879574372700006</v>
      </c>
      <c r="H80">
        <v>100.215381603</v>
      </c>
      <c r="I80">
        <v>105.630649202</v>
      </c>
      <c r="J80">
        <v>158.01983618700001</v>
      </c>
      <c r="K80">
        <v>108.145940932</v>
      </c>
      <c r="L80">
        <v>104.567527258</v>
      </c>
      <c r="M80">
        <v>116.056812752</v>
      </c>
      <c r="N80">
        <v>88.986709397799999</v>
      </c>
      <c r="O80">
        <v>82.2804491845</v>
      </c>
      <c r="P80">
        <v>92.385054162700001</v>
      </c>
      <c r="Q80">
        <v>78.194859965999996</v>
      </c>
      <c r="R80">
        <v>116.125828121</v>
      </c>
      <c r="S80">
        <v>107.05830284300001</v>
      </c>
      <c r="T80">
        <v>101.797169934</v>
      </c>
      <c r="U80">
        <v>92.390796244599997</v>
      </c>
      <c r="V80">
        <v>125.93599461399999</v>
      </c>
      <c r="W80">
        <v>105.39477993200001</v>
      </c>
      <c r="X80">
        <v>76.3849553222</v>
      </c>
      <c r="Y80">
        <v>76.597894202399999</v>
      </c>
      <c r="Z80">
        <v>94.420505916799996</v>
      </c>
      <c r="AA80">
        <v>91.287583803399997</v>
      </c>
      <c r="AB80">
        <v>121.668079914</v>
      </c>
      <c r="AC80">
        <v>117.749962802</v>
      </c>
      <c r="AD80">
        <v>108.18260733</v>
      </c>
      <c r="AE80">
        <v>86.481232053799999</v>
      </c>
      <c r="AF80">
        <v>106.25149905799999</v>
      </c>
      <c r="AG80">
        <v>106.993326967</v>
      </c>
      <c r="AH80">
        <v>103.107267114</v>
      </c>
      <c r="AI80">
        <v>107.36852551699999</v>
      </c>
      <c r="AJ80">
        <v>92.551264704199994</v>
      </c>
      <c r="AK80">
        <v>98.577951607100005</v>
      </c>
      <c r="AL80">
        <v>77.451907019700002</v>
      </c>
      <c r="AM80">
        <v>114.218893189</v>
      </c>
      <c r="AN80">
        <v>84.208504029400004</v>
      </c>
      <c r="AO80">
        <v>84.051385407699996</v>
      </c>
      <c r="AP80">
        <v>91.449834896200002</v>
      </c>
      <c r="AQ80">
        <v>105.653574525</v>
      </c>
      <c r="AR80">
        <v>115.68022322</v>
      </c>
      <c r="AS80">
        <v>82.663513773299997</v>
      </c>
      <c r="AT80">
        <v>83.082970489800005</v>
      </c>
      <c r="AU80">
        <v>104.839743574</v>
      </c>
      <c r="AV80">
        <v>91.468508373299997</v>
      </c>
      <c r="AW80">
        <v>87.668889126500005</v>
      </c>
      <c r="AX80">
        <v>107.794069725</v>
      </c>
      <c r="AY80">
        <v>122.328552918</v>
      </c>
      <c r="AZ80">
        <v>124.287311583</v>
      </c>
      <c r="BA80">
        <v>92.788541409900006</v>
      </c>
      <c r="BB80">
        <v>106.732098323</v>
      </c>
      <c r="BC80">
        <v>89.052799826899999</v>
      </c>
      <c r="BD80">
        <v>100.00682280300001</v>
      </c>
      <c r="BE80">
        <v>138.42589155100001</v>
      </c>
      <c r="BF80">
        <v>83.353423841400001</v>
      </c>
      <c r="BG80">
        <v>87.483169589499994</v>
      </c>
      <c r="BH80">
        <v>120.352272</v>
      </c>
      <c r="BI80">
        <v>133.847682784</v>
      </c>
      <c r="BJ80">
        <v>105.791209279</v>
      </c>
      <c r="BK80">
        <v>96.151739277399997</v>
      </c>
      <c r="BL80">
        <v>93.265350405700005</v>
      </c>
      <c r="BM80">
        <v>83.991204363899996</v>
      </c>
      <c r="BN80">
        <v>120.089035657</v>
      </c>
      <c r="BO80">
        <v>121.97554440499999</v>
      </c>
      <c r="BP80">
        <v>93.853291916800003</v>
      </c>
      <c r="BQ80">
        <v>146.965198638</v>
      </c>
      <c r="BR80">
        <v>124.52651351999999</v>
      </c>
      <c r="BS80">
        <v>82.109764881499999</v>
      </c>
      <c r="BT80">
        <v>115.745891249</v>
      </c>
      <c r="BU80">
        <v>106.783016816</v>
      </c>
      <c r="BV80">
        <v>142.409410423</v>
      </c>
      <c r="BW80">
        <v>94.968090728799993</v>
      </c>
      <c r="BX80">
        <v>129.50518779199999</v>
      </c>
      <c r="BY80">
        <v>134.664919914</v>
      </c>
      <c r="BZ80">
        <v>101.579291097</v>
      </c>
      <c r="CA80">
        <v>86.076703591799998</v>
      </c>
      <c r="CB80">
        <v>120.178578265</v>
      </c>
      <c r="CC80">
        <v>100.88090100300001</v>
      </c>
      <c r="CD80">
        <v>100.979536121</v>
      </c>
      <c r="CE80">
        <v>121.012765358</v>
      </c>
      <c r="CF80">
        <v>127.26427335</v>
      </c>
      <c r="CG80">
        <v>105.324527933</v>
      </c>
      <c r="CH80">
        <v>70.597215708999997</v>
      </c>
      <c r="CI80">
        <v>121.314590475</v>
      </c>
      <c r="CJ80">
        <v>125.82362921399999</v>
      </c>
      <c r="CK80">
        <v>110.65722531599999</v>
      </c>
      <c r="CL80">
        <v>109.864877869</v>
      </c>
      <c r="CM80">
        <v>81.143255028499993</v>
      </c>
      <c r="CN80">
        <v>90.458237554099995</v>
      </c>
      <c r="CO80">
        <v>132.00967695899999</v>
      </c>
      <c r="CP80">
        <v>98.905217029100001</v>
      </c>
      <c r="CQ80">
        <v>78.087234242999997</v>
      </c>
      <c r="CR80">
        <v>84.5259634027</v>
      </c>
      <c r="CS80">
        <v>98.774042206499999</v>
      </c>
      <c r="CT80">
        <v>88.928693107499996</v>
      </c>
      <c r="CU80">
        <v>141.07082627200001</v>
      </c>
      <c r="CV80">
        <v>96.535701228899995</v>
      </c>
      <c r="CW80">
        <v>105.738863847</v>
      </c>
      <c r="CX80">
        <v>98.313254582799999</v>
      </c>
      <c r="CY80">
        <v>131.73578178400001</v>
      </c>
      <c r="CZ80">
        <v>122.34458086399999</v>
      </c>
      <c r="DA80">
        <v>116.123316688</v>
      </c>
    </row>
    <row r="81" spans="5:105" x14ac:dyDescent="0.25">
      <c r="E81">
        <f>S_plus!L81</f>
        <v>0.79000000000000048</v>
      </c>
      <c r="F81">
        <v>128.582124233</v>
      </c>
      <c r="G81">
        <v>96.530745273500003</v>
      </c>
      <c r="H81">
        <v>100.570688903</v>
      </c>
      <c r="I81">
        <v>104.017505223</v>
      </c>
      <c r="J81">
        <v>160.24777285799999</v>
      </c>
      <c r="K81">
        <v>108.54654797000001</v>
      </c>
      <c r="L81">
        <v>102.975661622</v>
      </c>
      <c r="M81">
        <v>115.99320000900001</v>
      </c>
      <c r="N81">
        <v>90.880305284599999</v>
      </c>
      <c r="O81">
        <v>80.577438521399998</v>
      </c>
      <c r="P81">
        <v>92.196979243599998</v>
      </c>
      <c r="Q81">
        <v>75.361128632100005</v>
      </c>
      <c r="R81">
        <v>117.794348188</v>
      </c>
      <c r="S81">
        <v>102.856003141</v>
      </c>
      <c r="T81">
        <v>101.014336555</v>
      </c>
      <c r="U81">
        <v>93.182891784399999</v>
      </c>
      <c r="V81">
        <v>126.877427482</v>
      </c>
      <c r="W81">
        <v>108.16103008499999</v>
      </c>
      <c r="X81">
        <v>75.713938687899997</v>
      </c>
      <c r="Y81">
        <v>78.209096210799999</v>
      </c>
      <c r="Z81">
        <v>92.577109743299999</v>
      </c>
      <c r="AA81">
        <v>89.581283816199999</v>
      </c>
      <c r="AB81">
        <v>124.546013241</v>
      </c>
      <c r="AC81">
        <v>113.240141042</v>
      </c>
      <c r="AD81">
        <v>110.32252897399999</v>
      </c>
      <c r="AE81">
        <v>86.480659905500005</v>
      </c>
      <c r="AF81">
        <v>104.79069037799999</v>
      </c>
      <c r="AG81">
        <v>104.39001177</v>
      </c>
      <c r="AH81">
        <v>104.437469361</v>
      </c>
      <c r="AI81">
        <v>103.868352943</v>
      </c>
      <c r="AJ81">
        <v>89.085140027099996</v>
      </c>
      <c r="AK81">
        <v>100.873922529</v>
      </c>
      <c r="AL81">
        <v>78.548053983900004</v>
      </c>
      <c r="AM81">
        <v>114.01890540700001</v>
      </c>
      <c r="AN81">
        <v>85.644813873700002</v>
      </c>
      <c r="AO81">
        <v>84.537550930400002</v>
      </c>
      <c r="AP81">
        <v>91.816668180299999</v>
      </c>
      <c r="AQ81">
        <v>107.20688932</v>
      </c>
      <c r="AR81">
        <v>116.16720872400001</v>
      </c>
      <c r="AS81">
        <v>82.836605020500002</v>
      </c>
      <c r="AT81">
        <v>81.742147218499994</v>
      </c>
      <c r="AU81">
        <v>101.48668963599999</v>
      </c>
      <c r="AV81">
        <v>90.525206845599996</v>
      </c>
      <c r="AW81">
        <v>83.800300300700002</v>
      </c>
      <c r="AX81">
        <v>105.41864808699999</v>
      </c>
      <c r="AY81">
        <v>127.223970814</v>
      </c>
      <c r="AZ81">
        <v>122.912269732</v>
      </c>
      <c r="BA81">
        <v>95.317370417800007</v>
      </c>
      <c r="BB81">
        <v>105.839053584</v>
      </c>
      <c r="BC81">
        <v>90.721498561399997</v>
      </c>
      <c r="BD81">
        <v>96.515022167300003</v>
      </c>
      <c r="BE81">
        <v>139.480273974</v>
      </c>
      <c r="BF81">
        <v>84.737240799600002</v>
      </c>
      <c r="BG81">
        <v>88.236469001700002</v>
      </c>
      <c r="BH81">
        <v>122.459522134</v>
      </c>
      <c r="BI81">
        <v>135.8299988</v>
      </c>
      <c r="BJ81">
        <v>108.14621692999999</v>
      </c>
      <c r="BK81">
        <v>91.988121742000004</v>
      </c>
      <c r="BL81">
        <v>91.4190518427</v>
      </c>
      <c r="BM81">
        <v>86.565294354100004</v>
      </c>
      <c r="BN81">
        <v>122.13946687399999</v>
      </c>
      <c r="BO81">
        <v>120.957610981</v>
      </c>
      <c r="BP81">
        <v>92.582069910000001</v>
      </c>
      <c r="BQ81">
        <v>145.71062367600001</v>
      </c>
      <c r="BR81">
        <v>125.877909534</v>
      </c>
      <c r="BS81">
        <v>81.611971100900007</v>
      </c>
      <c r="BT81">
        <v>119.65726434699999</v>
      </c>
      <c r="BU81">
        <v>109.450466898</v>
      </c>
      <c r="BV81">
        <v>140.39497080999999</v>
      </c>
      <c r="BW81">
        <v>95.282846950099994</v>
      </c>
      <c r="BX81">
        <v>132.95659124599999</v>
      </c>
      <c r="BY81">
        <v>137.38968631899999</v>
      </c>
      <c r="BZ81">
        <v>99.985219411100005</v>
      </c>
      <c r="CA81">
        <v>85.106894578500004</v>
      </c>
      <c r="CB81">
        <v>119.409342119</v>
      </c>
      <c r="CC81">
        <v>101.175969478</v>
      </c>
      <c r="CD81">
        <v>103.220314896</v>
      </c>
      <c r="CE81">
        <v>120.886675681</v>
      </c>
      <c r="CF81">
        <v>124.30571729099999</v>
      </c>
      <c r="CG81">
        <v>103.453775791</v>
      </c>
      <c r="CH81">
        <v>71.6609923157</v>
      </c>
      <c r="CI81">
        <v>125.032607117</v>
      </c>
      <c r="CJ81">
        <v>127.82656003300001</v>
      </c>
      <c r="CK81">
        <v>108.91137015699999</v>
      </c>
      <c r="CL81">
        <v>110.954535009</v>
      </c>
      <c r="CM81">
        <v>81.953361460300002</v>
      </c>
      <c r="CN81">
        <v>89.577770078599997</v>
      </c>
      <c r="CO81">
        <v>130.99407361499999</v>
      </c>
      <c r="CP81">
        <v>97.484571453399994</v>
      </c>
      <c r="CQ81">
        <v>79.861698728700006</v>
      </c>
      <c r="CR81">
        <v>88.408762127900005</v>
      </c>
      <c r="CS81">
        <v>99.3915755827</v>
      </c>
      <c r="CT81">
        <v>88.230627968899995</v>
      </c>
      <c r="CU81">
        <v>144.340490037</v>
      </c>
      <c r="CV81">
        <v>95.921580881599994</v>
      </c>
      <c r="CW81">
        <v>102.85823680999999</v>
      </c>
      <c r="CX81">
        <v>98.550470263199998</v>
      </c>
      <c r="CY81">
        <v>130.47288716700001</v>
      </c>
      <c r="CZ81">
        <v>121.646851223</v>
      </c>
      <c r="DA81">
        <v>120.244649443</v>
      </c>
    </row>
    <row r="82" spans="5:105" x14ac:dyDescent="0.25">
      <c r="E82">
        <f>S_plus!L82</f>
        <v>0.80000000000000049</v>
      </c>
      <c r="F82">
        <v>128.80024517699999</v>
      </c>
      <c r="G82">
        <v>96.383869801200007</v>
      </c>
      <c r="H82">
        <v>99.6480083796</v>
      </c>
      <c r="I82">
        <v>105.977660434</v>
      </c>
      <c r="J82">
        <v>158.29456100900001</v>
      </c>
      <c r="K82">
        <v>107.755597868</v>
      </c>
      <c r="L82">
        <v>102.321357433</v>
      </c>
      <c r="M82">
        <v>117.775630557</v>
      </c>
      <c r="N82">
        <v>93.039403066600002</v>
      </c>
      <c r="O82">
        <v>78.687620459900003</v>
      </c>
      <c r="P82">
        <v>94.941056946399996</v>
      </c>
      <c r="Q82">
        <v>77.215671246900001</v>
      </c>
      <c r="R82">
        <v>115.145540698</v>
      </c>
      <c r="S82">
        <v>102.043175721</v>
      </c>
      <c r="T82">
        <v>101.64205753500001</v>
      </c>
      <c r="U82">
        <v>94.165462355900004</v>
      </c>
      <c r="V82">
        <v>124.412789401</v>
      </c>
      <c r="W82">
        <v>108.848009808</v>
      </c>
      <c r="X82">
        <v>75.567299649999995</v>
      </c>
      <c r="Y82">
        <v>79.187746101000002</v>
      </c>
      <c r="Z82">
        <v>89.061744126600004</v>
      </c>
      <c r="AA82">
        <v>90.0950654695</v>
      </c>
      <c r="AB82">
        <v>121.468308608</v>
      </c>
      <c r="AC82">
        <v>114.595815961</v>
      </c>
      <c r="AD82">
        <v>112.146231813</v>
      </c>
      <c r="AE82">
        <v>87.300833802300005</v>
      </c>
      <c r="AF82">
        <v>101.57905565</v>
      </c>
      <c r="AG82">
        <v>101.441907911</v>
      </c>
      <c r="AH82">
        <v>103.098512689</v>
      </c>
      <c r="AI82">
        <v>102.484536883</v>
      </c>
      <c r="AJ82">
        <v>89.839875830899999</v>
      </c>
      <c r="AK82">
        <v>102.78181729000001</v>
      </c>
      <c r="AL82">
        <v>78.730650815100006</v>
      </c>
      <c r="AM82">
        <v>111.295296667</v>
      </c>
      <c r="AN82">
        <v>87.966019867300005</v>
      </c>
      <c r="AO82">
        <v>85.719901219400001</v>
      </c>
      <c r="AP82">
        <v>95.398246496599995</v>
      </c>
      <c r="AQ82">
        <v>110.534622687</v>
      </c>
      <c r="AR82">
        <v>117.442337827</v>
      </c>
      <c r="AS82">
        <v>81.044089006700005</v>
      </c>
      <c r="AT82">
        <v>82.781162059500005</v>
      </c>
      <c r="AU82">
        <v>101.78790817399999</v>
      </c>
      <c r="AV82">
        <v>94.063220700399995</v>
      </c>
      <c r="AW82">
        <v>86.423881424399994</v>
      </c>
      <c r="AX82">
        <v>107.099754686</v>
      </c>
      <c r="AY82">
        <v>127.69574646700001</v>
      </c>
      <c r="AZ82">
        <v>122.46640373</v>
      </c>
      <c r="BA82">
        <v>95.0904351346</v>
      </c>
      <c r="BB82">
        <v>103.18252008899999</v>
      </c>
      <c r="BC82">
        <v>90.304186824400006</v>
      </c>
      <c r="BD82">
        <v>94.756449409300004</v>
      </c>
      <c r="BE82">
        <v>141.317255284</v>
      </c>
      <c r="BF82">
        <v>85.552248465299996</v>
      </c>
      <c r="BG82">
        <v>89.095631171500003</v>
      </c>
      <c r="BH82">
        <v>118.829638985</v>
      </c>
      <c r="BI82">
        <v>138.89181017499999</v>
      </c>
      <c r="BJ82">
        <v>104.689706155</v>
      </c>
      <c r="BK82">
        <v>90.593175514699993</v>
      </c>
      <c r="BL82">
        <v>90.6662962698</v>
      </c>
      <c r="BM82">
        <v>85.170970029399996</v>
      </c>
      <c r="BN82">
        <v>123.26602889500001</v>
      </c>
      <c r="BO82">
        <v>118.728738867</v>
      </c>
      <c r="BP82">
        <v>94.191256843100007</v>
      </c>
      <c r="BQ82">
        <v>142.83855651600001</v>
      </c>
      <c r="BR82">
        <v>129.43524742100001</v>
      </c>
      <c r="BS82">
        <v>80.192985278999998</v>
      </c>
      <c r="BT82">
        <v>126.439479803</v>
      </c>
      <c r="BU82">
        <v>112.717258386</v>
      </c>
      <c r="BV82">
        <v>142.823924525</v>
      </c>
      <c r="BW82">
        <v>97.195936490500003</v>
      </c>
      <c r="BX82">
        <v>134.72300484100001</v>
      </c>
      <c r="BY82">
        <v>138.17286165499999</v>
      </c>
      <c r="BZ82">
        <v>100.06776911999999</v>
      </c>
      <c r="CA82">
        <v>87.800163756800004</v>
      </c>
      <c r="CB82">
        <v>120.23620337</v>
      </c>
      <c r="CC82">
        <v>100.70480721200001</v>
      </c>
      <c r="CD82">
        <v>105.303649631</v>
      </c>
      <c r="CE82">
        <v>120.95481652300001</v>
      </c>
      <c r="CF82">
        <v>122.199364639</v>
      </c>
      <c r="CG82">
        <v>98.809259665599996</v>
      </c>
      <c r="CH82">
        <v>72.009866977200005</v>
      </c>
      <c r="CI82">
        <v>124.889963589</v>
      </c>
      <c r="CJ82">
        <v>127.10081981099999</v>
      </c>
      <c r="CK82">
        <v>110.512992967</v>
      </c>
      <c r="CL82">
        <v>110.626238159</v>
      </c>
      <c r="CM82">
        <v>80.268528128599996</v>
      </c>
      <c r="CN82">
        <v>89.023930000700005</v>
      </c>
      <c r="CO82">
        <v>129.40334670600001</v>
      </c>
      <c r="CP82">
        <v>97.0005431238</v>
      </c>
      <c r="CQ82">
        <v>81.431177299500007</v>
      </c>
      <c r="CR82">
        <v>85.823552722499997</v>
      </c>
      <c r="CS82">
        <v>98.570557597100006</v>
      </c>
      <c r="CT82">
        <v>87.928153044699997</v>
      </c>
      <c r="CU82">
        <v>144.2346546</v>
      </c>
      <c r="CV82">
        <v>95.670620466700001</v>
      </c>
      <c r="CW82">
        <v>105.13944510899999</v>
      </c>
      <c r="CX82">
        <v>97.368592080499994</v>
      </c>
      <c r="CY82">
        <v>132.46029564099999</v>
      </c>
      <c r="CZ82">
        <v>124.069674715</v>
      </c>
      <c r="DA82">
        <v>117.400685974</v>
      </c>
    </row>
    <row r="83" spans="5:105" x14ac:dyDescent="0.25">
      <c r="E83">
        <f>S_plus!L83</f>
        <v>0.8100000000000005</v>
      </c>
      <c r="F83">
        <v>123.743831222</v>
      </c>
      <c r="G83">
        <v>101.313150573</v>
      </c>
      <c r="H83">
        <v>99.893756847800006</v>
      </c>
      <c r="I83">
        <v>102.119303401</v>
      </c>
      <c r="J83">
        <v>162.183117541</v>
      </c>
      <c r="K83">
        <v>109.496576175</v>
      </c>
      <c r="L83">
        <v>103.656240242</v>
      </c>
      <c r="M83">
        <v>119.470288505</v>
      </c>
      <c r="N83">
        <v>93.4347874021</v>
      </c>
      <c r="O83">
        <v>78.349824780000006</v>
      </c>
      <c r="P83">
        <v>92.207874422299994</v>
      </c>
      <c r="Q83">
        <v>76.585143097699998</v>
      </c>
      <c r="R83">
        <v>112.420244598</v>
      </c>
      <c r="S83">
        <v>103.473017673</v>
      </c>
      <c r="T83">
        <v>103.172402432</v>
      </c>
      <c r="U83">
        <v>95.7059041009</v>
      </c>
      <c r="V83">
        <v>120.756365863</v>
      </c>
      <c r="W83">
        <v>110.69000806</v>
      </c>
      <c r="X83">
        <v>76.8671232616</v>
      </c>
      <c r="Y83">
        <v>77.723610251799997</v>
      </c>
      <c r="Z83">
        <v>86.611562737400007</v>
      </c>
      <c r="AA83">
        <v>89.896148237099993</v>
      </c>
      <c r="AB83">
        <v>124.402939801</v>
      </c>
      <c r="AC83">
        <v>117.40584884099999</v>
      </c>
      <c r="AD83">
        <v>111.720728072</v>
      </c>
      <c r="AE83">
        <v>88.566160956999994</v>
      </c>
      <c r="AF83">
        <v>98.752036599999997</v>
      </c>
      <c r="AG83">
        <v>103.22048909199999</v>
      </c>
      <c r="AH83">
        <v>103.608867829</v>
      </c>
      <c r="AI83">
        <v>104.708621998</v>
      </c>
      <c r="AJ83">
        <v>89.533584271999999</v>
      </c>
      <c r="AK83">
        <v>104.55023769</v>
      </c>
      <c r="AL83">
        <v>80.298214917400003</v>
      </c>
      <c r="AM83">
        <v>114.169939817</v>
      </c>
      <c r="AN83">
        <v>86.637641468400005</v>
      </c>
      <c r="AO83">
        <v>89.052622494399998</v>
      </c>
      <c r="AP83">
        <v>94.838183262399994</v>
      </c>
      <c r="AQ83">
        <v>108.051115383</v>
      </c>
      <c r="AR83">
        <v>120.541623953</v>
      </c>
      <c r="AS83">
        <v>82.424981872999993</v>
      </c>
      <c r="AT83">
        <v>84.451375705000004</v>
      </c>
      <c r="AU83">
        <v>99.791455033600002</v>
      </c>
      <c r="AV83">
        <v>94.391157094099995</v>
      </c>
      <c r="AW83">
        <v>85.560573953100004</v>
      </c>
      <c r="AX83">
        <v>108.267712315</v>
      </c>
      <c r="AY83">
        <v>126.877723604</v>
      </c>
      <c r="AZ83">
        <v>120.25420282100001</v>
      </c>
      <c r="BA83">
        <v>91.724198065699994</v>
      </c>
      <c r="BB83">
        <v>103.08862107</v>
      </c>
      <c r="BC83">
        <v>90.636277732699995</v>
      </c>
      <c r="BD83">
        <v>95.066791571600007</v>
      </c>
      <c r="BE83">
        <v>143.27890286300001</v>
      </c>
      <c r="BF83">
        <v>84.937117602499995</v>
      </c>
      <c r="BG83">
        <v>91.129854781099993</v>
      </c>
      <c r="BH83">
        <v>117.590286275</v>
      </c>
      <c r="BI83">
        <v>136.134456981</v>
      </c>
      <c r="BJ83">
        <v>105.94831232600001</v>
      </c>
      <c r="BK83">
        <v>89.9197156412</v>
      </c>
      <c r="BL83">
        <v>92.143864639</v>
      </c>
      <c r="BM83">
        <v>82.676017831999999</v>
      </c>
      <c r="BN83">
        <v>125.14858147299999</v>
      </c>
      <c r="BO83">
        <v>116.830334941</v>
      </c>
      <c r="BP83">
        <v>92.496317796100001</v>
      </c>
      <c r="BQ83">
        <v>141.48379466099999</v>
      </c>
      <c r="BR83">
        <v>126.852215722</v>
      </c>
      <c r="BS83">
        <v>81.658876404200001</v>
      </c>
      <c r="BT83">
        <v>130.05068849200001</v>
      </c>
      <c r="BU83">
        <v>112.34040236200001</v>
      </c>
      <c r="BV83">
        <v>141.465979369</v>
      </c>
      <c r="BW83">
        <v>101.17934693399999</v>
      </c>
      <c r="BX83">
        <v>134.65586643699999</v>
      </c>
      <c r="BY83">
        <v>138.61462379400001</v>
      </c>
      <c r="BZ83">
        <v>100.71114752</v>
      </c>
      <c r="CA83">
        <v>86.368893713999995</v>
      </c>
      <c r="CB83">
        <v>121.281131088</v>
      </c>
      <c r="CC83">
        <v>103.475473378</v>
      </c>
      <c r="CD83">
        <v>103.696508146</v>
      </c>
      <c r="CE83">
        <v>123.07927392000001</v>
      </c>
      <c r="CF83">
        <v>121.77792575799999</v>
      </c>
      <c r="CG83">
        <v>100.857449647</v>
      </c>
      <c r="CH83">
        <v>71.712010046800003</v>
      </c>
      <c r="CI83">
        <v>123.663335162</v>
      </c>
      <c r="CJ83">
        <v>126.59989024799999</v>
      </c>
      <c r="CK83">
        <v>109.973115556</v>
      </c>
      <c r="CL83">
        <v>111.518368301</v>
      </c>
      <c r="CM83">
        <v>81.323525446299996</v>
      </c>
      <c r="CN83">
        <v>92.629053843199998</v>
      </c>
      <c r="CO83">
        <v>129.43551127699999</v>
      </c>
      <c r="CP83">
        <v>96.261773734900004</v>
      </c>
      <c r="CQ83">
        <v>82.527847417399997</v>
      </c>
      <c r="CR83">
        <v>82.810594750700005</v>
      </c>
      <c r="CS83">
        <v>98.676091847500004</v>
      </c>
      <c r="CT83">
        <v>90.027408457600004</v>
      </c>
      <c r="CU83">
        <v>139.71411591</v>
      </c>
      <c r="CV83">
        <v>97.386221515299994</v>
      </c>
      <c r="CW83">
        <v>101.78667225700001</v>
      </c>
      <c r="CX83">
        <v>99.613865564600005</v>
      </c>
      <c r="CY83">
        <v>131.01159663199999</v>
      </c>
      <c r="CZ83">
        <v>125.274731045</v>
      </c>
      <c r="DA83">
        <v>118.714246218</v>
      </c>
    </row>
    <row r="84" spans="5:105" x14ac:dyDescent="0.25">
      <c r="E84">
        <f>S_plus!L84</f>
        <v>0.82000000000000051</v>
      </c>
      <c r="F84">
        <v>125.95802813100001</v>
      </c>
      <c r="G84">
        <v>99.799952668700001</v>
      </c>
      <c r="H84">
        <v>100.532308031</v>
      </c>
      <c r="I84">
        <v>104.974908881</v>
      </c>
      <c r="J84">
        <v>158.22226003599999</v>
      </c>
      <c r="K84">
        <v>111.17819987599999</v>
      </c>
      <c r="L84">
        <v>102.173465178</v>
      </c>
      <c r="M84">
        <v>119.885316389</v>
      </c>
      <c r="N84">
        <v>93.557210282599996</v>
      </c>
      <c r="O84">
        <v>76.797683731500001</v>
      </c>
      <c r="P84">
        <v>94.865840526599996</v>
      </c>
      <c r="Q84">
        <v>74.413377139100007</v>
      </c>
      <c r="R84">
        <v>110.56789536399999</v>
      </c>
      <c r="S84">
        <v>103.662964403</v>
      </c>
      <c r="T84">
        <v>105.228958044</v>
      </c>
      <c r="U84">
        <v>97.191970354399999</v>
      </c>
      <c r="V84">
        <v>121.516165984</v>
      </c>
      <c r="W84">
        <v>108.27659380999999</v>
      </c>
      <c r="X84">
        <v>78.411097110900002</v>
      </c>
      <c r="Y84">
        <v>76.503543728699995</v>
      </c>
      <c r="Z84">
        <v>85.812284247700006</v>
      </c>
      <c r="AA84">
        <v>87.721654233400002</v>
      </c>
      <c r="AB84">
        <v>128.655547477</v>
      </c>
      <c r="AC84">
        <v>114.12414801600001</v>
      </c>
      <c r="AD84">
        <v>112.994793528</v>
      </c>
      <c r="AE84">
        <v>90.409939876899998</v>
      </c>
      <c r="AF84">
        <v>97.5378589691</v>
      </c>
      <c r="AG84">
        <v>103.186996627</v>
      </c>
      <c r="AH84">
        <v>101.706871343</v>
      </c>
      <c r="AI84">
        <v>106.175180123</v>
      </c>
      <c r="AJ84">
        <v>92.457960162999996</v>
      </c>
      <c r="AK84">
        <v>105.418853144</v>
      </c>
      <c r="AL84">
        <v>80.541254546100006</v>
      </c>
      <c r="AM84">
        <v>115.709052404</v>
      </c>
      <c r="AN84">
        <v>85.086308942200006</v>
      </c>
      <c r="AO84">
        <v>91.118758511099998</v>
      </c>
      <c r="AP84">
        <v>95.1314236228</v>
      </c>
      <c r="AQ84">
        <v>108.14417239399999</v>
      </c>
      <c r="AR84">
        <v>122.00439941800001</v>
      </c>
      <c r="AS84">
        <v>83.050057722399998</v>
      </c>
      <c r="AT84">
        <v>84.462175559900004</v>
      </c>
      <c r="AU84">
        <v>100.89328136899999</v>
      </c>
      <c r="AV84">
        <v>94.245844349600006</v>
      </c>
      <c r="AW84">
        <v>83.993096073299995</v>
      </c>
      <c r="AX84">
        <v>110.01977915800001</v>
      </c>
      <c r="AY84">
        <v>127.636012599</v>
      </c>
      <c r="AZ84">
        <v>117.20659476900001</v>
      </c>
      <c r="BA84">
        <v>88.402846148699993</v>
      </c>
      <c r="BB84">
        <v>102.907475457</v>
      </c>
      <c r="BC84">
        <v>92.809053461399998</v>
      </c>
      <c r="BD84">
        <v>96.807645610899996</v>
      </c>
      <c r="BE84">
        <v>140.414147902</v>
      </c>
      <c r="BF84">
        <v>85.311740686199997</v>
      </c>
      <c r="BG84">
        <v>90.770402720600003</v>
      </c>
      <c r="BH84">
        <v>117.700253885</v>
      </c>
      <c r="BI84">
        <v>135.990892403</v>
      </c>
      <c r="BJ84">
        <v>106.10822562200001</v>
      </c>
      <c r="BK84">
        <v>88.617190705799999</v>
      </c>
      <c r="BL84">
        <v>93.236418141100003</v>
      </c>
      <c r="BM84">
        <v>81.672625974499994</v>
      </c>
      <c r="BN84">
        <v>123.366965819</v>
      </c>
      <c r="BO84">
        <v>111.945380388</v>
      </c>
      <c r="BP84">
        <v>92.911182617999998</v>
      </c>
      <c r="BQ84">
        <v>142.38651668700001</v>
      </c>
      <c r="BR84">
        <v>127.148012069</v>
      </c>
      <c r="BS84">
        <v>79.605858237199996</v>
      </c>
      <c r="BT84">
        <v>132.10860918200001</v>
      </c>
      <c r="BU84">
        <v>115.284663099</v>
      </c>
      <c r="BV84">
        <v>142.722954391</v>
      </c>
      <c r="BW84">
        <v>102.110060398</v>
      </c>
      <c r="BX84">
        <v>132.49851893900001</v>
      </c>
      <c r="BY84">
        <v>144.77802847999999</v>
      </c>
      <c r="BZ84">
        <v>99.282298633400003</v>
      </c>
      <c r="CA84">
        <v>85.383798629899999</v>
      </c>
      <c r="CB84">
        <v>117.869854441</v>
      </c>
      <c r="CC84">
        <v>103.941683502</v>
      </c>
      <c r="CD84">
        <v>103.35522792899999</v>
      </c>
      <c r="CE84">
        <v>118.478598042</v>
      </c>
      <c r="CF84">
        <v>123.127981062</v>
      </c>
      <c r="CG84">
        <v>103.379878156</v>
      </c>
      <c r="CH84">
        <v>72.516436321399993</v>
      </c>
      <c r="CI84">
        <v>123.649998982</v>
      </c>
      <c r="CJ84">
        <v>127.965448131</v>
      </c>
      <c r="CK84">
        <v>113.252103019</v>
      </c>
      <c r="CL84">
        <v>112.25543321400001</v>
      </c>
      <c r="CM84">
        <v>82.555346232800005</v>
      </c>
      <c r="CN84">
        <v>91.652661857200002</v>
      </c>
      <c r="CO84">
        <v>128.07110755599999</v>
      </c>
      <c r="CP84">
        <v>99.037746806399994</v>
      </c>
      <c r="CQ84">
        <v>82.807309531499996</v>
      </c>
      <c r="CR84">
        <v>83.850415566699994</v>
      </c>
      <c r="CS84">
        <v>100.384458681</v>
      </c>
      <c r="CT84">
        <v>89.575021106099996</v>
      </c>
      <c r="CU84">
        <v>137.902309145</v>
      </c>
      <c r="CV84">
        <v>94.761995533999993</v>
      </c>
      <c r="CW84">
        <v>98.896409112900002</v>
      </c>
      <c r="CX84">
        <v>97.0690265641</v>
      </c>
      <c r="CY84">
        <v>128.53859555099999</v>
      </c>
      <c r="CZ84">
        <v>123.695743861</v>
      </c>
      <c r="DA84">
        <v>121.150553026</v>
      </c>
    </row>
    <row r="85" spans="5:105" x14ac:dyDescent="0.25">
      <c r="E85">
        <f>S_plus!L85</f>
        <v>0.83000000000000052</v>
      </c>
      <c r="F85">
        <v>128.400169178</v>
      </c>
      <c r="G85">
        <v>100.384370254</v>
      </c>
      <c r="H85">
        <v>99.079665444499994</v>
      </c>
      <c r="I85">
        <v>105.037901237</v>
      </c>
      <c r="J85">
        <v>162.11981867599999</v>
      </c>
      <c r="K85">
        <v>111.533588041</v>
      </c>
      <c r="L85">
        <v>105.22369200599999</v>
      </c>
      <c r="M85">
        <v>122.084413281</v>
      </c>
      <c r="N85">
        <v>93.687739679200007</v>
      </c>
      <c r="O85">
        <v>76.088224470300005</v>
      </c>
      <c r="P85">
        <v>96.354817263800001</v>
      </c>
      <c r="Q85">
        <v>74.564011481999998</v>
      </c>
      <c r="R85">
        <v>112.290967808</v>
      </c>
      <c r="S85">
        <v>99.8732766408</v>
      </c>
      <c r="T85">
        <v>105.85504593500001</v>
      </c>
      <c r="U85">
        <v>98.540145293500004</v>
      </c>
      <c r="V85">
        <v>121.51682757</v>
      </c>
      <c r="W85">
        <v>111.209959676</v>
      </c>
      <c r="X85">
        <v>79.334317340799998</v>
      </c>
      <c r="Y85">
        <v>78.055523984299995</v>
      </c>
      <c r="Z85">
        <v>85.1133379475</v>
      </c>
      <c r="AA85">
        <v>88.232269775199995</v>
      </c>
      <c r="AB85">
        <v>130.246617646</v>
      </c>
      <c r="AC85">
        <v>115.180218278</v>
      </c>
      <c r="AD85">
        <v>111.6096053</v>
      </c>
      <c r="AE85">
        <v>88.916015844</v>
      </c>
      <c r="AF85">
        <v>98.621470557799995</v>
      </c>
      <c r="AG85">
        <v>105.068173329</v>
      </c>
      <c r="AH85">
        <v>102.598713524</v>
      </c>
      <c r="AI85">
        <v>105.814698061</v>
      </c>
      <c r="AJ85">
        <v>93.331024452600005</v>
      </c>
      <c r="AK85">
        <v>105.369853187</v>
      </c>
      <c r="AL85">
        <v>81.943810893099993</v>
      </c>
      <c r="AM85">
        <v>113.131026011</v>
      </c>
      <c r="AN85">
        <v>88.198885259099995</v>
      </c>
      <c r="AO85">
        <v>90.670864706499998</v>
      </c>
      <c r="AP85">
        <v>95.392849378700006</v>
      </c>
      <c r="AQ85">
        <v>113.65673935700001</v>
      </c>
      <c r="AR85">
        <v>119.538313268</v>
      </c>
      <c r="AS85">
        <v>84.124818955699993</v>
      </c>
      <c r="AT85">
        <v>83.734623265300002</v>
      </c>
      <c r="AU85">
        <v>99.529045227099999</v>
      </c>
      <c r="AV85">
        <v>93.201811416699996</v>
      </c>
      <c r="AW85">
        <v>82.120328411100004</v>
      </c>
      <c r="AX85">
        <v>115.25502631800001</v>
      </c>
      <c r="AY85">
        <v>128.85187770600001</v>
      </c>
      <c r="AZ85">
        <v>117.219634566</v>
      </c>
      <c r="BA85">
        <v>89.463359498900004</v>
      </c>
      <c r="BB85">
        <v>101.785181227</v>
      </c>
      <c r="BC85">
        <v>93.470045278800001</v>
      </c>
      <c r="BD85">
        <v>95.817802086399993</v>
      </c>
      <c r="BE85">
        <v>140.092954822</v>
      </c>
      <c r="BF85">
        <v>84.834776353699993</v>
      </c>
      <c r="BG85">
        <v>88.739594718500001</v>
      </c>
      <c r="BH85">
        <v>120.832413829</v>
      </c>
      <c r="BI85">
        <v>137.43209556599999</v>
      </c>
      <c r="BJ85">
        <v>105.221158757</v>
      </c>
      <c r="BK85">
        <v>91.394791162900006</v>
      </c>
      <c r="BL85">
        <v>93.626436125400005</v>
      </c>
      <c r="BM85">
        <v>81.198738906900005</v>
      </c>
      <c r="BN85">
        <v>121.91807531400001</v>
      </c>
      <c r="BO85">
        <v>109.968840367</v>
      </c>
      <c r="BP85">
        <v>90.2832274302</v>
      </c>
      <c r="BQ85">
        <v>139.098126283</v>
      </c>
      <c r="BR85">
        <v>127.739651287</v>
      </c>
      <c r="BS85">
        <v>79.782063063999999</v>
      </c>
      <c r="BT85">
        <v>131.71550843200001</v>
      </c>
      <c r="BU85">
        <v>116.88462879799999</v>
      </c>
      <c r="BV85">
        <v>141.68601607299999</v>
      </c>
      <c r="BW85">
        <v>102.98947479500001</v>
      </c>
      <c r="BX85">
        <v>131.73532670500001</v>
      </c>
      <c r="BY85">
        <v>143.82470150099999</v>
      </c>
      <c r="BZ85">
        <v>99.668141034900003</v>
      </c>
      <c r="CA85">
        <v>86.9681586751</v>
      </c>
      <c r="CB85">
        <v>115.967841588</v>
      </c>
      <c r="CC85">
        <v>104.903421142</v>
      </c>
      <c r="CD85">
        <v>104.122179434</v>
      </c>
      <c r="CE85">
        <v>120.14352923</v>
      </c>
      <c r="CF85">
        <v>126.09425842</v>
      </c>
      <c r="CG85">
        <v>97.456702082199996</v>
      </c>
      <c r="CH85">
        <v>72.348028526999997</v>
      </c>
      <c r="CI85">
        <v>125.30379140700001</v>
      </c>
      <c r="CJ85">
        <v>126.45495803199999</v>
      </c>
      <c r="CK85">
        <v>112.73042397899999</v>
      </c>
      <c r="CL85">
        <v>112.33306159599999</v>
      </c>
      <c r="CM85">
        <v>84.343983015099994</v>
      </c>
      <c r="CN85">
        <v>90.284814483199995</v>
      </c>
      <c r="CO85">
        <v>132.50205619900001</v>
      </c>
      <c r="CP85">
        <v>98.888625481899993</v>
      </c>
      <c r="CQ85">
        <v>83.398911733600002</v>
      </c>
      <c r="CR85">
        <v>81.778464948099995</v>
      </c>
      <c r="CS85">
        <v>98.697562130400001</v>
      </c>
      <c r="CT85">
        <v>91.531883195999995</v>
      </c>
      <c r="CU85">
        <v>134.69492706299999</v>
      </c>
      <c r="CV85">
        <v>95.745782936099999</v>
      </c>
      <c r="CW85">
        <v>99.508912501599994</v>
      </c>
      <c r="CX85">
        <v>99.279083702899996</v>
      </c>
      <c r="CY85">
        <v>128.376250763</v>
      </c>
      <c r="CZ85">
        <v>121.50673707</v>
      </c>
      <c r="DA85">
        <v>123.775436594</v>
      </c>
    </row>
    <row r="86" spans="5:105" x14ac:dyDescent="0.25">
      <c r="E86">
        <f>S_plus!L86</f>
        <v>0.84000000000000052</v>
      </c>
      <c r="F86">
        <v>127.98008799900001</v>
      </c>
      <c r="G86">
        <v>100.283839935</v>
      </c>
      <c r="H86">
        <v>100.103070227</v>
      </c>
      <c r="I86">
        <v>103.670788543</v>
      </c>
      <c r="J86">
        <v>161.964052092</v>
      </c>
      <c r="K86">
        <v>113.867028842</v>
      </c>
      <c r="L86">
        <v>103.519774947</v>
      </c>
      <c r="M86">
        <v>125.048582275</v>
      </c>
      <c r="N86">
        <v>92.766300129399994</v>
      </c>
      <c r="O86">
        <v>76.235238018999993</v>
      </c>
      <c r="P86">
        <v>98.917705505100002</v>
      </c>
      <c r="Q86">
        <v>72.082675956200006</v>
      </c>
      <c r="R86">
        <v>108.628357943</v>
      </c>
      <c r="S86">
        <v>100.953456387</v>
      </c>
      <c r="T86">
        <v>103.16426224999999</v>
      </c>
      <c r="U86">
        <v>98.179460834799997</v>
      </c>
      <c r="V86">
        <v>119.62453818199999</v>
      </c>
      <c r="W86">
        <v>115.368146035</v>
      </c>
      <c r="X86">
        <v>78.413265425899993</v>
      </c>
      <c r="Y86">
        <v>81.166954071800006</v>
      </c>
      <c r="Z86">
        <v>88.604901612800006</v>
      </c>
      <c r="AA86">
        <v>89.2780396693</v>
      </c>
      <c r="AB86">
        <v>127.926167729</v>
      </c>
      <c r="AC86">
        <v>112.581719792</v>
      </c>
      <c r="AD86">
        <v>112.46599695800001</v>
      </c>
      <c r="AE86">
        <v>89.223902859000006</v>
      </c>
      <c r="AF86">
        <v>100.655313291</v>
      </c>
      <c r="AG86">
        <v>101.90144221200001</v>
      </c>
      <c r="AH86">
        <v>99.621438769099996</v>
      </c>
      <c r="AI86">
        <v>104.834792095</v>
      </c>
      <c r="AJ86">
        <v>94.465283733299998</v>
      </c>
      <c r="AK86">
        <v>106.447856484</v>
      </c>
      <c r="AL86">
        <v>81.444951914000001</v>
      </c>
      <c r="AM86">
        <v>111.712005159</v>
      </c>
      <c r="AN86">
        <v>87.464312370599998</v>
      </c>
      <c r="AO86">
        <v>89.607329938899994</v>
      </c>
      <c r="AP86">
        <v>96.5360180622</v>
      </c>
      <c r="AQ86">
        <v>115.01583612100001</v>
      </c>
      <c r="AR86">
        <v>117.376747182</v>
      </c>
      <c r="AS86">
        <v>84.201202226700005</v>
      </c>
      <c r="AT86">
        <v>83.017048895299993</v>
      </c>
      <c r="AU86">
        <v>100.392813769</v>
      </c>
      <c r="AV86">
        <v>92.681151661800001</v>
      </c>
      <c r="AW86">
        <v>83.106965524100005</v>
      </c>
      <c r="AX86">
        <v>117.32465090399999</v>
      </c>
      <c r="AY86">
        <v>128.321158317</v>
      </c>
      <c r="AZ86">
        <v>114.687333924</v>
      </c>
      <c r="BA86">
        <v>90.604992662699999</v>
      </c>
      <c r="BB86">
        <v>98.6294897832</v>
      </c>
      <c r="BC86">
        <v>93.0743486577</v>
      </c>
      <c r="BD86">
        <v>98.163747396199994</v>
      </c>
      <c r="BE86">
        <v>141.294230946</v>
      </c>
      <c r="BF86">
        <v>83.067448489599997</v>
      </c>
      <c r="BG86">
        <v>88.032053893200001</v>
      </c>
      <c r="BH86">
        <v>116.536773891</v>
      </c>
      <c r="BI86">
        <v>132.04440091399999</v>
      </c>
      <c r="BJ86">
        <v>105.061139239</v>
      </c>
      <c r="BK86">
        <v>88.211786007599997</v>
      </c>
      <c r="BL86">
        <v>92.394549815000005</v>
      </c>
      <c r="BM86">
        <v>82.643812832899997</v>
      </c>
      <c r="BN86">
        <v>122.328795102</v>
      </c>
      <c r="BO86">
        <v>107.714160421</v>
      </c>
      <c r="BP86">
        <v>92.176074519799997</v>
      </c>
      <c r="BQ86">
        <v>141.763467029</v>
      </c>
      <c r="BR86">
        <v>126.367559691</v>
      </c>
      <c r="BS86">
        <v>78.452656037599994</v>
      </c>
      <c r="BT86">
        <v>130.580803339</v>
      </c>
      <c r="BU86">
        <v>120.00564113599999</v>
      </c>
      <c r="BV86">
        <v>140.39957714400001</v>
      </c>
      <c r="BW86">
        <v>101.38435456000001</v>
      </c>
      <c r="BX86">
        <v>131.617329259</v>
      </c>
      <c r="BY86">
        <v>141.429643473</v>
      </c>
      <c r="BZ86">
        <v>102.37998912099999</v>
      </c>
      <c r="CA86">
        <v>86.630756585599997</v>
      </c>
      <c r="CB86">
        <v>120.208908385</v>
      </c>
      <c r="CC86">
        <v>107.529537146</v>
      </c>
      <c r="CD86">
        <v>105.078030669</v>
      </c>
      <c r="CE86">
        <v>116.728245918</v>
      </c>
      <c r="CF86">
        <v>124.85240340599999</v>
      </c>
      <c r="CG86">
        <v>93.819565611000002</v>
      </c>
      <c r="CH86">
        <v>74.109294457199994</v>
      </c>
      <c r="CI86">
        <v>125.419841944</v>
      </c>
      <c r="CJ86">
        <v>128.575232554</v>
      </c>
      <c r="CK86">
        <v>114.059502045</v>
      </c>
      <c r="CL86">
        <v>111.205721396</v>
      </c>
      <c r="CM86">
        <v>84.394046958999994</v>
      </c>
      <c r="CN86">
        <v>89.916721891799995</v>
      </c>
      <c r="CO86">
        <v>135.38062803700001</v>
      </c>
      <c r="CP86">
        <v>95.903353881599998</v>
      </c>
      <c r="CQ86">
        <v>84.057860167599998</v>
      </c>
      <c r="CR86">
        <v>80.643976451499995</v>
      </c>
      <c r="CS86">
        <v>97.746303519600005</v>
      </c>
      <c r="CT86">
        <v>90.460918464700001</v>
      </c>
      <c r="CU86">
        <v>135.39502818700001</v>
      </c>
      <c r="CV86">
        <v>96.174074747399999</v>
      </c>
      <c r="CW86">
        <v>99.270191063599995</v>
      </c>
      <c r="CX86">
        <v>99.584169134600003</v>
      </c>
      <c r="CY86">
        <v>129.770667557</v>
      </c>
      <c r="CZ86">
        <v>123.526755847</v>
      </c>
      <c r="DA86">
        <v>123.465957426</v>
      </c>
    </row>
    <row r="87" spans="5:105" x14ac:dyDescent="0.25">
      <c r="E87">
        <f>S_plus!L87</f>
        <v>0.85000000000000053</v>
      </c>
      <c r="F87">
        <v>125.294247348</v>
      </c>
      <c r="G87">
        <v>100.613577733</v>
      </c>
      <c r="H87">
        <v>99.228679029999995</v>
      </c>
      <c r="I87">
        <v>103.572552509</v>
      </c>
      <c r="J87">
        <v>164.85458362700001</v>
      </c>
      <c r="K87">
        <v>108.973546051</v>
      </c>
      <c r="L87">
        <v>102.87226916100001</v>
      </c>
      <c r="M87">
        <v>126.07648064200001</v>
      </c>
      <c r="N87">
        <v>92.093283356200004</v>
      </c>
      <c r="O87">
        <v>75.405024896900002</v>
      </c>
      <c r="P87">
        <v>97.784707002800005</v>
      </c>
      <c r="Q87">
        <v>70.916245926499997</v>
      </c>
      <c r="R87">
        <v>106.434872183</v>
      </c>
      <c r="S87">
        <v>101.971789007</v>
      </c>
      <c r="T87">
        <v>106.227532778</v>
      </c>
      <c r="U87">
        <v>97.997057041000005</v>
      </c>
      <c r="V87">
        <v>120.163984789</v>
      </c>
      <c r="W87">
        <v>117.28822139899999</v>
      </c>
      <c r="X87">
        <v>77.885907284699996</v>
      </c>
      <c r="Y87">
        <v>80.269203148100004</v>
      </c>
      <c r="Z87">
        <v>88.606231535099994</v>
      </c>
      <c r="AA87">
        <v>87.087177193399995</v>
      </c>
      <c r="AB87">
        <v>123.264633377</v>
      </c>
      <c r="AC87">
        <v>113.84540621799999</v>
      </c>
      <c r="AD87">
        <v>117.651383635</v>
      </c>
      <c r="AE87">
        <v>90.955745784100003</v>
      </c>
      <c r="AF87">
        <v>97.331163405699996</v>
      </c>
      <c r="AG87">
        <v>103.03951554699999</v>
      </c>
      <c r="AH87">
        <v>100.19203303499999</v>
      </c>
      <c r="AI87">
        <v>105.308606825</v>
      </c>
      <c r="AJ87">
        <v>92.742523454299999</v>
      </c>
      <c r="AK87">
        <v>107.745094271</v>
      </c>
      <c r="AL87">
        <v>80.635783344900005</v>
      </c>
      <c r="AM87">
        <v>109.704365068</v>
      </c>
      <c r="AN87">
        <v>85.099179434899995</v>
      </c>
      <c r="AO87">
        <v>88.9057669269</v>
      </c>
      <c r="AP87">
        <v>93.075429494600002</v>
      </c>
      <c r="AQ87">
        <v>117.16371485000001</v>
      </c>
      <c r="AR87">
        <v>117.75824924200001</v>
      </c>
      <c r="AS87">
        <v>84.556424779500006</v>
      </c>
      <c r="AT87">
        <v>83.228111583399993</v>
      </c>
      <c r="AU87">
        <v>102.46126452999999</v>
      </c>
      <c r="AV87">
        <v>96.759310360300006</v>
      </c>
      <c r="AW87">
        <v>82.829937490000006</v>
      </c>
      <c r="AX87">
        <v>116.310096985</v>
      </c>
      <c r="AY87">
        <v>127.504532185</v>
      </c>
      <c r="AZ87">
        <v>119.225574378</v>
      </c>
      <c r="BA87">
        <v>91.001885127500003</v>
      </c>
      <c r="BB87">
        <v>100.27524053499999</v>
      </c>
      <c r="BC87">
        <v>94.381784062199998</v>
      </c>
      <c r="BD87">
        <v>96.937968145400006</v>
      </c>
      <c r="BE87">
        <v>137.21792492899999</v>
      </c>
      <c r="BF87">
        <v>85.508905773600006</v>
      </c>
      <c r="BG87">
        <v>89.659474147200001</v>
      </c>
      <c r="BH87">
        <v>119.433482063</v>
      </c>
      <c r="BI87">
        <v>129.39661628600001</v>
      </c>
      <c r="BJ87">
        <v>105.214233212</v>
      </c>
      <c r="BK87">
        <v>89.811147520700004</v>
      </c>
      <c r="BL87">
        <v>92.305303616800003</v>
      </c>
      <c r="BM87">
        <v>80.202854106399997</v>
      </c>
      <c r="BN87">
        <v>120.387180977</v>
      </c>
      <c r="BO87">
        <v>103.458686328</v>
      </c>
      <c r="BP87">
        <v>91.826032232100005</v>
      </c>
      <c r="BQ87">
        <v>147.47132250600001</v>
      </c>
      <c r="BR87">
        <v>132.92785416800001</v>
      </c>
      <c r="BS87">
        <v>78.775578117600006</v>
      </c>
      <c r="BT87">
        <v>128.81383091000001</v>
      </c>
      <c r="BU87">
        <v>116.090445276</v>
      </c>
      <c r="BV87">
        <v>142.213464536</v>
      </c>
      <c r="BW87">
        <v>103.99975445299999</v>
      </c>
      <c r="BX87">
        <v>132.326721018</v>
      </c>
      <c r="BY87">
        <v>145.361803966</v>
      </c>
      <c r="BZ87">
        <v>98.895364977699998</v>
      </c>
      <c r="CA87">
        <v>88.487187508199995</v>
      </c>
      <c r="CB87">
        <v>119.06318711999999</v>
      </c>
      <c r="CC87">
        <v>106.29954103</v>
      </c>
      <c r="CD87">
        <v>107.560746669</v>
      </c>
      <c r="CE87">
        <v>121.141990338</v>
      </c>
      <c r="CF87">
        <v>120.202179937</v>
      </c>
      <c r="CG87">
        <v>94.862984492199999</v>
      </c>
      <c r="CH87">
        <v>72.970207666999997</v>
      </c>
      <c r="CI87">
        <v>124.250791198</v>
      </c>
      <c r="CJ87">
        <v>122.313750755</v>
      </c>
      <c r="CK87">
        <v>112.762373688</v>
      </c>
      <c r="CL87">
        <v>113.647170858</v>
      </c>
      <c r="CM87">
        <v>84.378528739000004</v>
      </c>
      <c r="CN87">
        <v>91.415781795699999</v>
      </c>
      <c r="CO87">
        <v>131.606903375</v>
      </c>
      <c r="CP87">
        <v>96.840160749199995</v>
      </c>
      <c r="CQ87">
        <v>85.466055174299996</v>
      </c>
      <c r="CR87">
        <v>81.055924949499996</v>
      </c>
      <c r="CS87">
        <v>97.711096095000002</v>
      </c>
      <c r="CT87">
        <v>90.822411482700005</v>
      </c>
      <c r="CU87">
        <v>137.06866835400001</v>
      </c>
      <c r="CV87">
        <v>96.666199976800002</v>
      </c>
      <c r="CW87">
        <v>100.164749613</v>
      </c>
      <c r="CX87">
        <v>101.187851792</v>
      </c>
      <c r="CY87">
        <v>129.53253126600001</v>
      </c>
      <c r="CZ87">
        <v>125.379398493</v>
      </c>
      <c r="DA87">
        <v>126.22514705899999</v>
      </c>
    </row>
    <row r="88" spans="5:105" x14ac:dyDescent="0.25">
      <c r="E88">
        <f>S_plus!L88</f>
        <v>0.86000000000000054</v>
      </c>
      <c r="F88">
        <v>132.169254585</v>
      </c>
      <c r="G88">
        <v>102.545209173</v>
      </c>
      <c r="H88">
        <v>98.597072402600006</v>
      </c>
      <c r="I88">
        <v>105.367641737</v>
      </c>
      <c r="J88">
        <v>166.567447786</v>
      </c>
      <c r="K88">
        <v>111.71114455199999</v>
      </c>
      <c r="L88">
        <v>102.793154863</v>
      </c>
      <c r="M88">
        <v>125.45107741299999</v>
      </c>
      <c r="N88">
        <v>92.842845891899998</v>
      </c>
      <c r="O88">
        <v>74.142237089700004</v>
      </c>
      <c r="P88">
        <v>98.502518009599996</v>
      </c>
      <c r="Q88">
        <v>70.706406527300004</v>
      </c>
      <c r="R88">
        <v>107.489255296</v>
      </c>
      <c r="S88">
        <v>100.17498863199999</v>
      </c>
      <c r="T88">
        <v>105.56293581600001</v>
      </c>
      <c r="U88">
        <v>99.134434641400006</v>
      </c>
      <c r="V88">
        <v>119.83172274899999</v>
      </c>
      <c r="W88">
        <v>118.36523576899999</v>
      </c>
      <c r="X88">
        <v>80.574856397700003</v>
      </c>
      <c r="Y88">
        <v>83.0832916488</v>
      </c>
      <c r="Z88">
        <v>87.418086353199996</v>
      </c>
      <c r="AA88">
        <v>88.541910955700004</v>
      </c>
      <c r="AB88">
        <v>128.426674418</v>
      </c>
      <c r="AC88">
        <v>113.519256043</v>
      </c>
      <c r="AD88">
        <v>115.528965505</v>
      </c>
      <c r="AE88">
        <v>86.206145740799997</v>
      </c>
      <c r="AF88">
        <v>100.638357375</v>
      </c>
      <c r="AG88">
        <v>104.62313076</v>
      </c>
      <c r="AH88">
        <v>95.417271811700004</v>
      </c>
      <c r="AI88">
        <v>106.977410729</v>
      </c>
      <c r="AJ88">
        <v>90.219946419500005</v>
      </c>
      <c r="AK88">
        <v>109.620598884</v>
      </c>
      <c r="AL88">
        <v>79.773330466900006</v>
      </c>
      <c r="AM88">
        <v>107.389830359</v>
      </c>
      <c r="AN88">
        <v>85.109009811299998</v>
      </c>
      <c r="AO88">
        <v>86.548124994299997</v>
      </c>
      <c r="AP88">
        <v>93.343190941399996</v>
      </c>
      <c r="AQ88">
        <v>117.366581682</v>
      </c>
      <c r="AR88">
        <v>117.29822018199999</v>
      </c>
      <c r="AS88">
        <v>83.438857449099999</v>
      </c>
      <c r="AT88">
        <v>85.266152715600001</v>
      </c>
      <c r="AU88">
        <v>103.165019098</v>
      </c>
      <c r="AV88">
        <v>93.096145824700002</v>
      </c>
      <c r="AW88">
        <v>81.455116471599993</v>
      </c>
      <c r="AX88">
        <v>114.785935106</v>
      </c>
      <c r="AY88">
        <v>129.99203362599999</v>
      </c>
      <c r="AZ88">
        <v>122.837334978</v>
      </c>
      <c r="BA88">
        <v>93.309247991399999</v>
      </c>
      <c r="BB88">
        <v>97.192707529800003</v>
      </c>
      <c r="BC88">
        <v>96.168009968999996</v>
      </c>
      <c r="BD88">
        <v>98.302943913099995</v>
      </c>
      <c r="BE88">
        <v>140.73580270799999</v>
      </c>
      <c r="BF88">
        <v>85.682964051300004</v>
      </c>
      <c r="BG88">
        <v>90.408343845299996</v>
      </c>
      <c r="BH88">
        <v>119.86680886800001</v>
      </c>
      <c r="BI88">
        <v>130.656159965</v>
      </c>
      <c r="BJ88">
        <v>106.394706099</v>
      </c>
      <c r="BK88">
        <v>89.587320555100007</v>
      </c>
      <c r="BL88">
        <v>92.828413818200005</v>
      </c>
      <c r="BM88">
        <v>78.297653350399997</v>
      </c>
      <c r="BN88">
        <v>118.96469848700001</v>
      </c>
      <c r="BO88">
        <v>101.492276897</v>
      </c>
      <c r="BP88">
        <v>87.186771739700006</v>
      </c>
      <c r="BQ88">
        <v>145.20579288799999</v>
      </c>
      <c r="BR88">
        <v>132.68618099</v>
      </c>
      <c r="BS88">
        <v>78.649407499999995</v>
      </c>
      <c r="BT88">
        <v>127.876695813</v>
      </c>
      <c r="BU88">
        <v>113.76910987399999</v>
      </c>
      <c r="BV88">
        <v>146.56392101399999</v>
      </c>
      <c r="BW88">
        <v>105.580957396</v>
      </c>
      <c r="BX88">
        <v>127.111797106</v>
      </c>
      <c r="BY88">
        <v>141.38273922900001</v>
      </c>
      <c r="BZ88">
        <v>97.237205486999997</v>
      </c>
      <c r="CA88">
        <v>90.936657468700005</v>
      </c>
      <c r="CB88">
        <v>120.982644861</v>
      </c>
      <c r="CC88">
        <v>108.46617788499999</v>
      </c>
      <c r="CD88">
        <v>109.093443947</v>
      </c>
      <c r="CE88">
        <v>121.20662456300001</v>
      </c>
      <c r="CF88">
        <v>116.42843107900001</v>
      </c>
      <c r="CG88">
        <v>95.343886597299999</v>
      </c>
      <c r="CH88">
        <v>71.4501681805</v>
      </c>
      <c r="CI88">
        <v>122.974513093</v>
      </c>
      <c r="CJ88">
        <v>123.33947487099999</v>
      </c>
      <c r="CK88">
        <v>110.442801004</v>
      </c>
      <c r="CL88">
        <v>112.856467791</v>
      </c>
      <c r="CM88">
        <v>87.845075910199995</v>
      </c>
      <c r="CN88">
        <v>88.417026429499998</v>
      </c>
      <c r="CO88">
        <v>132.50435085300001</v>
      </c>
      <c r="CP88">
        <v>94.084486752700002</v>
      </c>
      <c r="CQ88">
        <v>84.184061058699996</v>
      </c>
      <c r="CR88">
        <v>82.942400366100003</v>
      </c>
      <c r="CS88">
        <v>94.602065666900003</v>
      </c>
      <c r="CT88">
        <v>92.012851518700003</v>
      </c>
      <c r="CU88">
        <v>133.65320894000001</v>
      </c>
      <c r="CV88">
        <v>98.519572000300002</v>
      </c>
      <c r="CW88">
        <v>97.516683798499997</v>
      </c>
      <c r="CX88">
        <v>99.961113421899995</v>
      </c>
      <c r="CY88">
        <v>126.16385678499999</v>
      </c>
      <c r="CZ88">
        <v>125.40118103499999</v>
      </c>
      <c r="DA88">
        <v>124.462784838</v>
      </c>
    </row>
    <row r="89" spans="5:105" x14ac:dyDescent="0.25">
      <c r="E89">
        <f>S_plus!L89</f>
        <v>0.87000000000000055</v>
      </c>
      <c r="F89">
        <v>131.26752012700001</v>
      </c>
      <c r="G89">
        <v>100.124001904</v>
      </c>
      <c r="H89">
        <v>98.550395700300001</v>
      </c>
      <c r="I89">
        <v>106.086817063</v>
      </c>
      <c r="J89">
        <v>163.61951338399999</v>
      </c>
      <c r="K89">
        <v>112.81504988499999</v>
      </c>
      <c r="L89">
        <v>99.412672460600007</v>
      </c>
      <c r="M89">
        <v>124.08379340899999</v>
      </c>
      <c r="N89">
        <v>91.2202387098</v>
      </c>
      <c r="O89">
        <v>75.718803997400002</v>
      </c>
      <c r="P89">
        <v>98.015965648299996</v>
      </c>
      <c r="Q89">
        <v>71.156017532800007</v>
      </c>
      <c r="R89">
        <v>109.927541148</v>
      </c>
      <c r="S89">
        <v>100.72057262200001</v>
      </c>
      <c r="T89">
        <v>106.457285754</v>
      </c>
      <c r="U89">
        <v>100.69412495100001</v>
      </c>
      <c r="V89">
        <v>120.322566552</v>
      </c>
      <c r="W89">
        <v>113.391874061</v>
      </c>
      <c r="X89">
        <v>80.028754489400001</v>
      </c>
      <c r="Y89">
        <v>85.770837570099999</v>
      </c>
      <c r="Z89">
        <v>86.732756629700006</v>
      </c>
      <c r="AA89">
        <v>87.603272332700001</v>
      </c>
      <c r="AB89">
        <v>122.51522036599999</v>
      </c>
      <c r="AC89">
        <v>111.075051382</v>
      </c>
      <c r="AD89">
        <v>116.92006833400001</v>
      </c>
      <c r="AE89">
        <v>86.364953564100006</v>
      </c>
      <c r="AF89">
        <v>98.331897161499995</v>
      </c>
      <c r="AG89">
        <v>105.13722115900001</v>
      </c>
      <c r="AH89">
        <v>95.400905278799996</v>
      </c>
      <c r="AI89">
        <v>109.193575635</v>
      </c>
      <c r="AJ89">
        <v>89.716032544200004</v>
      </c>
      <c r="AK89">
        <v>113.24888525599999</v>
      </c>
      <c r="AL89">
        <v>80.564794857799995</v>
      </c>
      <c r="AM89">
        <v>105.342197562</v>
      </c>
      <c r="AN89">
        <v>83.082109370699996</v>
      </c>
      <c r="AO89">
        <v>85.831882933900005</v>
      </c>
      <c r="AP89">
        <v>92.1390221029</v>
      </c>
      <c r="AQ89">
        <v>117.490822733</v>
      </c>
      <c r="AR89">
        <v>118.13941385</v>
      </c>
      <c r="AS89">
        <v>81.602699565099996</v>
      </c>
      <c r="AT89">
        <v>86.206129340199993</v>
      </c>
      <c r="AU89">
        <v>105.52586030499999</v>
      </c>
      <c r="AV89">
        <v>93.635593101500007</v>
      </c>
      <c r="AW89">
        <v>80.645367178000001</v>
      </c>
      <c r="AX89">
        <v>117.096273646</v>
      </c>
      <c r="AY89">
        <v>129.902080767</v>
      </c>
      <c r="AZ89">
        <v>126.875063818</v>
      </c>
      <c r="BA89">
        <v>92.402133313700006</v>
      </c>
      <c r="BB89">
        <v>94.627513156899994</v>
      </c>
      <c r="BC89">
        <v>97.137303491300003</v>
      </c>
      <c r="BD89">
        <v>95.776218857100005</v>
      </c>
      <c r="BE89">
        <v>136.509389239</v>
      </c>
      <c r="BF89">
        <v>87.827979191099999</v>
      </c>
      <c r="BG89">
        <v>90.236194697100004</v>
      </c>
      <c r="BH89">
        <v>118.643838934</v>
      </c>
      <c r="BI89">
        <v>132.29819899399999</v>
      </c>
      <c r="BJ89">
        <v>105.47851744</v>
      </c>
      <c r="BK89">
        <v>93.334593898899996</v>
      </c>
      <c r="BL89">
        <v>90.251630571999996</v>
      </c>
      <c r="BM89">
        <v>78.614431312600004</v>
      </c>
      <c r="BN89">
        <v>119.58731952799999</v>
      </c>
      <c r="BO89">
        <v>101.970100864</v>
      </c>
      <c r="BP89">
        <v>86.185331761399993</v>
      </c>
      <c r="BQ89">
        <v>147.67450226099999</v>
      </c>
      <c r="BR89">
        <v>130.38885954400001</v>
      </c>
      <c r="BS89">
        <v>79.204820974</v>
      </c>
      <c r="BT89">
        <v>129.587019451</v>
      </c>
      <c r="BU89">
        <v>115.210864289</v>
      </c>
      <c r="BV89">
        <v>142.63873573500001</v>
      </c>
      <c r="BW89">
        <v>105.271777512</v>
      </c>
      <c r="BX89">
        <v>126.449290125</v>
      </c>
      <c r="BY89">
        <v>143.31811459599999</v>
      </c>
      <c r="BZ89">
        <v>97.801205604499998</v>
      </c>
      <c r="CA89">
        <v>86.785579671700006</v>
      </c>
      <c r="CB89">
        <v>120.811749401</v>
      </c>
      <c r="CC89">
        <v>111.105092234</v>
      </c>
      <c r="CD89">
        <v>111.599945863</v>
      </c>
      <c r="CE89">
        <v>118.85333950499999</v>
      </c>
      <c r="CF89">
        <v>116.307207699</v>
      </c>
      <c r="CG89">
        <v>98.010949198500001</v>
      </c>
      <c r="CH89">
        <v>70.066911492900005</v>
      </c>
      <c r="CI89">
        <v>120.276022596</v>
      </c>
      <c r="CJ89">
        <v>121.109680789</v>
      </c>
      <c r="CK89">
        <v>109.98323978099999</v>
      </c>
      <c r="CL89">
        <v>110.06114755999999</v>
      </c>
      <c r="CM89">
        <v>85.318531059799994</v>
      </c>
      <c r="CN89">
        <v>89.014910672300005</v>
      </c>
      <c r="CO89">
        <v>135.50178970600001</v>
      </c>
      <c r="CP89">
        <v>97.788685368399996</v>
      </c>
      <c r="CQ89">
        <v>88.488804189899994</v>
      </c>
      <c r="CR89">
        <v>83.8086280144</v>
      </c>
      <c r="CS89">
        <v>92.162397820999999</v>
      </c>
      <c r="CT89">
        <v>88.723680673999993</v>
      </c>
      <c r="CU89">
        <v>135.95822348799999</v>
      </c>
      <c r="CV89">
        <v>102.360869897</v>
      </c>
      <c r="CW89">
        <v>98.048989421200005</v>
      </c>
      <c r="CX89">
        <v>102.787136785</v>
      </c>
      <c r="CY89">
        <v>126.351713897</v>
      </c>
      <c r="CZ89">
        <v>128.856551473</v>
      </c>
      <c r="DA89">
        <v>124.720956024</v>
      </c>
    </row>
    <row r="90" spans="5:105" x14ac:dyDescent="0.25">
      <c r="E90">
        <f>S_plus!L90</f>
        <v>0.88000000000000056</v>
      </c>
      <c r="F90">
        <v>131.109111305</v>
      </c>
      <c r="G90">
        <v>101.75716211</v>
      </c>
      <c r="H90">
        <v>98.026668365899994</v>
      </c>
      <c r="I90">
        <v>106.75999512999999</v>
      </c>
      <c r="J90">
        <v>161.74742281900001</v>
      </c>
      <c r="K90">
        <v>110.063837337</v>
      </c>
      <c r="L90">
        <v>100.35708689800001</v>
      </c>
      <c r="M90">
        <v>121.997293535</v>
      </c>
      <c r="N90">
        <v>90.064378789100004</v>
      </c>
      <c r="O90">
        <v>75.947163974199995</v>
      </c>
      <c r="P90">
        <v>100.810869833</v>
      </c>
      <c r="Q90">
        <v>73.344875995699994</v>
      </c>
      <c r="R90">
        <v>113.041150453</v>
      </c>
      <c r="S90">
        <v>100.19882528300001</v>
      </c>
      <c r="T90">
        <v>106.040647775</v>
      </c>
      <c r="U90">
        <v>100.848124484</v>
      </c>
      <c r="V90">
        <v>119.527419005</v>
      </c>
      <c r="W90">
        <v>111.184006681</v>
      </c>
      <c r="X90">
        <v>80.416255351399997</v>
      </c>
      <c r="Y90">
        <v>83.180717452300001</v>
      </c>
      <c r="Z90">
        <v>85.226296531700001</v>
      </c>
      <c r="AA90">
        <v>86.770408708199994</v>
      </c>
      <c r="AB90">
        <v>126.552971074</v>
      </c>
      <c r="AC90">
        <v>112.77870812099999</v>
      </c>
      <c r="AD90">
        <v>120.145553904</v>
      </c>
      <c r="AE90">
        <v>86.281944740900002</v>
      </c>
      <c r="AF90">
        <v>99.767240576399999</v>
      </c>
      <c r="AG90">
        <v>104.18744360399999</v>
      </c>
      <c r="AH90">
        <v>93.922073648400001</v>
      </c>
      <c r="AI90">
        <v>109.594354751</v>
      </c>
      <c r="AJ90">
        <v>91.691385291200007</v>
      </c>
      <c r="AK90">
        <v>113.696419745</v>
      </c>
      <c r="AL90">
        <v>82.990769517000004</v>
      </c>
      <c r="AM90">
        <v>103.663556308</v>
      </c>
      <c r="AN90">
        <v>80.453518128400006</v>
      </c>
      <c r="AO90">
        <v>86.324174567599997</v>
      </c>
      <c r="AP90">
        <v>89.852031130399993</v>
      </c>
      <c r="AQ90">
        <v>118.553219949</v>
      </c>
      <c r="AR90">
        <v>118.850004914</v>
      </c>
      <c r="AS90">
        <v>81.169599883000004</v>
      </c>
      <c r="AT90">
        <v>86.632854579699995</v>
      </c>
      <c r="AU90">
        <v>104.62390435099999</v>
      </c>
      <c r="AV90">
        <v>95.534197725599995</v>
      </c>
      <c r="AW90">
        <v>82.035845783300005</v>
      </c>
      <c r="AX90">
        <v>115.003883789</v>
      </c>
      <c r="AY90">
        <v>127.971531356</v>
      </c>
      <c r="AZ90">
        <v>130.77411534399999</v>
      </c>
      <c r="BA90">
        <v>92.295018028399994</v>
      </c>
      <c r="BB90">
        <v>94.223904503599996</v>
      </c>
      <c r="BC90">
        <v>97.400569647200001</v>
      </c>
      <c r="BD90">
        <v>97.302844633000007</v>
      </c>
      <c r="BE90">
        <v>139.70910418700001</v>
      </c>
      <c r="BF90">
        <v>88.014785177299999</v>
      </c>
      <c r="BG90">
        <v>88.230782293199994</v>
      </c>
      <c r="BH90">
        <v>118.754337097</v>
      </c>
      <c r="BI90">
        <v>138.109164174</v>
      </c>
      <c r="BJ90">
        <v>103.89913940700001</v>
      </c>
      <c r="BK90">
        <v>92.163982477999994</v>
      </c>
      <c r="BL90">
        <v>88.641052291999998</v>
      </c>
      <c r="BM90">
        <v>79.500159781099995</v>
      </c>
      <c r="BN90">
        <v>121.723587706</v>
      </c>
      <c r="BO90">
        <v>103.388419156</v>
      </c>
      <c r="BP90">
        <v>85.567752053899994</v>
      </c>
      <c r="BQ90">
        <v>148.547814088</v>
      </c>
      <c r="BR90">
        <v>131.96962672199999</v>
      </c>
      <c r="BS90">
        <v>78.315020040099995</v>
      </c>
      <c r="BT90">
        <v>129.06428123500001</v>
      </c>
      <c r="BU90">
        <v>118.284927047</v>
      </c>
      <c r="BV90">
        <v>143.567148127</v>
      </c>
      <c r="BW90">
        <v>101.461382532</v>
      </c>
      <c r="BX90">
        <v>127.363138433</v>
      </c>
      <c r="BY90">
        <v>147.29142999999999</v>
      </c>
      <c r="BZ90">
        <v>98.133069093100005</v>
      </c>
      <c r="CA90">
        <v>86.372246789200005</v>
      </c>
      <c r="CB90">
        <v>122.295044422</v>
      </c>
      <c r="CC90">
        <v>114.55873181600001</v>
      </c>
      <c r="CD90">
        <v>110.165011398</v>
      </c>
      <c r="CE90">
        <v>121.175523415</v>
      </c>
      <c r="CF90">
        <v>114.23424593999999</v>
      </c>
      <c r="CG90">
        <v>96.370992173000005</v>
      </c>
      <c r="CH90">
        <v>70.931988634299998</v>
      </c>
      <c r="CI90">
        <v>120.016970301</v>
      </c>
      <c r="CJ90">
        <v>122.737761678</v>
      </c>
      <c r="CK90">
        <v>113.03415287</v>
      </c>
      <c r="CL90">
        <v>110.887513387</v>
      </c>
      <c r="CM90">
        <v>85.856288141700006</v>
      </c>
      <c r="CN90">
        <v>86.052885158099997</v>
      </c>
      <c r="CO90">
        <v>131.194013754</v>
      </c>
      <c r="CP90">
        <v>97.080321895300003</v>
      </c>
      <c r="CQ90">
        <v>89.999172698899997</v>
      </c>
      <c r="CR90">
        <v>83.941297483</v>
      </c>
      <c r="CS90">
        <v>90.698672858799995</v>
      </c>
      <c r="CT90">
        <v>93.319429783800004</v>
      </c>
      <c r="CU90">
        <v>132.894934662</v>
      </c>
      <c r="CV90">
        <v>101.89376383699999</v>
      </c>
      <c r="CW90">
        <v>96.460192459400005</v>
      </c>
      <c r="CX90">
        <v>102.113124711</v>
      </c>
      <c r="CY90">
        <v>131.01913815899999</v>
      </c>
      <c r="CZ90">
        <v>126.934962474</v>
      </c>
      <c r="DA90">
        <v>125.911697698</v>
      </c>
    </row>
    <row r="91" spans="5:105" x14ac:dyDescent="0.25">
      <c r="E91">
        <f>S_plus!L91</f>
        <v>0.89000000000000057</v>
      </c>
      <c r="F91">
        <v>135.566914975</v>
      </c>
      <c r="G91">
        <v>104.229642595</v>
      </c>
      <c r="H91">
        <v>98.854422269699995</v>
      </c>
      <c r="I91">
        <v>108.665621157</v>
      </c>
      <c r="J91">
        <v>159.34731710299999</v>
      </c>
      <c r="K91">
        <v>110.453055572</v>
      </c>
      <c r="L91">
        <v>100.62776112</v>
      </c>
      <c r="M91">
        <v>120.296378999</v>
      </c>
      <c r="N91">
        <v>87.219317781100003</v>
      </c>
      <c r="O91">
        <v>77.360023415800001</v>
      </c>
      <c r="P91">
        <v>98.682470815200006</v>
      </c>
      <c r="Q91">
        <v>74.280263110500002</v>
      </c>
      <c r="R91">
        <v>112.51435152400001</v>
      </c>
      <c r="S91">
        <v>100.643373256</v>
      </c>
      <c r="T91">
        <v>107.792840011</v>
      </c>
      <c r="U91">
        <v>97.647271440300003</v>
      </c>
      <c r="V91">
        <v>118.802421842</v>
      </c>
      <c r="W91">
        <v>113.382442555</v>
      </c>
      <c r="X91">
        <v>78.499565617200005</v>
      </c>
      <c r="Y91">
        <v>82.7814820408</v>
      </c>
      <c r="Z91">
        <v>84.997234685199999</v>
      </c>
      <c r="AA91">
        <v>86.805151770500004</v>
      </c>
      <c r="AB91">
        <v>130.03725965300001</v>
      </c>
      <c r="AC91">
        <v>115.36378158300001</v>
      </c>
      <c r="AD91">
        <v>121.657334034</v>
      </c>
      <c r="AE91">
        <v>87.048695759599994</v>
      </c>
      <c r="AF91">
        <v>104.459872748</v>
      </c>
      <c r="AG91">
        <v>104.501386912</v>
      </c>
      <c r="AH91">
        <v>95.421840520900005</v>
      </c>
      <c r="AI91">
        <v>105.391130288</v>
      </c>
      <c r="AJ91">
        <v>91.815582780300005</v>
      </c>
      <c r="AK91">
        <v>112.44298135699999</v>
      </c>
      <c r="AL91">
        <v>82.545126589399999</v>
      </c>
      <c r="AM91">
        <v>102.82925876900001</v>
      </c>
      <c r="AN91">
        <v>80.584862299799994</v>
      </c>
      <c r="AO91">
        <v>83.937234200500001</v>
      </c>
      <c r="AP91">
        <v>88.557018844500007</v>
      </c>
      <c r="AQ91">
        <v>115.123311347</v>
      </c>
      <c r="AR91">
        <v>119.27413462</v>
      </c>
      <c r="AS91">
        <v>79.116645011800003</v>
      </c>
      <c r="AT91">
        <v>87.145943683400006</v>
      </c>
      <c r="AU91">
        <v>106.07965724500001</v>
      </c>
      <c r="AV91">
        <v>93.4970939727</v>
      </c>
      <c r="AW91">
        <v>82.177055810799999</v>
      </c>
      <c r="AX91">
        <v>113.89033445</v>
      </c>
      <c r="AY91">
        <v>126.940115163</v>
      </c>
      <c r="AZ91">
        <v>131.58462384399999</v>
      </c>
      <c r="BA91">
        <v>89.405368083400006</v>
      </c>
      <c r="BB91">
        <v>92.906997256300002</v>
      </c>
      <c r="BC91">
        <v>98.058916865599997</v>
      </c>
      <c r="BD91">
        <v>101.504481164</v>
      </c>
      <c r="BE91">
        <v>135.20240065600001</v>
      </c>
      <c r="BF91">
        <v>89.232951738400004</v>
      </c>
      <c r="BG91">
        <v>88.199267256300004</v>
      </c>
      <c r="BH91">
        <v>120.200748448</v>
      </c>
      <c r="BI91">
        <v>138.85588789400001</v>
      </c>
      <c r="BJ91">
        <v>104.242575696</v>
      </c>
      <c r="BK91">
        <v>91.998989543899995</v>
      </c>
      <c r="BL91">
        <v>89.773959719199993</v>
      </c>
      <c r="BM91">
        <v>83.303840961999995</v>
      </c>
      <c r="BN91">
        <v>122.934492351</v>
      </c>
      <c r="BO91">
        <v>101.94690069000001</v>
      </c>
      <c r="BP91">
        <v>86.606989658399996</v>
      </c>
      <c r="BQ91">
        <v>146.24082459499999</v>
      </c>
      <c r="BR91">
        <v>131.167794327</v>
      </c>
      <c r="BS91">
        <v>77.011902213499994</v>
      </c>
      <c r="BT91">
        <v>126.116920092</v>
      </c>
      <c r="BU91">
        <v>115.84951996300001</v>
      </c>
      <c r="BV91">
        <v>142.802464165</v>
      </c>
      <c r="BW91">
        <v>102.142074458</v>
      </c>
      <c r="BX91">
        <v>126.315582277</v>
      </c>
      <c r="BY91">
        <v>142.927501855</v>
      </c>
      <c r="BZ91">
        <v>98.343689775599998</v>
      </c>
      <c r="CA91">
        <v>85.689339347499995</v>
      </c>
      <c r="CB91">
        <v>119.297621057</v>
      </c>
      <c r="CC91">
        <v>114.890427782</v>
      </c>
      <c r="CD91">
        <v>112.231716007</v>
      </c>
      <c r="CE91">
        <v>120.74070002400001</v>
      </c>
      <c r="CF91">
        <v>115.97133995900001</v>
      </c>
      <c r="CG91">
        <v>95.9799444816</v>
      </c>
      <c r="CH91">
        <v>71.072504559899997</v>
      </c>
      <c r="CI91">
        <v>122.684350405</v>
      </c>
      <c r="CJ91">
        <v>121.709220484</v>
      </c>
      <c r="CK91">
        <v>109.50213890800001</v>
      </c>
      <c r="CL91">
        <v>113.236826673</v>
      </c>
      <c r="CM91">
        <v>82.717518440299997</v>
      </c>
      <c r="CN91">
        <v>87.278881234599993</v>
      </c>
      <c r="CO91">
        <v>131.29020801499999</v>
      </c>
      <c r="CP91">
        <v>100.151562965</v>
      </c>
      <c r="CQ91">
        <v>88.095580494000004</v>
      </c>
      <c r="CR91">
        <v>84.743831155699993</v>
      </c>
      <c r="CS91">
        <v>92.350972687199999</v>
      </c>
      <c r="CT91">
        <v>97.443447691599999</v>
      </c>
      <c r="CU91">
        <v>132.52138045699999</v>
      </c>
      <c r="CV91">
        <v>100.55081133199999</v>
      </c>
      <c r="CW91">
        <v>98.069644784299996</v>
      </c>
      <c r="CX91">
        <v>99.379768973799997</v>
      </c>
      <c r="CY91">
        <v>129.80279898699999</v>
      </c>
      <c r="CZ91">
        <v>128.81383612799999</v>
      </c>
      <c r="DA91">
        <v>124.898590687</v>
      </c>
    </row>
    <row r="92" spans="5:105" x14ac:dyDescent="0.25">
      <c r="E92">
        <f>S_plus!L92</f>
        <v>0.90000000000000058</v>
      </c>
      <c r="F92">
        <v>141.65607948900001</v>
      </c>
      <c r="G92">
        <v>102.50245914</v>
      </c>
      <c r="H92">
        <v>98.7261103389</v>
      </c>
      <c r="I92">
        <v>111.079403591</v>
      </c>
      <c r="J92">
        <v>159.13002294500001</v>
      </c>
      <c r="K92">
        <v>109.691133795</v>
      </c>
      <c r="L92">
        <v>104.738290542</v>
      </c>
      <c r="M92">
        <v>117.728137285</v>
      </c>
      <c r="N92">
        <v>87.888456141999995</v>
      </c>
      <c r="O92">
        <v>75.962026214100007</v>
      </c>
      <c r="P92">
        <v>97.601191738300002</v>
      </c>
      <c r="Q92">
        <v>77.361909431800001</v>
      </c>
      <c r="R92">
        <v>117.01919558199999</v>
      </c>
      <c r="S92">
        <v>103.015110569</v>
      </c>
      <c r="T92">
        <v>109.502440478</v>
      </c>
      <c r="U92">
        <v>100.778016932</v>
      </c>
      <c r="V92">
        <v>120.590164973</v>
      </c>
      <c r="W92">
        <v>111.427790215</v>
      </c>
      <c r="X92">
        <v>78.963387663600002</v>
      </c>
      <c r="Y92">
        <v>79.164622629700006</v>
      </c>
      <c r="Z92">
        <v>85.603573290900002</v>
      </c>
      <c r="AA92">
        <v>88.133953582199993</v>
      </c>
      <c r="AB92">
        <v>130.083280307</v>
      </c>
      <c r="AC92">
        <v>114.02953412399999</v>
      </c>
      <c r="AD92">
        <v>120.84287820900001</v>
      </c>
      <c r="AE92">
        <v>88.815802504399997</v>
      </c>
      <c r="AF92">
        <v>103.96821613500001</v>
      </c>
      <c r="AG92">
        <v>104.774367153</v>
      </c>
      <c r="AH92">
        <v>93.662021733700001</v>
      </c>
      <c r="AI92">
        <v>105.473591277</v>
      </c>
      <c r="AJ92">
        <v>91.316770350699997</v>
      </c>
      <c r="AK92">
        <v>110.52052597700001</v>
      </c>
      <c r="AL92">
        <v>84.829723663500005</v>
      </c>
      <c r="AM92">
        <v>103.587539245</v>
      </c>
      <c r="AN92">
        <v>80.4746592244</v>
      </c>
      <c r="AO92">
        <v>85.280426558800002</v>
      </c>
      <c r="AP92">
        <v>90.905512509800005</v>
      </c>
      <c r="AQ92">
        <v>115.52749770699999</v>
      </c>
      <c r="AR92">
        <v>117.96650370499999</v>
      </c>
      <c r="AS92">
        <v>78.175385532299998</v>
      </c>
      <c r="AT92">
        <v>87.602536091600001</v>
      </c>
      <c r="AU92">
        <v>104.95368608299999</v>
      </c>
      <c r="AV92">
        <v>91.444492281099997</v>
      </c>
      <c r="AW92">
        <v>83.403358477799998</v>
      </c>
      <c r="AX92">
        <v>112.68803735900001</v>
      </c>
      <c r="AY92">
        <v>130.22667969299999</v>
      </c>
      <c r="AZ92">
        <v>133.153445963</v>
      </c>
      <c r="BA92">
        <v>88.537496798299998</v>
      </c>
      <c r="BB92">
        <v>93.224500766099993</v>
      </c>
      <c r="BC92">
        <v>101.44230598</v>
      </c>
      <c r="BD92">
        <v>103.34617334000001</v>
      </c>
      <c r="BE92">
        <v>131.77662380000001</v>
      </c>
      <c r="BF92">
        <v>91.473783622599996</v>
      </c>
      <c r="BG92">
        <v>89.661001359099998</v>
      </c>
      <c r="BH92">
        <v>118.692459697</v>
      </c>
      <c r="BI92">
        <v>138.67655583300001</v>
      </c>
      <c r="BJ92">
        <v>103.693955296</v>
      </c>
      <c r="BK92">
        <v>88.784373972099999</v>
      </c>
      <c r="BL92">
        <v>89.100180673500006</v>
      </c>
      <c r="BM92">
        <v>81.373431788399998</v>
      </c>
      <c r="BN92">
        <v>120.717717932</v>
      </c>
      <c r="BO92">
        <v>97.492466683299995</v>
      </c>
      <c r="BP92">
        <v>88.3992240412</v>
      </c>
      <c r="BQ92">
        <v>144.71422339899999</v>
      </c>
      <c r="BR92">
        <v>131.85968817899999</v>
      </c>
      <c r="BS92">
        <v>76.527797184299999</v>
      </c>
      <c r="BT92">
        <v>126.29260973</v>
      </c>
      <c r="BU92">
        <v>119.55657659400001</v>
      </c>
      <c r="BV92">
        <v>138.98364008999999</v>
      </c>
      <c r="BW92">
        <v>103.75278966400001</v>
      </c>
      <c r="BX92">
        <v>129.68506453000001</v>
      </c>
      <c r="BY92">
        <v>140.27777782000001</v>
      </c>
      <c r="BZ92">
        <v>97.714447957999994</v>
      </c>
      <c r="CA92">
        <v>85.041902424</v>
      </c>
      <c r="CB92">
        <v>122.021503666</v>
      </c>
      <c r="CC92">
        <v>114.3084077</v>
      </c>
      <c r="CD92">
        <v>118.210259951</v>
      </c>
      <c r="CE92">
        <v>119.72705226799999</v>
      </c>
      <c r="CF92">
        <v>118.853874559</v>
      </c>
      <c r="CG92">
        <v>100.078476369</v>
      </c>
      <c r="CH92">
        <v>70.500442441399997</v>
      </c>
      <c r="CI92">
        <v>122.282214974</v>
      </c>
      <c r="CJ92">
        <v>118.847699312</v>
      </c>
      <c r="CK92">
        <v>109.337157166</v>
      </c>
      <c r="CL92">
        <v>113.255929889</v>
      </c>
      <c r="CM92">
        <v>82.8421659105</v>
      </c>
      <c r="CN92">
        <v>89.8083314438</v>
      </c>
      <c r="CO92">
        <v>131.632916247</v>
      </c>
      <c r="CP92">
        <v>102.592558987</v>
      </c>
      <c r="CQ92">
        <v>86.092337633200003</v>
      </c>
      <c r="CR92">
        <v>86.345704610599995</v>
      </c>
      <c r="CS92">
        <v>88.382465899099998</v>
      </c>
      <c r="CT92">
        <v>99.292658066499996</v>
      </c>
      <c r="CU92">
        <v>131.89518687200001</v>
      </c>
      <c r="CV92">
        <v>97.239893615</v>
      </c>
      <c r="CW92">
        <v>98.160846356999997</v>
      </c>
      <c r="CX92">
        <v>102.22611424</v>
      </c>
      <c r="CY92">
        <v>129.26973661400001</v>
      </c>
      <c r="CZ92">
        <v>125.202640758</v>
      </c>
      <c r="DA92">
        <v>125.916833372</v>
      </c>
    </row>
    <row r="93" spans="5:105" x14ac:dyDescent="0.25">
      <c r="E93">
        <f>S_plus!L93</f>
        <v>0.91000000000000059</v>
      </c>
      <c r="F93">
        <v>142.32202174299999</v>
      </c>
      <c r="G93">
        <v>103.323620878</v>
      </c>
      <c r="H93">
        <v>96.890206555700004</v>
      </c>
      <c r="I93">
        <v>112.323981854</v>
      </c>
      <c r="J93">
        <v>155.829904435</v>
      </c>
      <c r="K93">
        <v>111.317153492</v>
      </c>
      <c r="L93">
        <v>103.986407375</v>
      </c>
      <c r="M93">
        <v>115.18786950000001</v>
      </c>
      <c r="N93">
        <v>87.941741808100005</v>
      </c>
      <c r="O93">
        <v>75.227610041199995</v>
      </c>
      <c r="P93">
        <v>98.853522372900002</v>
      </c>
      <c r="Q93">
        <v>78.936750627500004</v>
      </c>
      <c r="R93">
        <v>115.605729876</v>
      </c>
      <c r="S93">
        <v>104.443140521</v>
      </c>
      <c r="T93">
        <v>106.59596641</v>
      </c>
      <c r="U93">
        <v>101.37799041700001</v>
      </c>
      <c r="V93">
        <v>119.53253664</v>
      </c>
      <c r="W93">
        <v>112.469884439</v>
      </c>
      <c r="X93">
        <v>80.720579646499999</v>
      </c>
      <c r="Y93">
        <v>79.732429676799995</v>
      </c>
      <c r="Z93">
        <v>85.598451645200001</v>
      </c>
      <c r="AA93">
        <v>87.774567550399993</v>
      </c>
      <c r="AB93">
        <v>131.85945949500001</v>
      </c>
      <c r="AC93">
        <v>116.875580254</v>
      </c>
      <c r="AD93">
        <v>122.8703943</v>
      </c>
      <c r="AE93">
        <v>91.593403117899996</v>
      </c>
      <c r="AF93">
        <v>102.807035169</v>
      </c>
      <c r="AG93">
        <v>108.61963015000001</v>
      </c>
      <c r="AH93">
        <v>92.840441725000005</v>
      </c>
      <c r="AI93">
        <v>109.795793511</v>
      </c>
      <c r="AJ93">
        <v>91.716586580500007</v>
      </c>
      <c r="AK93">
        <v>112.114659309</v>
      </c>
      <c r="AL93">
        <v>87.423501359900001</v>
      </c>
      <c r="AM93">
        <v>99.965363096000004</v>
      </c>
      <c r="AN93">
        <v>80.986222805400004</v>
      </c>
      <c r="AO93">
        <v>83.379961012600006</v>
      </c>
      <c r="AP93">
        <v>93.056540809099999</v>
      </c>
      <c r="AQ93">
        <v>118.842014182</v>
      </c>
      <c r="AR93">
        <v>122.25386296000001</v>
      </c>
      <c r="AS93">
        <v>76.187915323400006</v>
      </c>
      <c r="AT93">
        <v>86.6210994666</v>
      </c>
      <c r="AU93">
        <v>102.472706703</v>
      </c>
      <c r="AV93">
        <v>93.255345205400005</v>
      </c>
      <c r="AW93">
        <v>84.237645151199999</v>
      </c>
      <c r="AX93">
        <v>112.62709568299999</v>
      </c>
      <c r="AY93">
        <v>129.08107264399999</v>
      </c>
      <c r="AZ93">
        <v>134.332599249</v>
      </c>
      <c r="BA93">
        <v>87.922498451400003</v>
      </c>
      <c r="BB93">
        <v>96.251681989000005</v>
      </c>
      <c r="BC93">
        <v>99.633983332100001</v>
      </c>
      <c r="BD93">
        <v>101.01761060600001</v>
      </c>
      <c r="BE93">
        <v>131.44850653</v>
      </c>
      <c r="BF93">
        <v>90.518053526800003</v>
      </c>
      <c r="BG93">
        <v>90.067296614200004</v>
      </c>
      <c r="BH93">
        <v>116.45156523</v>
      </c>
      <c r="BI93">
        <v>140.49479356099999</v>
      </c>
      <c r="BJ93">
        <v>104.77739266099999</v>
      </c>
      <c r="BK93">
        <v>91.499546003600003</v>
      </c>
      <c r="BL93">
        <v>85.705455626800003</v>
      </c>
      <c r="BM93">
        <v>79.929189494900001</v>
      </c>
      <c r="BN93">
        <v>123.49441261699999</v>
      </c>
      <c r="BO93">
        <v>96.745543438799999</v>
      </c>
      <c r="BP93">
        <v>84.708964417700003</v>
      </c>
      <c r="BQ93">
        <v>144.717372504</v>
      </c>
      <c r="BR93">
        <v>133.41566347</v>
      </c>
      <c r="BS93">
        <v>76.2033237009</v>
      </c>
      <c r="BT93">
        <v>123.318880818</v>
      </c>
      <c r="BU93">
        <v>121.70753374</v>
      </c>
      <c r="BV93">
        <v>138.43917977699999</v>
      </c>
      <c r="BW93">
        <v>101.79098799800001</v>
      </c>
      <c r="BX93">
        <v>134.54265100500001</v>
      </c>
      <c r="BY93">
        <v>139.93519016400001</v>
      </c>
      <c r="BZ93">
        <v>97.369396618300001</v>
      </c>
      <c r="CA93">
        <v>91.042652857899995</v>
      </c>
      <c r="CB93">
        <v>120.71333233999999</v>
      </c>
      <c r="CC93">
        <v>112.738180269</v>
      </c>
      <c r="CD93">
        <v>118.973811625</v>
      </c>
      <c r="CE93">
        <v>123.38706335000001</v>
      </c>
      <c r="CF93">
        <v>117.06632005100001</v>
      </c>
      <c r="CG93">
        <v>100.074197191</v>
      </c>
      <c r="CH93">
        <v>68.777125570899997</v>
      </c>
      <c r="CI93">
        <v>119.81876363799999</v>
      </c>
      <c r="CJ93">
        <v>119.830956603</v>
      </c>
      <c r="CK93">
        <v>107.581723358</v>
      </c>
      <c r="CL93">
        <v>112.02565488400001</v>
      </c>
      <c r="CM93">
        <v>83.908232585999997</v>
      </c>
      <c r="CN93">
        <v>91.010246716799998</v>
      </c>
      <c r="CO93">
        <v>128.30090852500001</v>
      </c>
      <c r="CP93">
        <v>102.93588013199999</v>
      </c>
      <c r="CQ93">
        <v>87.4841423787</v>
      </c>
      <c r="CR93">
        <v>87.634804926499996</v>
      </c>
      <c r="CS93">
        <v>89.663085964700002</v>
      </c>
      <c r="CT93">
        <v>101.906044686</v>
      </c>
      <c r="CU93">
        <v>132.897175025</v>
      </c>
      <c r="CV93">
        <v>96.022401197500002</v>
      </c>
      <c r="CW93">
        <v>96.908774392599994</v>
      </c>
      <c r="CX93">
        <v>107.445313105</v>
      </c>
      <c r="CY93">
        <v>129.287095618</v>
      </c>
      <c r="CZ93">
        <v>126.99993435499999</v>
      </c>
      <c r="DA93">
        <v>127.78220456699999</v>
      </c>
    </row>
    <row r="94" spans="5:105" x14ac:dyDescent="0.25">
      <c r="E94">
        <f>S_plus!L94</f>
        <v>0.9200000000000006</v>
      </c>
      <c r="F94">
        <v>140.54365482599999</v>
      </c>
      <c r="G94">
        <v>106.05375325</v>
      </c>
      <c r="H94">
        <v>98.313280224899998</v>
      </c>
      <c r="I94">
        <v>115.975602313</v>
      </c>
      <c r="J94">
        <v>153.16833193100001</v>
      </c>
      <c r="K94">
        <v>110.802675947</v>
      </c>
      <c r="L94">
        <v>107.709187464</v>
      </c>
      <c r="M94">
        <v>114.087453576</v>
      </c>
      <c r="N94">
        <v>90.335730864300004</v>
      </c>
      <c r="O94">
        <v>76.039428475099996</v>
      </c>
      <c r="P94">
        <v>99.465234531999997</v>
      </c>
      <c r="Q94">
        <v>79.186922263400007</v>
      </c>
      <c r="R94">
        <v>119.431774428</v>
      </c>
      <c r="S94">
        <v>107.25594701199999</v>
      </c>
      <c r="T94">
        <v>103.872616318</v>
      </c>
      <c r="U94">
        <v>103.199804923</v>
      </c>
      <c r="V94">
        <v>118.620429677</v>
      </c>
      <c r="W94">
        <v>112.57731549</v>
      </c>
      <c r="X94">
        <v>83.149157971400001</v>
      </c>
      <c r="Y94">
        <v>80.559937374499995</v>
      </c>
      <c r="Z94">
        <v>84.677626774800004</v>
      </c>
      <c r="AA94">
        <v>84.618153868999997</v>
      </c>
      <c r="AB94">
        <v>134.45975478</v>
      </c>
      <c r="AC94">
        <v>114.827526804</v>
      </c>
      <c r="AD94">
        <v>122.43291532400001</v>
      </c>
      <c r="AE94">
        <v>92.034590555199998</v>
      </c>
      <c r="AF94">
        <v>102.14292913</v>
      </c>
      <c r="AG94">
        <v>109.881087733</v>
      </c>
      <c r="AH94">
        <v>93.776028276700004</v>
      </c>
      <c r="AI94">
        <v>109.70086729000001</v>
      </c>
      <c r="AJ94">
        <v>92.416696092899997</v>
      </c>
      <c r="AK94">
        <v>110.095704537</v>
      </c>
      <c r="AL94">
        <v>88.005472835199996</v>
      </c>
      <c r="AM94">
        <v>101.805180722</v>
      </c>
      <c r="AN94">
        <v>78.349881847899994</v>
      </c>
      <c r="AO94">
        <v>83.380644566499996</v>
      </c>
      <c r="AP94">
        <v>92.117411540999996</v>
      </c>
      <c r="AQ94">
        <v>118.699389246</v>
      </c>
      <c r="AR94">
        <v>123.544295318</v>
      </c>
      <c r="AS94">
        <v>76.982702802099993</v>
      </c>
      <c r="AT94">
        <v>85.448360989199998</v>
      </c>
      <c r="AU94">
        <v>99.6973237041</v>
      </c>
      <c r="AV94">
        <v>90.627759111700001</v>
      </c>
      <c r="AW94">
        <v>85.338611969799999</v>
      </c>
      <c r="AX94">
        <v>111.494262797</v>
      </c>
      <c r="AY94">
        <v>127.552740891</v>
      </c>
      <c r="AZ94">
        <v>131.71881009399999</v>
      </c>
      <c r="BA94">
        <v>90.8043091121</v>
      </c>
      <c r="BB94">
        <v>98.517956459800004</v>
      </c>
      <c r="BC94">
        <v>99.153449978400005</v>
      </c>
      <c r="BD94">
        <v>98.5795910768</v>
      </c>
      <c r="BE94">
        <v>136.521437846</v>
      </c>
      <c r="BF94">
        <v>88.186152861500005</v>
      </c>
      <c r="BG94">
        <v>90.160461863899997</v>
      </c>
      <c r="BH94">
        <v>118.020491405</v>
      </c>
      <c r="BI94">
        <v>137.81602686100001</v>
      </c>
      <c r="BJ94">
        <v>109.058178799</v>
      </c>
      <c r="BK94">
        <v>90.714133439799994</v>
      </c>
      <c r="BL94">
        <v>83.959858562799994</v>
      </c>
      <c r="BM94">
        <v>79.030141556900006</v>
      </c>
      <c r="BN94">
        <v>125.077974801</v>
      </c>
      <c r="BO94">
        <v>97.436572680599994</v>
      </c>
      <c r="BP94">
        <v>82.343740547600007</v>
      </c>
      <c r="BQ94">
        <v>147.72186046499999</v>
      </c>
      <c r="BR94">
        <v>134.39183985700001</v>
      </c>
      <c r="BS94">
        <v>75.468797739099998</v>
      </c>
      <c r="BT94">
        <v>121.76511089900001</v>
      </c>
      <c r="BU94">
        <v>121.23240144499999</v>
      </c>
      <c r="BV94">
        <v>141.28080900099999</v>
      </c>
      <c r="BW94">
        <v>100.08174882599999</v>
      </c>
      <c r="BX94">
        <v>134.844923257</v>
      </c>
      <c r="BY94">
        <v>135.79014865400001</v>
      </c>
      <c r="BZ94">
        <v>99.4430161911</v>
      </c>
      <c r="CA94">
        <v>89.973988359900005</v>
      </c>
      <c r="CB94">
        <v>122.084209345</v>
      </c>
      <c r="CC94">
        <v>113.996367526</v>
      </c>
      <c r="CD94">
        <v>115.94948522599999</v>
      </c>
      <c r="CE94">
        <v>122.401593726</v>
      </c>
      <c r="CF94">
        <v>118.361937572</v>
      </c>
      <c r="CG94">
        <v>99.066690932399993</v>
      </c>
      <c r="CH94">
        <v>71.986682315600007</v>
      </c>
      <c r="CI94">
        <v>122.290890875</v>
      </c>
      <c r="CJ94">
        <v>121.588019187</v>
      </c>
      <c r="CK94">
        <v>106.560535497</v>
      </c>
      <c r="CL94">
        <v>112.823550032</v>
      </c>
      <c r="CM94">
        <v>83.999594570200003</v>
      </c>
      <c r="CN94">
        <v>89.339061499300001</v>
      </c>
      <c r="CO94">
        <v>128.365960065</v>
      </c>
      <c r="CP94">
        <v>104.151557668</v>
      </c>
      <c r="CQ94">
        <v>90.469281536099999</v>
      </c>
      <c r="CR94">
        <v>89.455691721199997</v>
      </c>
      <c r="CS94">
        <v>88.105191363200007</v>
      </c>
      <c r="CT94">
        <v>102.13090821900001</v>
      </c>
      <c r="CU94">
        <v>132.65953679200001</v>
      </c>
      <c r="CV94">
        <v>98.842575921199995</v>
      </c>
      <c r="CW94">
        <v>100.15857511599999</v>
      </c>
      <c r="CX94">
        <v>107.25273565800001</v>
      </c>
      <c r="CY94">
        <v>132.47296488200001</v>
      </c>
      <c r="CZ94">
        <v>127.31680512299999</v>
      </c>
      <c r="DA94">
        <v>131.30577139600001</v>
      </c>
    </row>
    <row r="95" spans="5:105" x14ac:dyDescent="0.25">
      <c r="E95">
        <f>S_plus!L95</f>
        <v>0.9300000000000006</v>
      </c>
      <c r="F95">
        <v>141.164151917</v>
      </c>
      <c r="G95">
        <v>103.33426590400001</v>
      </c>
      <c r="H95">
        <v>100.219229965</v>
      </c>
      <c r="I95">
        <v>116.96501748999999</v>
      </c>
      <c r="J95">
        <v>156.86210663899999</v>
      </c>
      <c r="K95">
        <v>108.759420479</v>
      </c>
      <c r="L95">
        <v>109.52504564</v>
      </c>
      <c r="M95">
        <v>114.00697234099999</v>
      </c>
      <c r="N95">
        <v>91.779978930400006</v>
      </c>
      <c r="O95">
        <v>78.057365297399997</v>
      </c>
      <c r="P95">
        <v>100.024354183</v>
      </c>
      <c r="Q95">
        <v>80.888643252099996</v>
      </c>
      <c r="R95">
        <v>119.278356127</v>
      </c>
      <c r="S95">
        <v>106.91079815000001</v>
      </c>
      <c r="T95">
        <v>106.929094781</v>
      </c>
      <c r="U95">
        <v>102.537635005</v>
      </c>
      <c r="V95">
        <v>115.549721418</v>
      </c>
      <c r="W95">
        <v>112.055392013</v>
      </c>
      <c r="X95">
        <v>83.387492227500005</v>
      </c>
      <c r="Y95">
        <v>81.9172082276</v>
      </c>
      <c r="Z95">
        <v>84.739035692000002</v>
      </c>
      <c r="AA95">
        <v>88.758329727700001</v>
      </c>
      <c r="AB95">
        <v>131.624843457</v>
      </c>
      <c r="AC95">
        <v>115.32210205200001</v>
      </c>
      <c r="AD95">
        <v>121.49844409000001</v>
      </c>
      <c r="AE95">
        <v>90.412321761900003</v>
      </c>
      <c r="AF95">
        <v>103.09561452200001</v>
      </c>
      <c r="AG95">
        <v>111.89617475</v>
      </c>
      <c r="AH95">
        <v>91.833819875499998</v>
      </c>
      <c r="AI95">
        <v>112.093401527</v>
      </c>
      <c r="AJ95">
        <v>94.275013977300006</v>
      </c>
      <c r="AK95">
        <v>108.228250808</v>
      </c>
      <c r="AL95">
        <v>88.687170963599996</v>
      </c>
      <c r="AM95">
        <v>102.84769638</v>
      </c>
      <c r="AN95">
        <v>78.283811077500005</v>
      </c>
      <c r="AO95">
        <v>85.885579642899998</v>
      </c>
      <c r="AP95">
        <v>92.129960260100006</v>
      </c>
      <c r="AQ95">
        <v>117.67453559099999</v>
      </c>
      <c r="AR95">
        <v>121.36305399299999</v>
      </c>
      <c r="AS95">
        <v>78.551481885200005</v>
      </c>
      <c r="AT95">
        <v>85.539625520599998</v>
      </c>
      <c r="AU95">
        <v>97.539156671100002</v>
      </c>
      <c r="AV95">
        <v>93.683589051599995</v>
      </c>
      <c r="AW95">
        <v>86.247625080099994</v>
      </c>
      <c r="AX95">
        <v>115.28622943800001</v>
      </c>
      <c r="AY95">
        <v>128.62542618099999</v>
      </c>
      <c r="AZ95">
        <v>134.324822592</v>
      </c>
      <c r="BA95">
        <v>92.866067649399994</v>
      </c>
      <c r="BB95">
        <v>100.48572104100001</v>
      </c>
      <c r="BC95">
        <v>101.365758623</v>
      </c>
      <c r="BD95">
        <v>95.884954267500007</v>
      </c>
      <c r="BE95">
        <v>136.61861511800001</v>
      </c>
      <c r="BF95">
        <v>90.669147972999994</v>
      </c>
      <c r="BG95">
        <v>90.317347432899993</v>
      </c>
      <c r="BH95">
        <v>116.10344161499999</v>
      </c>
      <c r="BI95">
        <v>136.088674199</v>
      </c>
      <c r="BJ95">
        <v>109.49118501300001</v>
      </c>
      <c r="BK95">
        <v>89.730731925800001</v>
      </c>
      <c r="BL95">
        <v>83.314842987800006</v>
      </c>
      <c r="BM95">
        <v>79.964863172299999</v>
      </c>
      <c r="BN95">
        <v>120.837758025</v>
      </c>
      <c r="BO95">
        <v>96.425605677899995</v>
      </c>
      <c r="BP95">
        <v>85.576728438499998</v>
      </c>
      <c r="BQ95">
        <v>145.44548022000001</v>
      </c>
      <c r="BR95">
        <v>134.155061289</v>
      </c>
      <c r="BS95">
        <v>73.170389054799998</v>
      </c>
      <c r="BT95">
        <v>120.85290094200001</v>
      </c>
      <c r="BU95">
        <v>123.63366131399999</v>
      </c>
      <c r="BV95">
        <v>142.082687373</v>
      </c>
      <c r="BW95">
        <v>96.794559730299994</v>
      </c>
      <c r="BX95">
        <v>135.19847419300001</v>
      </c>
      <c r="BY95">
        <v>137.83985949199999</v>
      </c>
      <c r="BZ95">
        <v>98.586023637099998</v>
      </c>
      <c r="CA95">
        <v>90.370727869600003</v>
      </c>
      <c r="CB95">
        <v>124.52471832400001</v>
      </c>
      <c r="CC95">
        <v>114.636207735</v>
      </c>
      <c r="CD95">
        <v>114.83860982900001</v>
      </c>
      <c r="CE95">
        <v>127.22622826999999</v>
      </c>
      <c r="CF95">
        <v>118.271465894</v>
      </c>
      <c r="CG95">
        <v>102.793689316</v>
      </c>
      <c r="CH95">
        <v>72.042804545099997</v>
      </c>
      <c r="CI95">
        <v>125.82033206</v>
      </c>
      <c r="CJ95">
        <v>117.827781804</v>
      </c>
      <c r="CK95">
        <v>104.685514183</v>
      </c>
      <c r="CL95">
        <v>111.282079057</v>
      </c>
      <c r="CM95">
        <v>84.852514554099997</v>
      </c>
      <c r="CN95">
        <v>87.610029132199998</v>
      </c>
      <c r="CO95">
        <v>133.64136094899999</v>
      </c>
      <c r="CP95">
        <v>100.837873395</v>
      </c>
      <c r="CQ95">
        <v>90.579790195200005</v>
      </c>
      <c r="CR95">
        <v>93.195574033599996</v>
      </c>
      <c r="CS95">
        <v>88.0321510144</v>
      </c>
      <c r="CT95">
        <v>104.83581077700001</v>
      </c>
      <c r="CU95">
        <v>133.63609570400001</v>
      </c>
      <c r="CV95">
        <v>99.115455182100007</v>
      </c>
      <c r="CW95">
        <v>102.206889706</v>
      </c>
      <c r="CX95">
        <v>104.346946151</v>
      </c>
      <c r="CY95">
        <v>134.593704457</v>
      </c>
      <c r="CZ95">
        <v>125.234326729</v>
      </c>
      <c r="DA95">
        <v>131.91928763499999</v>
      </c>
    </row>
    <row r="96" spans="5:105" x14ac:dyDescent="0.25">
      <c r="E96">
        <f>S_plus!L96</f>
        <v>0.94000000000000061</v>
      </c>
      <c r="F96">
        <v>141.128746038</v>
      </c>
      <c r="G96">
        <v>104.79051408300001</v>
      </c>
      <c r="H96">
        <v>100.39738222</v>
      </c>
      <c r="I96">
        <v>121.349517818</v>
      </c>
      <c r="J96">
        <v>158.33033058800001</v>
      </c>
      <c r="K96">
        <v>109.486015286</v>
      </c>
      <c r="L96">
        <v>107.755811124</v>
      </c>
      <c r="M96">
        <v>115.100366639</v>
      </c>
      <c r="N96">
        <v>90.517445831499998</v>
      </c>
      <c r="O96">
        <v>76.453839202400005</v>
      </c>
      <c r="P96">
        <v>103.600473843</v>
      </c>
      <c r="Q96">
        <v>79.099233934500006</v>
      </c>
      <c r="R96">
        <v>121.510908015</v>
      </c>
      <c r="S96">
        <v>107.22458813199999</v>
      </c>
      <c r="T96">
        <v>111.40762078100001</v>
      </c>
      <c r="U96">
        <v>100.91520793399999</v>
      </c>
      <c r="V96">
        <v>114.678889673</v>
      </c>
      <c r="W96">
        <v>112.089187897</v>
      </c>
      <c r="X96">
        <v>84.902550606899993</v>
      </c>
      <c r="Y96">
        <v>82.987318287799994</v>
      </c>
      <c r="Z96">
        <v>87.433325104100007</v>
      </c>
      <c r="AA96">
        <v>91.685389286800003</v>
      </c>
      <c r="AB96">
        <v>133.027927412</v>
      </c>
      <c r="AC96">
        <v>115.35315094800001</v>
      </c>
      <c r="AD96">
        <v>116.11589543700001</v>
      </c>
      <c r="AE96">
        <v>89.514255049300004</v>
      </c>
      <c r="AF96">
        <v>99.750436989899995</v>
      </c>
      <c r="AG96">
        <v>110.727139014</v>
      </c>
      <c r="AH96">
        <v>95.118024798600004</v>
      </c>
      <c r="AI96">
        <v>107.435460213</v>
      </c>
      <c r="AJ96">
        <v>95.493933576100005</v>
      </c>
      <c r="AK96">
        <v>107.075815916</v>
      </c>
      <c r="AL96">
        <v>87.759411825800001</v>
      </c>
      <c r="AM96">
        <v>102.19952049600001</v>
      </c>
      <c r="AN96">
        <v>79.727349197899997</v>
      </c>
      <c r="AO96">
        <v>87.4250713964</v>
      </c>
      <c r="AP96">
        <v>91.379982454399993</v>
      </c>
      <c r="AQ96">
        <v>121.124474921</v>
      </c>
      <c r="AR96">
        <v>120.734857265</v>
      </c>
      <c r="AS96">
        <v>75.625094097499996</v>
      </c>
      <c r="AT96">
        <v>85.001278995000007</v>
      </c>
      <c r="AU96">
        <v>100.32423893399999</v>
      </c>
      <c r="AV96">
        <v>96.663575304700004</v>
      </c>
      <c r="AW96">
        <v>84.455279715000003</v>
      </c>
      <c r="AX96">
        <v>115.48847572</v>
      </c>
      <c r="AY96">
        <v>127.193996586</v>
      </c>
      <c r="AZ96">
        <v>131.031059701</v>
      </c>
      <c r="BA96">
        <v>91.490589300300002</v>
      </c>
      <c r="BB96">
        <v>96.937117964500004</v>
      </c>
      <c r="BC96">
        <v>98.893301598400001</v>
      </c>
      <c r="BD96">
        <v>95.317697670900003</v>
      </c>
      <c r="BE96">
        <v>134.382880048</v>
      </c>
      <c r="BF96">
        <v>93.101068443900004</v>
      </c>
      <c r="BG96">
        <v>88.203435873499998</v>
      </c>
      <c r="BH96">
        <v>117.808085525</v>
      </c>
      <c r="BI96">
        <v>132.911545596</v>
      </c>
      <c r="BJ96">
        <v>109.598817259</v>
      </c>
      <c r="BK96">
        <v>91.151116488699998</v>
      </c>
      <c r="BL96">
        <v>83.083350117400002</v>
      </c>
      <c r="BM96">
        <v>79.668321000800006</v>
      </c>
      <c r="BN96">
        <v>122.315567063</v>
      </c>
      <c r="BO96">
        <v>97.670043453299996</v>
      </c>
      <c r="BP96">
        <v>85.526530502100002</v>
      </c>
      <c r="BQ96">
        <v>145.003150963</v>
      </c>
      <c r="BR96">
        <v>131.097032523</v>
      </c>
      <c r="BS96">
        <v>72.645390000800006</v>
      </c>
      <c r="BT96">
        <v>121.411144393</v>
      </c>
      <c r="BU96">
        <v>122.56625343899999</v>
      </c>
      <c r="BV96">
        <v>140.33285688399999</v>
      </c>
      <c r="BW96">
        <v>97.2960114949</v>
      </c>
      <c r="BX96">
        <v>136.679644655</v>
      </c>
      <c r="BY96">
        <v>141.73096412999999</v>
      </c>
      <c r="BZ96">
        <v>96.542822446299994</v>
      </c>
      <c r="CA96">
        <v>90.480237601599995</v>
      </c>
      <c r="CB96">
        <v>124.326929052</v>
      </c>
      <c r="CC96">
        <v>111.55965238899999</v>
      </c>
      <c r="CD96">
        <v>116.376251681</v>
      </c>
      <c r="CE96">
        <v>124.28769580399999</v>
      </c>
      <c r="CF96">
        <v>118.84715916899999</v>
      </c>
      <c r="CG96">
        <v>100.14901095</v>
      </c>
      <c r="CH96">
        <v>71.872832966700003</v>
      </c>
      <c r="CI96">
        <v>128.37609701400001</v>
      </c>
      <c r="CJ96">
        <v>118.266468727</v>
      </c>
      <c r="CK96">
        <v>102.14024703600001</v>
      </c>
      <c r="CL96">
        <v>113.380779055</v>
      </c>
      <c r="CM96">
        <v>84.576841612600006</v>
      </c>
      <c r="CN96">
        <v>86.372950058599997</v>
      </c>
      <c r="CO96">
        <v>133.00094414399999</v>
      </c>
      <c r="CP96">
        <v>98.658322310599999</v>
      </c>
      <c r="CQ96">
        <v>89.645721899700007</v>
      </c>
      <c r="CR96">
        <v>95.910944819799994</v>
      </c>
      <c r="CS96">
        <v>91.073604427099994</v>
      </c>
      <c r="CT96">
        <v>108.023801053</v>
      </c>
      <c r="CU96">
        <v>133.119636302</v>
      </c>
      <c r="CV96">
        <v>98.045600444800002</v>
      </c>
      <c r="CW96">
        <v>101.519184876</v>
      </c>
      <c r="CX96">
        <v>102.018102595</v>
      </c>
      <c r="CY96">
        <v>131.42441626600001</v>
      </c>
      <c r="CZ96">
        <v>125.627562748</v>
      </c>
      <c r="DA96">
        <v>133.10871613800001</v>
      </c>
    </row>
    <row r="97" spans="5:105" x14ac:dyDescent="0.25">
      <c r="E97">
        <f>S_plus!L97</f>
        <v>0.95000000000000062</v>
      </c>
      <c r="F97">
        <v>142.71801455900001</v>
      </c>
      <c r="G97">
        <v>102.309212328</v>
      </c>
      <c r="H97">
        <v>103.657851577</v>
      </c>
      <c r="I97">
        <v>119.325832878</v>
      </c>
      <c r="J97">
        <v>157.00446566299999</v>
      </c>
      <c r="K97">
        <v>109.111758155</v>
      </c>
      <c r="L97">
        <v>106.540902221</v>
      </c>
      <c r="M97">
        <v>115.76891822499999</v>
      </c>
      <c r="N97">
        <v>90.616366023099999</v>
      </c>
      <c r="O97">
        <v>76.529684445300006</v>
      </c>
      <c r="P97">
        <v>105.00733867300001</v>
      </c>
      <c r="Q97">
        <v>79.578857357800004</v>
      </c>
      <c r="R97">
        <v>116.00756684700001</v>
      </c>
      <c r="S97">
        <v>108.187679307</v>
      </c>
      <c r="T97">
        <v>108.22530563399999</v>
      </c>
      <c r="U97">
        <v>103.582880918</v>
      </c>
      <c r="V97">
        <v>111.273106258</v>
      </c>
      <c r="W97">
        <v>112.63540374199999</v>
      </c>
      <c r="X97">
        <v>84.072341820700004</v>
      </c>
      <c r="Y97">
        <v>82.362680952900007</v>
      </c>
      <c r="Z97">
        <v>88.145700990099996</v>
      </c>
      <c r="AA97">
        <v>93.189712939399996</v>
      </c>
      <c r="AB97">
        <v>133.14265777599999</v>
      </c>
      <c r="AC97">
        <v>113.87706829699999</v>
      </c>
      <c r="AD97">
        <v>118.341419093</v>
      </c>
      <c r="AE97">
        <v>90.166217080199999</v>
      </c>
      <c r="AF97">
        <v>100.005528478</v>
      </c>
      <c r="AG97">
        <v>109.559029</v>
      </c>
      <c r="AH97">
        <v>94.214591350299997</v>
      </c>
      <c r="AI97">
        <v>111.525253635</v>
      </c>
      <c r="AJ97">
        <v>95.090057061600007</v>
      </c>
      <c r="AK97">
        <v>111.50817976800001</v>
      </c>
      <c r="AL97">
        <v>88.967099278399999</v>
      </c>
      <c r="AM97">
        <v>103.129759343</v>
      </c>
      <c r="AN97">
        <v>80.539719945399995</v>
      </c>
      <c r="AO97">
        <v>88.980885146399999</v>
      </c>
      <c r="AP97">
        <v>92.521204214500003</v>
      </c>
      <c r="AQ97">
        <v>121.39992334900001</v>
      </c>
      <c r="AR97">
        <v>119.58730287</v>
      </c>
      <c r="AS97">
        <v>78.974641131200002</v>
      </c>
      <c r="AT97">
        <v>83.843365698599996</v>
      </c>
      <c r="AU97">
        <v>101.04429794000001</v>
      </c>
      <c r="AV97">
        <v>95.570242218499999</v>
      </c>
      <c r="AW97">
        <v>85.066233081799993</v>
      </c>
      <c r="AX97">
        <v>111.68677008900001</v>
      </c>
      <c r="AY97">
        <v>126.28537437200001</v>
      </c>
      <c r="AZ97">
        <v>135.19141325499999</v>
      </c>
      <c r="BA97">
        <v>91.588073519899993</v>
      </c>
      <c r="BB97">
        <v>95.733924410599997</v>
      </c>
      <c r="BC97">
        <v>101.36369946000001</v>
      </c>
      <c r="BD97">
        <v>97.405152712100005</v>
      </c>
      <c r="BE97">
        <v>132.59716566200001</v>
      </c>
      <c r="BF97">
        <v>95.140216840700006</v>
      </c>
      <c r="BG97">
        <v>89.040043716400007</v>
      </c>
      <c r="BH97">
        <v>116.975266797</v>
      </c>
      <c r="BI97">
        <v>137.873926719</v>
      </c>
      <c r="BJ97">
        <v>108.284691528</v>
      </c>
      <c r="BK97">
        <v>89.461279491200003</v>
      </c>
      <c r="BL97">
        <v>82.8591264983</v>
      </c>
      <c r="BM97">
        <v>78.437505208900006</v>
      </c>
      <c r="BN97">
        <v>119.691761309</v>
      </c>
      <c r="BO97">
        <v>97.809228008999995</v>
      </c>
      <c r="BP97">
        <v>84.544940028300005</v>
      </c>
      <c r="BQ97">
        <v>142.554635569</v>
      </c>
      <c r="BR97">
        <v>131.525852996</v>
      </c>
      <c r="BS97">
        <v>75.028131203399994</v>
      </c>
      <c r="BT97">
        <v>122.72196738</v>
      </c>
      <c r="BU97">
        <v>124.12257728100001</v>
      </c>
      <c r="BV97">
        <v>138.812631727</v>
      </c>
      <c r="BW97">
        <v>97.4397346688</v>
      </c>
      <c r="BX97">
        <v>138.51085842399999</v>
      </c>
      <c r="BY97">
        <v>139.80519448300001</v>
      </c>
      <c r="BZ97">
        <v>97.064796803500002</v>
      </c>
      <c r="CA97">
        <v>87.185285772599997</v>
      </c>
      <c r="CB97">
        <v>127.414467621</v>
      </c>
      <c r="CC97">
        <v>113.26643409899999</v>
      </c>
      <c r="CD97">
        <v>118.92938559</v>
      </c>
      <c r="CE97">
        <v>120.61771483299999</v>
      </c>
      <c r="CF97">
        <v>115.307999188</v>
      </c>
      <c r="CG97">
        <v>101.349051496</v>
      </c>
      <c r="CH97">
        <v>69.839588309700005</v>
      </c>
      <c r="CI97">
        <v>127.026003047</v>
      </c>
      <c r="CJ97">
        <v>118.149744334</v>
      </c>
      <c r="CK97">
        <v>103.16541791500001</v>
      </c>
      <c r="CL97">
        <v>118.572734244</v>
      </c>
      <c r="CM97">
        <v>84.267059698699995</v>
      </c>
      <c r="CN97">
        <v>85.748196908099999</v>
      </c>
      <c r="CO97">
        <v>132.69739616199999</v>
      </c>
      <c r="CP97">
        <v>99.504517113800006</v>
      </c>
      <c r="CQ97">
        <v>88.196370238499995</v>
      </c>
      <c r="CR97">
        <v>97.486063516100003</v>
      </c>
      <c r="CS97">
        <v>89.926993699299999</v>
      </c>
      <c r="CT97">
        <v>108.022184592</v>
      </c>
      <c r="CU97">
        <v>138.115058245</v>
      </c>
      <c r="CV97">
        <v>96.888433838099999</v>
      </c>
      <c r="CW97">
        <v>98.761777843800004</v>
      </c>
      <c r="CX97">
        <v>102.019606323</v>
      </c>
      <c r="CY97">
        <v>129.01049987900001</v>
      </c>
      <c r="CZ97">
        <v>126.759393841</v>
      </c>
      <c r="DA97">
        <v>133.47186251599999</v>
      </c>
    </row>
    <row r="98" spans="5:105" x14ac:dyDescent="0.25">
      <c r="E98">
        <f>S_plus!L98</f>
        <v>0.96000000000000063</v>
      </c>
      <c r="F98">
        <v>139.59769695200001</v>
      </c>
      <c r="G98">
        <v>104.05904901300001</v>
      </c>
      <c r="H98">
        <v>101.136640165</v>
      </c>
      <c r="I98">
        <v>116.337552378</v>
      </c>
      <c r="J98">
        <v>156.973000778</v>
      </c>
      <c r="K98">
        <v>111.061387532</v>
      </c>
      <c r="L98">
        <v>109.07525676</v>
      </c>
      <c r="M98">
        <v>113.709675002</v>
      </c>
      <c r="N98">
        <v>90.587675040299999</v>
      </c>
      <c r="O98">
        <v>75.7815061302</v>
      </c>
      <c r="P98">
        <v>109.6606445</v>
      </c>
      <c r="Q98">
        <v>80.359046083300001</v>
      </c>
      <c r="R98">
        <v>115.139699948</v>
      </c>
      <c r="S98">
        <v>107.131311889</v>
      </c>
      <c r="T98">
        <v>110.353577324</v>
      </c>
      <c r="U98">
        <v>106.71255013</v>
      </c>
      <c r="V98">
        <v>116.85216779300001</v>
      </c>
      <c r="W98">
        <v>109.218208104</v>
      </c>
      <c r="X98">
        <v>84.150648264400004</v>
      </c>
      <c r="Y98">
        <v>80.268123143799997</v>
      </c>
      <c r="Z98">
        <v>87.689647173200001</v>
      </c>
      <c r="AA98">
        <v>94.662054360400006</v>
      </c>
      <c r="AB98">
        <v>129.545305305</v>
      </c>
      <c r="AC98">
        <v>114.81536025699999</v>
      </c>
      <c r="AD98">
        <v>118.0537432</v>
      </c>
      <c r="AE98">
        <v>86.416757914900003</v>
      </c>
      <c r="AF98">
        <v>96.902101537700005</v>
      </c>
      <c r="AG98">
        <v>109.753048237</v>
      </c>
      <c r="AH98">
        <v>95.6250169339</v>
      </c>
      <c r="AI98">
        <v>115.386157477</v>
      </c>
      <c r="AJ98">
        <v>95.5106477235</v>
      </c>
      <c r="AK98">
        <v>113.264488779</v>
      </c>
      <c r="AL98">
        <v>89.940954763999997</v>
      </c>
      <c r="AM98">
        <v>103.33544768599999</v>
      </c>
      <c r="AN98">
        <v>81.795060637899994</v>
      </c>
      <c r="AO98">
        <v>90.678410738699995</v>
      </c>
      <c r="AP98">
        <v>91.943539121699999</v>
      </c>
      <c r="AQ98">
        <v>120.593287172</v>
      </c>
      <c r="AR98">
        <v>120.367047454</v>
      </c>
      <c r="AS98">
        <v>77.654251153100006</v>
      </c>
      <c r="AT98">
        <v>85.517039130000001</v>
      </c>
      <c r="AU98">
        <v>99.3655084687</v>
      </c>
      <c r="AV98">
        <v>94.106622671699995</v>
      </c>
      <c r="AW98">
        <v>87.287519155200002</v>
      </c>
      <c r="AX98">
        <v>112.880838426</v>
      </c>
      <c r="AY98">
        <v>124.243967457</v>
      </c>
      <c r="AZ98">
        <v>135.32328792000001</v>
      </c>
      <c r="BA98">
        <v>93.188962356399998</v>
      </c>
      <c r="BB98">
        <v>94.146744236399996</v>
      </c>
      <c r="BC98">
        <v>98.712485059700001</v>
      </c>
      <c r="BD98">
        <v>96.128580464600006</v>
      </c>
      <c r="BE98">
        <v>135.25221427599999</v>
      </c>
      <c r="BF98">
        <v>92.481184405600004</v>
      </c>
      <c r="BG98">
        <v>91.6410904297</v>
      </c>
      <c r="BH98">
        <v>119.59864565700001</v>
      </c>
      <c r="BI98">
        <v>139.809277568</v>
      </c>
      <c r="BJ98">
        <v>107.928637295</v>
      </c>
      <c r="BK98">
        <v>87.954403560900005</v>
      </c>
      <c r="BL98">
        <v>83.362473195899994</v>
      </c>
      <c r="BM98">
        <v>78.717973831600005</v>
      </c>
      <c r="BN98">
        <v>119.85453646400001</v>
      </c>
      <c r="BO98">
        <v>97.511577938100004</v>
      </c>
      <c r="BP98">
        <v>83.695915742099999</v>
      </c>
      <c r="BQ98">
        <v>138.62671510999999</v>
      </c>
      <c r="BR98">
        <v>132.275212353</v>
      </c>
      <c r="BS98">
        <v>73.937138355399995</v>
      </c>
      <c r="BT98">
        <v>121.68008073</v>
      </c>
      <c r="BU98">
        <v>122.45507911999999</v>
      </c>
      <c r="BV98">
        <v>137.782498261</v>
      </c>
      <c r="BW98">
        <v>96.417876852600003</v>
      </c>
      <c r="BX98">
        <v>134.24168655599999</v>
      </c>
      <c r="BY98">
        <v>139.48280582000001</v>
      </c>
      <c r="BZ98">
        <v>98.581023637900003</v>
      </c>
      <c r="CA98">
        <v>86.032408845999996</v>
      </c>
      <c r="CB98">
        <v>122.577393793</v>
      </c>
      <c r="CC98">
        <v>113.10115455</v>
      </c>
      <c r="CD98">
        <v>118.676192984</v>
      </c>
      <c r="CE98">
        <v>121.837075607</v>
      </c>
      <c r="CF98">
        <v>110.328661603</v>
      </c>
      <c r="CG98">
        <v>99.354129444500003</v>
      </c>
      <c r="CH98">
        <v>69.911521623499993</v>
      </c>
      <c r="CI98">
        <v>125.983841676</v>
      </c>
      <c r="CJ98">
        <v>119.951497499</v>
      </c>
      <c r="CK98">
        <v>101.931300437</v>
      </c>
      <c r="CL98">
        <v>124.80143137</v>
      </c>
      <c r="CM98">
        <v>83.864862408400001</v>
      </c>
      <c r="CN98">
        <v>83.595454353600005</v>
      </c>
      <c r="CO98">
        <v>126.459789231</v>
      </c>
      <c r="CP98">
        <v>102.992797513</v>
      </c>
      <c r="CQ98">
        <v>87.961964145699994</v>
      </c>
      <c r="CR98">
        <v>102.084939401</v>
      </c>
      <c r="CS98">
        <v>91.990795027600001</v>
      </c>
      <c r="CT98">
        <v>107.187237755</v>
      </c>
      <c r="CU98">
        <v>139.18860956200001</v>
      </c>
      <c r="CV98">
        <v>95.054680388500003</v>
      </c>
      <c r="CW98">
        <v>101.917884203</v>
      </c>
      <c r="CX98">
        <v>104.295854781</v>
      </c>
      <c r="CY98">
        <v>127.228362555</v>
      </c>
      <c r="CZ98">
        <v>125.446493215</v>
      </c>
      <c r="DA98">
        <v>136.25969093399999</v>
      </c>
    </row>
    <row r="99" spans="5:105" x14ac:dyDescent="0.25">
      <c r="E99">
        <f>S_plus!L99</f>
        <v>0.97000000000000064</v>
      </c>
      <c r="F99">
        <v>134.78440430699999</v>
      </c>
      <c r="G99">
        <v>101.23291678699999</v>
      </c>
      <c r="H99">
        <v>100.235180724</v>
      </c>
      <c r="I99">
        <v>114.289499499</v>
      </c>
      <c r="J99">
        <v>159.701431509</v>
      </c>
      <c r="K99">
        <v>111.476381889</v>
      </c>
      <c r="L99">
        <v>108.63298366799999</v>
      </c>
      <c r="M99">
        <v>117.771437431</v>
      </c>
      <c r="N99">
        <v>93.304876345799997</v>
      </c>
      <c r="O99">
        <v>76.152605031600004</v>
      </c>
      <c r="P99">
        <v>112.40825294699999</v>
      </c>
      <c r="Q99">
        <v>76.673814612300006</v>
      </c>
      <c r="R99">
        <v>118.70445932200001</v>
      </c>
      <c r="S99">
        <v>109.353484567</v>
      </c>
      <c r="T99">
        <v>114.180266062</v>
      </c>
      <c r="U99">
        <v>108.096537168</v>
      </c>
      <c r="V99">
        <v>120.987402839</v>
      </c>
      <c r="W99">
        <v>110.696966569</v>
      </c>
      <c r="X99">
        <v>82.223186805799998</v>
      </c>
      <c r="Y99">
        <v>75.993475707499996</v>
      </c>
      <c r="Z99">
        <v>87.301343365600005</v>
      </c>
      <c r="AA99">
        <v>95.676536448799993</v>
      </c>
      <c r="AB99">
        <v>128.75942399199999</v>
      </c>
      <c r="AC99">
        <v>115.08337874199999</v>
      </c>
      <c r="AD99">
        <v>121.395152138</v>
      </c>
      <c r="AE99">
        <v>82.949306029400006</v>
      </c>
      <c r="AF99">
        <v>98.350249909799999</v>
      </c>
      <c r="AG99">
        <v>110.373699765</v>
      </c>
      <c r="AH99">
        <v>99.117089930600002</v>
      </c>
      <c r="AI99">
        <v>115.179865177</v>
      </c>
      <c r="AJ99">
        <v>97.180816762899994</v>
      </c>
      <c r="AK99">
        <v>111.492268839</v>
      </c>
      <c r="AL99">
        <v>86.696052675199994</v>
      </c>
      <c r="AM99">
        <v>105.953900964</v>
      </c>
      <c r="AN99">
        <v>81.830787759900005</v>
      </c>
      <c r="AO99">
        <v>91.938407966100002</v>
      </c>
      <c r="AP99">
        <v>91.379824278000001</v>
      </c>
      <c r="AQ99">
        <v>121.242789746</v>
      </c>
      <c r="AR99">
        <v>121.261944926</v>
      </c>
      <c r="AS99">
        <v>78.740544918500007</v>
      </c>
      <c r="AT99">
        <v>89.326971523699996</v>
      </c>
      <c r="AU99">
        <v>99.003952173499997</v>
      </c>
      <c r="AV99">
        <v>93.668421947900001</v>
      </c>
      <c r="AW99">
        <v>87.037173622799997</v>
      </c>
      <c r="AX99">
        <v>110.944346624</v>
      </c>
      <c r="AY99">
        <v>125.18047450500001</v>
      </c>
      <c r="AZ99">
        <v>133.11619103500001</v>
      </c>
      <c r="BA99">
        <v>93.066878806700004</v>
      </c>
      <c r="BB99">
        <v>92.306466066200002</v>
      </c>
      <c r="BC99">
        <v>99.173810679200002</v>
      </c>
      <c r="BD99">
        <v>98.850235669300005</v>
      </c>
      <c r="BE99">
        <v>133.65719856699999</v>
      </c>
      <c r="BF99">
        <v>92.336106602100003</v>
      </c>
      <c r="BG99">
        <v>90.351767655499998</v>
      </c>
      <c r="BH99">
        <v>124.062471644</v>
      </c>
      <c r="BI99">
        <v>138.291467227</v>
      </c>
      <c r="BJ99">
        <v>111.492838054</v>
      </c>
      <c r="BK99">
        <v>88.569806686199996</v>
      </c>
      <c r="BL99">
        <v>85.450213298500003</v>
      </c>
      <c r="BM99">
        <v>78.319855983799997</v>
      </c>
      <c r="BN99">
        <v>118.019033222</v>
      </c>
      <c r="BO99">
        <v>97.900993877000005</v>
      </c>
      <c r="BP99">
        <v>79.646609298599998</v>
      </c>
      <c r="BQ99">
        <v>138.042989885</v>
      </c>
      <c r="BR99">
        <v>132.365867229</v>
      </c>
      <c r="BS99">
        <v>74.327231393800005</v>
      </c>
      <c r="BT99">
        <v>126.01618021</v>
      </c>
      <c r="BU99">
        <v>123.634620263</v>
      </c>
      <c r="BV99">
        <v>138.225321807</v>
      </c>
      <c r="BW99">
        <v>98.304325993500001</v>
      </c>
      <c r="BX99">
        <v>129.35514642999999</v>
      </c>
      <c r="BY99">
        <v>140.697609527</v>
      </c>
      <c r="BZ99">
        <v>96.571377608299997</v>
      </c>
      <c r="CA99">
        <v>86.253658558599994</v>
      </c>
      <c r="CB99">
        <v>121.70442006899999</v>
      </c>
      <c r="CC99">
        <v>113.75684999800001</v>
      </c>
      <c r="CD99">
        <v>122.810236004</v>
      </c>
      <c r="CE99">
        <v>127.294693638</v>
      </c>
      <c r="CF99">
        <v>112.200612683</v>
      </c>
      <c r="CG99">
        <v>100.302882497</v>
      </c>
      <c r="CH99">
        <v>68.087332559100005</v>
      </c>
      <c r="CI99">
        <v>125.186448019</v>
      </c>
      <c r="CJ99">
        <v>118.612742295</v>
      </c>
      <c r="CK99">
        <v>102.37902580799999</v>
      </c>
      <c r="CL99">
        <v>122.89001548100001</v>
      </c>
      <c r="CM99">
        <v>85.430825240999994</v>
      </c>
      <c r="CN99">
        <v>83.008641441400002</v>
      </c>
      <c r="CO99">
        <v>124.619699232</v>
      </c>
      <c r="CP99">
        <v>106.395388356</v>
      </c>
      <c r="CQ99">
        <v>88.418116041700003</v>
      </c>
      <c r="CR99">
        <v>100.570496616</v>
      </c>
      <c r="CS99">
        <v>89.630630838499997</v>
      </c>
      <c r="CT99">
        <v>104.562442713</v>
      </c>
      <c r="CU99">
        <v>144.56126794100001</v>
      </c>
      <c r="CV99">
        <v>91.945355552300001</v>
      </c>
      <c r="CW99">
        <v>100.469245613</v>
      </c>
      <c r="CX99">
        <v>103.83628947299999</v>
      </c>
      <c r="CY99">
        <v>127.27411050800001</v>
      </c>
      <c r="CZ99">
        <v>125.817461451</v>
      </c>
      <c r="DA99">
        <v>133.08125096800001</v>
      </c>
    </row>
    <row r="100" spans="5:105" x14ac:dyDescent="0.25">
      <c r="E100">
        <f>S_plus!L100</f>
        <v>0.98000000000000065</v>
      </c>
      <c r="F100">
        <v>133.10672482699999</v>
      </c>
      <c r="G100">
        <v>102.12499587400001</v>
      </c>
      <c r="H100">
        <v>102.74526921499999</v>
      </c>
      <c r="I100">
        <v>111.950521905</v>
      </c>
      <c r="J100">
        <v>157.314003031</v>
      </c>
      <c r="K100">
        <v>111.49817987199999</v>
      </c>
      <c r="L100">
        <v>109.05204698199999</v>
      </c>
      <c r="M100">
        <v>113.51963021100001</v>
      </c>
      <c r="N100">
        <v>93.593186020399997</v>
      </c>
      <c r="O100">
        <v>76.886309294100002</v>
      </c>
      <c r="P100">
        <v>114.220071543</v>
      </c>
      <c r="Q100">
        <v>77.374153708600005</v>
      </c>
      <c r="R100">
        <v>118.296636409</v>
      </c>
      <c r="S100">
        <v>110.034232721</v>
      </c>
      <c r="T100">
        <v>114.134636958</v>
      </c>
      <c r="U100">
        <v>106.01239487300001</v>
      </c>
      <c r="V100">
        <v>126.480572503</v>
      </c>
      <c r="W100">
        <v>115.695893731</v>
      </c>
      <c r="X100">
        <v>83.891210435800005</v>
      </c>
      <c r="Y100">
        <v>78.220072316599996</v>
      </c>
      <c r="Z100">
        <v>90.955156844200005</v>
      </c>
      <c r="AA100">
        <v>97.602590083999999</v>
      </c>
      <c r="AB100">
        <v>132.65267181499999</v>
      </c>
      <c r="AC100">
        <v>117.68759667099999</v>
      </c>
      <c r="AD100">
        <v>118.628547805</v>
      </c>
      <c r="AE100">
        <v>81.008685983399999</v>
      </c>
      <c r="AF100">
        <v>95.329839484900006</v>
      </c>
      <c r="AG100">
        <v>115.43248932</v>
      </c>
      <c r="AH100">
        <v>97.542260451399997</v>
      </c>
      <c r="AI100">
        <v>115.663491593</v>
      </c>
      <c r="AJ100">
        <v>97.346343788900001</v>
      </c>
      <c r="AK100">
        <v>114.85010194900001</v>
      </c>
      <c r="AL100">
        <v>86.123905105399999</v>
      </c>
      <c r="AM100">
        <v>107.222431261</v>
      </c>
      <c r="AN100">
        <v>84.097429408799997</v>
      </c>
      <c r="AO100">
        <v>92.377214995800003</v>
      </c>
      <c r="AP100">
        <v>91.379066433999995</v>
      </c>
      <c r="AQ100">
        <v>121.026262901</v>
      </c>
      <c r="AR100">
        <v>122.585418022</v>
      </c>
      <c r="AS100">
        <v>78.592473834399996</v>
      </c>
      <c r="AT100">
        <v>90.877930409900003</v>
      </c>
      <c r="AU100">
        <v>100.344620353</v>
      </c>
      <c r="AV100">
        <v>91.254657848899996</v>
      </c>
      <c r="AW100">
        <v>86.109580475599998</v>
      </c>
      <c r="AX100">
        <v>112.901360475</v>
      </c>
      <c r="AY100">
        <v>127.3035012</v>
      </c>
      <c r="AZ100">
        <v>135.088956166</v>
      </c>
      <c r="BA100">
        <v>92.301963220999994</v>
      </c>
      <c r="BB100">
        <v>92.409815909299994</v>
      </c>
      <c r="BC100">
        <v>99.405361099000004</v>
      </c>
      <c r="BD100">
        <v>102.924787937</v>
      </c>
      <c r="BE100">
        <v>133.23448161900001</v>
      </c>
      <c r="BF100">
        <v>96.524883378400006</v>
      </c>
      <c r="BG100">
        <v>91.002738374000003</v>
      </c>
      <c r="BH100">
        <v>123.333281657</v>
      </c>
      <c r="BI100">
        <v>142.02657280299999</v>
      </c>
      <c r="BJ100">
        <v>112.24032355999999</v>
      </c>
      <c r="BK100">
        <v>86.386569399500004</v>
      </c>
      <c r="BL100">
        <v>87.657515652499995</v>
      </c>
      <c r="BM100">
        <v>78.853611174199997</v>
      </c>
      <c r="BN100">
        <v>117.94916123500001</v>
      </c>
      <c r="BO100">
        <v>97.339439909999996</v>
      </c>
      <c r="BP100">
        <v>82.029424195700003</v>
      </c>
      <c r="BQ100">
        <v>135.897158679</v>
      </c>
      <c r="BR100">
        <v>131.06528578000001</v>
      </c>
      <c r="BS100">
        <v>71.847780886699994</v>
      </c>
      <c r="BT100">
        <v>126.59094199899999</v>
      </c>
      <c r="BU100">
        <v>126.99704394</v>
      </c>
      <c r="BV100">
        <v>138.95889491299999</v>
      </c>
      <c r="BW100">
        <v>98.713962935400005</v>
      </c>
      <c r="BX100">
        <v>131.15315233000001</v>
      </c>
      <c r="BY100">
        <v>142.22370118399999</v>
      </c>
      <c r="BZ100">
        <v>93.135932947900002</v>
      </c>
      <c r="CA100">
        <v>87.871990889200006</v>
      </c>
      <c r="CB100">
        <v>127.039272404</v>
      </c>
      <c r="CC100">
        <v>115.426599768</v>
      </c>
      <c r="CD100">
        <v>120.380314148</v>
      </c>
      <c r="CE100">
        <v>124.87711573</v>
      </c>
      <c r="CF100">
        <v>112.13267739299999</v>
      </c>
      <c r="CG100">
        <v>101.221000804</v>
      </c>
      <c r="CH100">
        <v>66.813144067799996</v>
      </c>
      <c r="CI100">
        <v>122.743368035</v>
      </c>
      <c r="CJ100">
        <v>114.56277833199999</v>
      </c>
      <c r="CK100">
        <v>102.641633519</v>
      </c>
      <c r="CL100">
        <v>122.857737903</v>
      </c>
      <c r="CM100">
        <v>88.538910957799999</v>
      </c>
      <c r="CN100">
        <v>81.655489096699995</v>
      </c>
      <c r="CO100">
        <v>123.038329666</v>
      </c>
      <c r="CP100">
        <v>101.820678493</v>
      </c>
      <c r="CQ100">
        <v>88.061446079299998</v>
      </c>
      <c r="CR100">
        <v>101.073219276</v>
      </c>
      <c r="CS100">
        <v>89.496384536500003</v>
      </c>
      <c r="CT100">
        <v>102.84496490399999</v>
      </c>
      <c r="CU100">
        <v>146.177810158</v>
      </c>
      <c r="CV100">
        <v>93.431752050900002</v>
      </c>
      <c r="CW100">
        <v>103.684817727</v>
      </c>
      <c r="CX100">
        <v>101.808317816</v>
      </c>
      <c r="CY100">
        <v>127.809086615</v>
      </c>
      <c r="CZ100">
        <v>121.183426232</v>
      </c>
      <c r="DA100">
        <v>131.24167226899999</v>
      </c>
    </row>
    <row r="101" spans="5:105" x14ac:dyDescent="0.25">
      <c r="E101">
        <f>S_plus!L101</f>
        <v>0.99000000000000066</v>
      </c>
      <c r="F101">
        <v>135.56329155200001</v>
      </c>
      <c r="G101">
        <v>100.71151067</v>
      </c>
      <c r="H101">
        <v>101.69938519900001</v>
      </c>
      <c r="I101">
        <v>115.706330893</v>
      </c>
      <c r="J101">
        <v>160.38687392400001</v>
      </c>
      <c r="K101">
        <v>110.75869918799999</v>
      </c>
      <c r="L101">
        <v>108.78140673999999</v>
      </c>
      <c r="M101">
        <v>108.81117979</v>
      </c>
      <c r="N101">
        <v>94.402502058300001</v>
      </c>
      <c r="O101">
        <v>77.370112354599996</v>
      </c>
      <c r="P101">
        <v>113.279519892</v>
      </c>
      <c r="Q101">
        <v>79.015402700699994</v>
      </c>
      <c r="R101">
        <v>115.55868318</v>
      </c>
      <c r="S101">
        <v>111.66583605300001</v>
      </c>
      <c r="T101">
        <v>111.96470940099999</v>
      </c>
      <c r="U101">
        <v>107.123210473</v>
      </c>
      <c r="V101">
        <v>129.234838416</v>
      </c>
      <c r="W101">
        <v>118.497182305</v>
      </c>
      <c r="X101">
        <v>86.795378258699998</v>
      </c>
      <c r="Y101">
        <v>80.698963101700002</v>
      </c>
      <c r="Z101">
        <v>91.133361023299997</v>
      </c>
      <c r="AA101">
        <v>95.614149590099998</v>
      </c>
      <c r="AB101">
        <v>132.16341657199999</v>
      </c>
      <c r="AC101">
        <v>116.69936188</v>
      </c>
      <c r="AD101">
        <v>118.36537223099999</v>
      </c>
      <c r="AE101">
        <v>79.284516839600002</v>
      </c>
      <c r="AF101">
        <v>98.189924692999995</v>
      </c>
      <c r="AG101">
        <v>118.33860821</v>
      </c>
      <c r="AH101">
        <v>96.9221823301</v>
      </c>
      <c r="AI101">
        <v>115.885624772</v>
      </c>
      <c r="AJ101">
        <v>97.185663666500005</v>
      </c>
      <c r="AK101">
        <v>113.84439506299999</v>
      </c>
      <c r="AL101">
        <v>85.601063701300006</v>
      </c>
      <c r="AM101">
        <v>108.113531029</v>
      </c>
      <c r="AN101">
        <v>84.393211141999998</v>
      </c>
      <c r="AO101">
        <v>88.880278889300001</v>
      </c>
      <c r="AP101">
        <v>92.382308514000002</v>
      </c>
      <c r="AQ101">
        <v>118.124444361</v>
      </c>
      <c r="AR101">
        <v>118.23914620799999</v>
      </c>
      <c r="AS101">
        <v>79.9830583297</v>
      </c>
      <c r="AT101">
        <v>90.474607190300006</v>
      </c>
      <c r="AU101">
        <v>100.54487673200001</v>
      </c>
      <c r="AV101">
        <v>91.832528300700005</v>
      </c>
      <c r="AW101">
        <v>87.115854249199998</v>
      </c>
      <c r="AX101">
        <v>110.892300654</v>
      </c>
      <c r="AY101">
        <v>126.78477253200001</v>
      </c>
      <c r="AZ101">
        <v>141.68138846599999</v>
      </c>
      <c r="BA101">
        <v>89.663188098399999</v>
      </c>
      <c r="BB101">
        <v>96.594813455999997</v>
      </c>
      <c r="BC101">
        <v>98.386325279600001</v>
      </c>
      <c r="BD101">
        <v>102.459653385</v>
      </c>
      <c r="BE101">
        <v>137.54145506099999</v>
      </c>
      <c r="BF101">
        <v>96.296394614299999</v>
      </c>
      <c r="BG101">
        <v>91.542556647400005</v>
      </c>
      <c r="BH101">
        <v>124.482549017</v>
      </c>
      <c r="BI101">
        <v>146.89302272399999</v>
      </c>
      <c r="BJ101">
        <v>110.151947759</v>
      </c>
      <c r="BK101">
        <v>88.600858333399998</v>
      </c>
      <c r="BL101">
        <v>87.332960885299997</v>
      </c>
      <c r="BM101">
        <v>81.260771235999997</v>
      </c>
      <c r="BN101">
        <v>121.661384715</v>
      </c>
      <c r="BO101">
        <v>96.777227269700006</v>
      </c>
      <c r="BP101">
        <v>82.745625154600006</v>
      </c>
      <c r="BQ101">
        <v>136.837074304</v>
      </c>
      <c r="BR101">
        <v>128.98835192000001</v>
      </c>
      <c r="BS101">
        <v>71.571384392200002</v>
      </c>
      <c r="BT101">
        <v>124.67629912699999</v>
      </c>
      <c r="BU101">
        <v>123.064945769</v>
      </c>
      <c r="BV101">
        <v>135.996599253</v>
      </c>
      <c r="BW101">
        <v>100.806653302</v>
      </c>
      <c r="BX101">
        <v>130.01218496300001</v>
      </c>
      <c r="BY101">
        <v>143.63214394799999</v>
      </c>
      <c r="BZ101">
        <v>96.810769537699997</v>
      </c>
      <c r="CA101">
        <v>87.729964853599995</v>
      </c>
      <c r="CB101">
        <v>125.87860754499999</v>
      </c>
      <c r="CC101">
        <v>115.49682499399999</v>
      </c>
      <c r="CD101">
        <v>119.862657492</v>
      </c>
      <c r="CE101">
        <v>127.222693986</v>
      </c>
      <c r="CF101">
        <v>109.318298416</v>
      </c>
      <c r="CG101">
        <v>97.349366086800003</v>
      </c>
      <c r="CH101">
        <v>64.749131798899995</v>
      </c>
      <c r="CI101">
        <v>120.239864212</v>
      </c>
      <c r="CJ101">
        <v>110.679048161</v>
      </c>
      <c r="CK101">
        <v>102.01087515899999</v>
      </c>
      <c r="CL101">
        <v>123.601501707</v>
      </c>
      <c r="CM101">
        <v>87.981540958599993</v>
      </c>
      <c r="CN101">
        <v>84.255041927899995</v>
      </c>
      <c r="CO101">
        <v>125.444027933</v>
      </c>
      <c r="CP101">
        <v>100.354154601</v>
      </c>
      <c r="CQ101">
        <v>85.735602994199994</v>
      </c>
      <c r="CR101">
        <v>103.71932326699999</v>
      </c>
      <c r="CS101">
        <v>88.448402004000002</v>
      </c>
      <c r="CT101">
        <v>104.55600416999999</v>
      </c>
      <c r="CU101">
        <v>148.834618729</v>
      </c>
      <c r="CV101">
        <v>92.784252504400001</v>
      </c>
      <c r="CW101">
        <v>106.261035773</v>
      </c>
      <c r="CX101">
        <v>102.09590121799999</v>
      </c>
      <c r="CY101">
        <v>128.012012465</v>
      </c>
      <c r="CZ101">
        <v>120.000322672</v>
      </c>
      <c r="DA101">
        <v>135.631821707</v>
      </c>
    </row>
    <row r="102" spans="5:105" x14ac:dyDescent="0.25">
      <c r="E102">
        <f>S_plus!L102</f>
        <v>1.0000000000000007</v>
      </c>
      <c r="F102">
        <v>133.08747790000001</v>
      </c>
      <c r="G102">
        <v>97.182496401700007</v>
      </c>
      <c r="H102">
        <v>104.019297255</v>
      </c>
      <c r="I102">
        <v>116.668037435</v>
      </c>
      <c r="J102">
        <v>160.07033063399999</v>
      </c>
      <c r="K102">
        <v>107.77576935499999</v>
      </c>
      <c r="L102">
        <v>109.004650183</v>
      </c>
      <c r="M102">
        <v>107.508483247</v>
      </c>
      <c r="N102">
        <v>95.478114705199999</v>
      </c>
      <c r="O102">
        <v>75.958835829700007</v>
      </c>
      <c r="P102">
        <v>112.558671882</v>
      </c>
      <c r="Q102">
        <v>80.038704802599995</v>
      </c>
      <c r="R102">
        <v>118.27249208800001</v>
      </c>
      <c r="S102">
        <v>116.811065278</v>
      </c>
      <c r="T102">
        <v>114.59864575899999</v>
      </c>
      <c r="U102">
        <v>107.430308032</v>
      </c>
      <c r="V102">
        <v>126.81247271700001</v>
      </c>
      <c r="W102">
        <v>121.314448895</v>
      </c>
      <c r="X102">
        <v>85.622848344000005</v>
      </c>
      <c r="Y102">
        <v>79.888887027899997</v>
      </c>
      <c r="Z102">
        <v>92.165332884400001</v>
      </c>
      <c r="AA102">
        <v>98.791013322799998</v>
      </c>
      <c r="AB102">
        <v>128.71094435500001</v>
      </c>
      <c r="AC102">
        <v>118.04147902699999</v>
      </c>
      <c r="AD102">
        <v>117.850636713</v>
      </c>
      <c r="AE102">
        <v>77.599848197900002</v>
      </c>
      <c r="AF102">
        <v>98.613531556300003</v>
      </c>
      <c r="AG102">
        <v>120.784062842</v>
      </c>
      <c r="AH102">
        <v>94.965087068900004</v>
      </c>
      <c r="AI102">
        <v>114.108453617</v>
      </c>
      <c r="AJ102">
        <v>97.175503806999998</v>
      </c>
      <c r="AK102">
        <v>118.32049963599999</v>
      </c>
      <c r="AL102">
        <v>84.222571282600001</v>
      </c>
      <c r="AM102">
        <v>108.270348809</v>
      </c>
      <c r="AN102">
        <v>83.158639555600004</v>
      </c>
      <c r="AO102">
        <v>89.683086880900007</v>
      </c>
      <c r="AP102">
        <v>92.753555553599995</v>
      </c>
      <c r="AQ102">
        <v>121.82844375000001</v>
      </c>
      <c r="AR102">
        <v>117.361874302</v>
      </c>
      <c r="AS102">
        <v>80.543392970100001</v>
      </c>
      <c r="AT102">
        <v>93.096618563099995</v>
      </c>
      <c r="AU102">
        <v>99.594678260400002</v>
      </c>
      <c r="AV102">
        <v>91.146444511599995</v>
      </c>
      <c r="AW102">
        <v>84.933264466300002</v>
      </c>
      <c r="AX102">
        <v>111.84028942400001</v>
      </c>
      <c r="AY102">
        <v>125.28184850700001</v>
      </c>
      <c r="AZ102">
        <v>144.727868237</v>
      </c>
      <c r="BA102">
        <v>86.305825200000001</v>
      </c>
      <c r="BB102">
        <v>96.040803628099994</v>
      </c>
      <c r="BC102">
        <v>99.613000278399994</v>
      </c>
      <c r="BD102">
        <v>103.06536681</v>
      </c>
      <c r="BE102">
        <v>139.428503882</v>
      </c>
      <c r="BF102">
        <v>97.990441072600007</v>
      </c>
      <c r="BG102">
        <v>90.273629081500005</v>
      </c>
      <c r="BH102">
        <v>127.93965873499999</v>
      </c>
      <c r="BI102">
        <v>145.06778606399999</v>
      </c>
      <c r="BJ102">
        <v>109.196105628</v>
      </c>
      <c r="BK102">
        <v>88.501096861500002</v>
      </c>
      <c r="BL102">
        <v>87.229510648399994</v>
      </c>
      <c r="BM102">
        <v>81.603591916200003</v>
      </c>
      <c r="BN102">
        <v>120.217486815</v>
      </c>
      <c r="BO102">
        <v>93.994092636900007</v>
      </c>
      <c r="BP102">
        <v>83.641199087299995</v>
      </c>
      <c r="BQ102">
        <v>137.46532784499999</v>
      </c>
      <c r="BR102">
        <v>128.876622588</v>
      </c>
      <c r="BS102">
        <v>71.734115785300006</v>
      </c>
      <c r="BT102">
        <v>128.60460952400001</v>
      </c>
      <c r="BU102">
        <v>124.613443425</v>
      </c>
      <c r="BV102">
        <v>139.30801321300001</v>
      </c>
      <c r="BW102">
        <v>99.032595241699994</v>
      </c>
      <c r="BX102">
        <v>130.00661302899999</v>
      </c>
      <c r="BY102">
        <v>147.42757732000001</v>
      </c>
      <c r="BZ102">
        <v>96.311886429899999</v>
      </c>
      <c r="CA102">
        <v>84.565940148799996</v>
      </c>
      <c r="CB102">
        <v>123.069813358</v>
      </c>
      <c r="CC102">
        <v>113.281115067</v>
      </c>
      <c r="CD102">
        <v>122.54411383599999</v>
      </c>
      <c r="CE102">
        <v>125.014133164</v>
      </c>
      <c r="CF102">
        <v>115.88459322</v>
      </c>
      <c r="CG102">
        <v>97.1996916457</v>
      </c>
      <c r="CH102">
        <v>63.0849207081</v>
      </c>
      <c r="CI102">
        <v>123.42503186099999</v>
      </c>
      <c r="CJ102">
        <v>109.513680276</v>
      </c>
      <c r="CK102">
        <v>101.07179557400001</v>
      </c>
      <c r="CL102">
        <v>127.39400000000001</v>
      </c>
      <c r="CM102">
        <v>89.101366352900001</v>
      </c>
      <c r="CN102">
        <v>83.7258213434</v>
      </c>
      <c r="CO102">
        <v>126.044815215</v>
      </c>
      <c r="CP102">
        <v>102.22510710100001</v>
      </c>
      <c r="CQ102">
        <v>84.130790213899999</v>
      </c>
      <c r="CR102">
        <v>104.943564815</v>
      </c>
      <c r="CS102">
        <v>89.580961124300003</v>
      </c>
      <c r="CT102">
        <v>102.159464555</v>
      </c>
      <c r="CU102">
        <v>153.62332556999999</v>
      </c>
      <c r="CV102">
        <v>92.046577811600002</v>
      </c>
      <c r="CW102">
        <v>103.984263141</v>
      </c>
      <c r="CX102">
        <v>102.74250850999999</v>
      </c>
      <c r="CY102">
        <v>129.49949893499999</v>
      </c>
      <c r="CZ102">
        <v>120.895047953</v>
      </c>
      <c r="DA102">
        <v>133.540634692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E1:DA102"/>
  <sheetViews>
    <sheetView workbookViewId="0">
      <selection activeCell="I38" sqref="I38"/>
    </sheetView>
  </sheetViews>
  <sheetFormatPr defaultRowHeight="15" x14ac:dyDescent="0.25"/>
  <sheetData>
    <row r="1" spans="5:105" x14ac:dyDescent="0.25">
      <c r="E1" t="s">
        <v>1</v>
      </c>
      <c r="F1" t="s">
        <v>309</v>
      </c>
      <c r="G1" t="s">
        <v>308</v>
      </c>
      <c r="H1" t="s">
        <v>307</v>
      </c>
      <c r="I1" t="s">
        <v>306</v>
      </c>
      <c r="J1" t="s">
        <v>305</v>
      </c>
      <c r="K1" t="s">
        <v>304</v>
      </c>
      <c r="L1" t="s">
        <v>303</v>
      </c>
      <c r="M1" t="s">
        <v>302</v>
      </c>
      <c r="N1" t="s">
        <v>301</v>
      </c>
      <c r="O1" t="s">
        <v>300</v>
      </c>
      <c r="P1" t="s">
        <v>299</v>
      </c>
      <c r="Q1" t="s">
        <v>298</v>
      </c>
      <c r="R1" t="s">
        <v>297</v>
      </c>
      <c r="S1" t="s">
        <v>296</v>
      </c>
      <c r="T1" t="s">
        <v>295</v>
      </c>
      <c r="U1" t="s">
        <v>294</v>
      </c>
      <c r="V1" t="s">
        <v>293</v>
      </c>
      <c r="W1" t="s">
        <v>292</v>
      </c>
      <c r="X1" t="s">
        <v>291</v>
      </c>
      <c r="Y1" t="s">
        <v>290</v>
      </c>
      <c r="Z1" t="s">
        <v>289</v>
      </c>
      <c r="AA1" t="s">
        <v>288</v>
      </c>
      <c r="AB1" t="s">
        <v>287</v>
      </c>
      <c r="AC1" t="s">
        <v>286</v>
      </c>
      <c r="AD1" t="s">
        <v>285</v>
      </c>
      <c r="AE1" t="s">
        <v>284</v>
      </c>
      <c r="AF1" t="s">
        <v>283</v>
      </c>
      <c r="AG1" t="s">
        <v>282</v>
      </c>
      <c r="AH1" t="s">
        <v>281</v>
      </c>
      <c r="AI1" t="s">
        <v>280</v>
      </c>
      <c r="AJ1" t="s">
        <v>279</v>
      </c>
      <c r="AK1" t="s">
        <v>278</v>
      </c>
      <c r="AL1" t="s">
        <v>277</v>
      </c>
      <c r="AM1" t="s">
        <v>276</v>
      </c>
      <c r="AN1" t="s">
        <v>275</v>
      </c>
      <c r="AO1" t="s">
        <v>274</v>
      </c>
      <c r="AP1" t="s">
        <v>273</v>
      </c>
      <c r="AQ1" t="s">
        <v>272</v>
      </c>
      <c r="AR1" t="s">
        <v>271</v>
      </c>
      <c r="AS1" t="s">
        <v>270</v>
      </c>
      <c r="AT1" t="s">
        <v>269</v>
      </c>
      <c r="AU1" t="s">
        <v>268</v>
      </c>
      <c r="AV1" t="s">
        <v>267</v>
      </c>
      <c r="AW1" t="s">
        <v>266</v>
      </c>
      <c r="AX1" t="s">
        <v>265</v>
      </c>
      <c r="AY1" t="s">
        <v>264</v>
      </c>
      <c r="AZ1" t="s">
        <v>263</v>
      </c>
      <c r="BA1" t="s">
        <v>262</v>
      </c>
      <c r="BB1" t="s">
        <v>261</v>
      </c>
      <c r="BC1" t="s">
        <v>260</v>
      </c>
      <c r="BD1" t="s">
        <v>259</v>
      </c>
      <c r="BE1" t="s">
        <v>258</v>
      </c>
      <c r="BF1" t="s">
        <v>257</v>
      </c>
      <c r="BG1" t="s">
        <v>256</v>
      </c>
      <c r="BH1" t="s">
        <v>255</v>
      </c>
      <c r="BI1" t="s">
        <v>254</v>
      </c>
      <c r="BJ1" t="s">
        <v>253</v>
      </c>
      <c r="BK1" t="s">
        <v>252</v>
      </c>
      <c r="BL1" t="s">
        <v>251</v>
      </c>
      <c r="BM1" t="s">
        <v>250</v>
      </c>
      <c r="BN1" t="s">
        <v>249</v>
      </c>
      <c r="BO1" t="s">
        <v>248</v>
      </c>
      <c r="BP1" t="s">
        <v>247</v>
      </c>
      <c r="BQ1" t="s">
        <v>246</v>
      </c>
      <c r="BR1" t="s">
        <v>245</v>
      </c>
      <c r="BS1" t="s">
        <v>244</v>
      </c>
      <c r="BT1" t="s">
        <v>243</v>
      </c>
      <c r="BU1" t="s">
        <v>242</v>
      </c>
      <c r="BV1" t="s">
        <v>241</v>
      </c>
      <c r="BW1" t="s">
        <v>240</v>
      </c>
      <c r="BX1" t="s">
        <v>239</v>
      </c>
      <c r="BY1" t="s">
        <v>238</v>
      </c>
      <c r="BZ1" t="s">
        <v>237</v>
      </c>
      <c r="CA1" t="s">
        <v>236</v>
      </c>
      <c r="CB1" t="s">
        <v>235</v>
      </c>
      <c r="CC1" t="s">
        <v>234</v>
      </c>
      <c r="CD1" t="s">
        <v>233</v>
      </c>
      <c r="CE1" t="s">
        <v>232</v>
      </c>
      <c r="CF1" t="s">
        <v>231</v>
      </c>
      <c r="CG1" t="s">
        <v>230</v>
      </c>
      <c r="CH1" t="s">
        <v>229</v>
      </c>
      <c r="CI1" t="s">
        <v>228</v>
      </c>
      <c r="CJ1" t="s">
        <v>227</v>
      </c>
      <c r="CK1" t="s">
        <v>226</v>
      </c>
      <c r="CL1" t="s">
        <v>225</v>
      </c>
      <c r="CM1" t="s">
        <v>224</v>
      </c>
      <c r="CN1" t="s">
        <v>223</v>
      </c>
      <c r="CO1" t="s">
        <v>222</v>
      </c>
      <c r="CP1" t="s">
        <v>221</v>
      </c>
      <c r="CQ1" t="s">
        <v>220</v>
      </c>
      <c r="CR1" t="s">
        <v>219</v>
      </c>
      <c r="CS1" t="s">
        <v>218</v>
      </c>
      <c r="CT1" t="s">
        <v>217</v>
      </c>
      <c r="CU1" t="s">
        <v>216</v>
      </c>
      <c r="CV1" t="s">
        <v>215</v>
      </c>
      <c r="CW1" t="s">
        <v>214</v>
      </c>
      <c r="CX1" t="s">
        <v>213</v>
      </c>
      <c r="CY1" t="s">
        <v>212</v>
      </c>
      <c r="CZ1" t="s">
        <v>211</v>
      </c>
      <c r="DA1" t="s">
        <v>210</v>
      </c>
    </row>
    <row r="2" spans="5:105" x14ac:dyDescent="0.25">
      <c r="E2">
        <f>S_plus!L2</f>
        <v>0</v>
      </c>
    </row>
    <row r="3" spans="5:105" x14ac:dyDescent="0.25">
      <c r="E3">
        <f>S_plus!L3</f>
        <v>0.01</v>
      </c>
      <c r="F3">
        <f t="shared" ref="F3:O12" ca="1" si="0">_xlfn.NORM.S.INV(RAND())</f>
        <v>-0.78068035416272985</v>
      </c>
      <c r="G3">
        <f t="shared" ca="1" si="0"/>
        <v>-0.33184556234482715</v>
      </c>
      <c r="H3">
        <f t="shared" ca="1" si="0"/>
        <v>-0.38868484782148677</v>
      </c>
      <c r="I3">
        <f t="shared" ca="1" si="0"/>
        <v>1.0816903910677631</v>
      </c>
      <c r="J3">
        <f t="shared" ca="1" si="0"/>
        <v>0.19366855600074603</v>
      </c>
      <c r="K3">
        <f t="shared" ca="1" si="0"/>
        <v>0.10550636689342591</v>
      </c>
      <c r="L3">
        <f t="shared" ca="1" si="0"/>
        <v>1.1061376680991362</v>
      </c>
      <c r="M3">
        <f t="shared" ca="1" si="0"/>
        <v>1.0202079069669427</v>
      </c>
      <c r="N3">
        <f t="shared" ca="1" si="0"/>
        <v>0.89720379261100491</v>
      </c>
      <c r="O3">
        <f t="shared" ca="1" si="0"/>
        <v>-0.44107440986296498</v>
      </c>
      <c r="P3">
        <f t="shared" ref="P3:Y12" ca="1" si="1">_xlfn.NORM.S.INV(RAND())</f>
        <v>-1.8161692266563536</v>
      </c>
      <c r="Q3">
        <f t="shared" ca="1" si="1"/>
        <v>1.3557131419694071</v>
      </c>
      <c r="R3">
        <f t="shared" ca="1" si="1"/>
        <v>1.0614738886022896</v>
      </c>
      <c r="S3">
        <f t="shared" ca="1" si="1"/>
        <v>-0.54820609733847903</v>
      </c>
      <c r="T3">
        <f t="shared" ca="1" si="1"/>
        <v>0.49249876850789898</v>
      </c>
      <c r="U3">
        <f t="shared" ca="1" si="1"/>
        <v>0.48283546998497101</v>
      </c>
      <c r="V3">
        <f t="shared" ca="1" si="1"/>
        <v>0.94068760132008922</v>
      </c>
      <c r="W3">
        <f t="shared" ca="1" si="1"/>
        <v>0.39351124222785128</v>
      </c>
      <c r="X3">
        <f t="shared" ca="1" si="1"/>
        <v>-1.0629608028556564E-2</v>
      </c>
      <c r="Y3">
        <f t="shared" ca="1" si="1"/>
        <v>-1.0750512309875999</v>
      </c>
      <c r="Z3">
        <f t="shared" ref="Z3:AI12" ca="1" si="2">_xlfn.NORM.S.INV(RAND())</f>
        <v>-0.31813272836692086</v>
      </c>
      <c r="AA3">
        <f t="shared" ca="1" si="2"/>
        <v>0.33700220257735364</v>
      </c>
      <c r="AB3">
        <f t="shared" ca="1" si="2"/>
        <v>0.86952706468932361</v>
      </c>
      <c r="AC3">
        <f t="shared" ca="1" si="2"/>
        <v>1.0176592931053432</v>
      </c>
      <c r="AD3">
        <f t="shared" ca="1" si="2"/>
        <v>-0.96101542100902426</v>
      </c>
      <c r="AE3">
        <f t="shared" ca="1" si="2"/>
        <v>1.6029233858105785</v>
      </c>
      <c r="AF3">
        <f t="shared" ca="1" si="2"/>
        <v>0.59504883991356383</v>
      </c>
      <c r="AG3">
        <f t="shared" ca="1" si="2"/>
        <v>-0.52791108883751869</v>
      </c>
      <c r="AH3">
        <f t="shared" ca="1" si="2"/>
        <v>-0.61221925210231476</v>
      </c>
      <c r="AI3">
        <f t="shared" ca="1" si="2"/>
        <v>1.1441488107100988</v>
      </c>
      <c r="AJ3">
        <f t="shared" ref="AJ3:AS12" ca="1" si="3">_xlfn.NORM.S.INV(RAND())</f>
        <v>1.3719889592167629</v>
      </c>
      <c r="AK3">
        <f t="shared" ca="1" si="3"/>
        <v>-1.4032209842659331</v>
      </c>
      <c r="AL3">
        <f t="shared" ca="1" si="3"/>
        <v>-3.8651470705561845E-2</v>
      </c>
      <c r="AM3">
        <f t="shared" ca="1" si="3"/>
        <v>0.99254201222381444</v>
      </c>
      <c r="AN3">
        <f t="shared" ca="1" si="3"/>
        <v>-0.95544874636608779</v>
      </c>
      <c r="AO3">
        <f t="shared" ca="1" si="3"/>
        <v>-0.26704060008691194</v>
      </c>
      <c r="AP3">
        <f t="shared" ca="1" si="3"/>
        <v>0.22639829307715162</v>
      </c>
      <c r="AQ3">
        <f t="shared" ca="1" si="3"/>
        <v>0.15647608903008497</v>
      </c>
      <c r="AR3">
        <f t="shared" ca="1" si="3"/>
        <v>-0.85566787204915173</v>
      </c>
      <c r="AS3">
        <f t="shared" ca="1" si="3"/>
        <v>0.49010049399807026</v>
      </c>
      <c r="AT3">
        <f t="shared" ref="AT3:BC12" ca="1" si="4">_xlfn.NORM.S.INV(RAND())</f>
        <v>-0.33960953119633885</v>
      </c>
      <c r="AU3">
        <f t="shared" ca="1" si="4"/>
        <v>-1.5038012728473322</v>
      </c>
      <c r="AV3">
        <f t="shared" ca="1" si="4"/>
        <v>0.87405046378823392</v>
      </c>
      <c r="AW3">
        <f t="shared" ca="1" si="4"/>
        <v>-0.63476083386425197</v>
      </c>
      <c r="AX3">
        <f t="shared" ca="1" si="4"/>
        <v>-0.80638719210931398</v>
      </c>
      <c r="AY3">
        <f t="shared" ca="1" si="4"/>
        <v>8.1850577084423989E-2</v>
      </c>
      <c r="AZ3">
        <f t="shared" ca="1" si="4"/>
        <v>0.75033129537402432</v>
      </c>
      <c r="BA3">
        <f t="shared" ca="1" si="4"/>
        <v>0.63298388841285347</v>
      </c>
      <c r="BB3">
        <f t="shared" ca="1" si="4"/>
        <v>-0.14974328474113718</v>
      </c>
      <c r="BC3">
        <f t="shared" ca="1" si="4"/>
        <v>-0.31380608530950926</v>
      </c>
      <c r="BD3">
        <f t="shared" ref="BD3:BM12" ca="1" si="5">_xlfn.NORM.S.INV(RAND())</f>
        <v>-1.0517159669485259</v>
      </c>
      <c r="BE3">
        <f t="shared" ca="1" si="5"/>
        <v>-1.055775373803358</v>
      </c>
      <c r="BF3">
        <f t="shared" ca="1" si="5"/>
        <v>0.7577710025935338</v>
      </c>
      <c r="BG3">
        <f t="shared" ca="1" si="5"/>
        <v>0.15125423961147097</v>
      </c>
      <c r="BH3">
        <f t="shared" ca="1" si="5"/>
        <v>1.8640711668265495</v>
      </c>
      <c r="BI3">
        <f t="shared" ca="1" si="5"/>
        <v>0.54546984345196758</v>
      </c>
      <c r="BJ3">
        <f t="shared" ca="1" si="5"/>
        <v>1.0865088751999954</v>
      </c>
      <c r="BK3">
        <f t="shared" ca="1" si="5"/>
        <v>-1.9046538844973604</v>
      </c>
      <c r="BL3">
        <f t="shared" ca="1" si="5"/>
        <v>-0.92829525394400636</v>
      </c>
      <c r="BM3">
        <f t="shared" ca="1" si="5"/>
        <v>-1.4025295691233566</v>
      </c>
      <c r="BN3">
        <f t="shared" ref="BN3:BW12" ca="1" si="6">_xlfn.NORM.S.INV(RAND())</f>
        <v>-0.33091950162752642</v>
      </c>
      <c r="BO3">
        <f t="shared" ca="1" si="6"/>
        <v>-1.1222250659982334</v>
      </c>
      <c r="BP3">
        <f t="shared" ca="1" si="6"/>
        <v>-1.8653988708847804</v>
      </c>
      <c r="BQ3">
        <f t="shared" ca="1" si="6"/>
        <v>-0.73969676155041186</v>
      </c>
      <c r="BR3">
        <f t="shared" ca="1" si="6"/>
        <v>-0.58895624682876768</v>
      </c>
      <c r="BS3">
        <f t="shared" ca="1" si="6"/>
        <v>-0.61569368192832741</v>
      </c>
      <c r="BT3">
        <f t="shared" ca="1" si="6"/>
        <v>-0.54191970420325442</v>
      </c>
      <c r="BU3">
        <f t="shared" ca="1" si="6"/>
        <v>0.68653098356325393</v>
      </c>
      <c r="BV3">
        <f t="shared" ca="1" si="6"/>
        <v>5.0396050944556819E-3</v>
      </c>
      <c r="BW3">
        <f t="shared" ca="1" si="6"/>
        <v>-0.97815865862888662</v>
      </c>
      <c r="BX3">
        <f t="shared" ref="BX3:CG12" ca="1" si="7">_xlfn.NORM.S.INV(RAND())</f>
        <v>1.0341592273621911</v>
      </c>
      <c r="BY3">
        <f t="shared" ca="1" si="7"/>
        <v>-3.1173831103723133</v>
      </c>
      <c r="BZ3">
        <f t="shared" ca="1" si="7"/>
        <v>-0.10677449608010402</v>
      </c>
      <c r="CA3">
        <f t="shared" ca="1" si="7"/>
        <v>-1.3101448483484461</v>
      </c>
      <c r="CB3">
        <f t="shared" ca="1" si="7"/>
        <v>0.49869953058107419</v>
      </c>
      <c r="CC3">
        <f t="shared" ca="1" si="7"/>
        <v>-0.14247892246738295</v>
      </c>
      <c r="CD3">
        <f t="shared" ca="1" si="7"/>
        <v>-0.49123110985873963</v>
      </c>
      <c r="CE3">
        <f t="shared" ca="1" si="7"/>
        <v>0.22900051050906678</v>
      </c>
      <c r="CF3">
        <f t="shared" ca="1" si="7"/>
        <v>1.0542303498545773</v>
      </c>
      <c r="CG3">
        <f t="shared" ca="1" si="7"/>
        <v>-0.69564025411460928</v>
      </c>
      <c r="CH3">
        <f t="shared" ref="CH3:CQ12" ca="1" si="8">_xlfn.NORM.S.INV(RAND())</f>
        <v>0.34524221904728608</v>
      </c>
      <c r="CI3">
        <f t="shared" ca="1" si="8"/>
        <v>0.67567344378500505</v>
      </c>
      <c r="CJ3">
        <f t="shared" ca="1" si="8"/>
        <v>0.43294882373366761</v>
      </c>
      <c r="CK3">
        <f t="shared" ca="1" si="8"/>
        <v>-1.1690018452661672</v>
      </c>
      <c r="CL3">
        <f t="shared" ca="1" si="8"/>
        <v>1.7475261066900727</v>
      </c>
      <c r="CM3">
        <f t="shared" ca="1" si="8"/>
        <v>2.0245933883900697</v>
      </c>
      <c r="CN3">
        <f t="shared" ca="1" si="8"/>
        <v>-0.36787634686359189</v>
      </c>
      <c r="CO3">
        <f t="shared" ca="1" si="8"/>
        <v>0.17674979458011819</v>
      </c>
      <c r="CP3">
        <f t="shared" ca="1" si="8"/>
        <v>0.55485377038163453</v>
      </c>
      <c r="CQ3">
        <f t="shared" ca="1" si="8"/>
        <v>-1.1214853360324057</v>
      </c>
      <c r="CR3">
        <f t="shared" ref="CR3:DA12" ca="1" si="9">_xlfn.NORM.S.INV(RAND())</f>
        <v>1.753431682158809E-2</v>
      </c>
      <c r="CS3">
        <f t="shared" ca="1" si="9"/>
        <v>0.23741185500360806</v>
      </c>
      <c r="CT3">
        <f t="shared" ca="1" si="9"/>
        <v>0.71578097016793607</v>
      </c>
      <c r="CU3">
        <f t="shared" ca="1" si="9"/>
        <v>0.8245367273990365</v>
      </c>
      <c r="CV3">
        <f t="shared" ca="1" si="9"/>
        <v>0.81995458125416132</v>
      </c>
      <c r="CW3">
        <f t="shared" ca="1" si="9"/>
        <v>-0.28439076214024311</v>
      </c>
      <c r="CX3">
        <f t="shared" ca="1" si="9"/>
        <v>0.20677314622755391</v>
      </c>
      <c r="CY3">
        <f t="shared" ca="1" si="9"/>
        <v>-1.4523436231347695</v>
      </c>
      <c r="CZ3">
        <f t="shared" ca="1" si="9"/>
        <v>-0.81371641770251302</v>
      </c>
      <c r="DA3">
        <f t="shared" ca="1" si="9"/>
        <v>-0.31102974210847806</v>
      </c>
    </row>
    <row r="4" spans="5:105" x14ac:dyDescent="0.25">
      <c r="E4">
        <f>S_plus!L4</f>
        <v>0.02</v>
      </c>
      <c r="F4">
        <f t="shared" ca="1" si="0"/>
        <v>-0.29717790386261317</v>
      </c>
      <c r="G4">
        <f t="shared" ca="1" si="0"/>
        <v>0.34544028645807401</v>
      </c>
      <c r="H4">
        <f t="shared" ca="1" si="0"/>
        <v>-0.92047842092107568</v>
      </c>
      <c r="I4">
        <f t="shared" ca="1" si="0"/>
        <v>-0.50905102906189093</v>
      </c>
      <c r="J4">
        <f t="shared" ca="1" si="0"/>
        <v>-0.5057492578307593</v>
      </c>
      <c r="K4">
        <f t="shared" ca="1" si="0"/>
        <v>0.71622276208197544</v>
      </c>
      <c r="L4">
        <f t="shared" ca="1" si="0"/>
        <v>-1.0805191717954485</v>
      </c>
      <c r="M4">
        <f t="shared" ca="1" si="0"/>
        <v>2.350774740634697</v>
      </c>
      <c r="N4">
        <f t="shared" ca="1" si="0"/>
        <v>-1.3767921034930737</v>
      </c>
      <c r="O4">
        <f t="shared" ca="1" si="0"/>
        <v>-0.71262223717514117</v>
      </c>
      <c r="P4">
        <f t="shared" ca="1" si="1"/>
        <v>-0.47392005728698977</v>
      </c>
      <c r="Q4">
        <f t="shared" ca="1" si="1"/>
        <v>0.37806685805075763</v>
      </c>
      <c r="R4">
        <f t="shared" ca="1" si="1"/>
        <v>-0.86957598693492955</v>
      </c>
      <c r="S4">
        <f t="shared" ca="1" si="1"/>
        <v>4.1112658618826986E-2</v>
      </c>
      <c r="T4">
        <f t="shared" ca="1" si="1"/>
        <v>-1.3950159217121934</v>
      </c>
      <c r="U4">
        <f t="shared" ca="1" si="1"/>
        <v>-1.1972350847454929</v>
      </c>
      <c r="V4">
        <f t="shared" ca="1" si="1"/>
        <v>-1.4861768440127054</v>
      </c>
      <c r="W4">
        <f t="shared" ca="1" si="1"/>
        <v>-0.27269654599638682</v>
      </c>
      <c r="X4">
        <f t="shared" ca="1" si="1"/>
        <v>0.51491888125364804</v>
      </c>
      <c r="Y4">
        <f t="shared" ca="1" si="1"/>
        <v>-8.5198097952080651E-2</v>
      </c>
      <c r="Z4">
        <f t="shared" ca="1" si="2"/>
        <v>-1.5690708909137538</v>
      </c>
      <c r="AA4">
        <f t="shared" ca="1" si="2"/>
        <v>1.3502117634142581</v>
      </c>
      <c r="AB4">
        <f t="shared" ca="1" si="2"/>
        <v>0.69562192744464824</v>
      </c>
      <c r="AC4">
        <f t="shared" ca="1" si="2"/>
        <v>-0.39782174448977564</v>
      </c>
      <c r="AD4">
        <f t="shared" ca="1" si="2"/>
        <v>0.12734439408283538</v>
      </c>
      <c r="AE4">
        <f t="shared" ca="1" si="2"/>
        <v>0.56068380921539862</v>
      </c>
      <c r="AF4">
        <f t="shared" ca="1" si="2"/>
        <v>-1.1485610980395433</v>
      </c>
      <c r="AG4">
        <f t="shared" ca="1" si="2"/>
        <v>0.46476834508552667</v>
      </c>
      <c r="AH4">
        <f t="shared" ca="1" si="2"/>
        <v>-0.24787767760902799</v>
      </c>
      <c r="AI4">
        <f t="shared" ca="1" si="2"/>
        <v>2.1506966261401588</v>
      </c>
      <c r="AJ4">
        <f t="shared" ca="1" si="3"/>
        <v>2.105567970606137</v>
      </c>
      <c r="AK4">
        <f t="shared" ca="1" si="3"/>
        <v>-5.1909600255728395E-3</v>
      </c>
      <c r="AL4">
        <f t="shared" ca="1" si="3"/>
        <v>-0.98505047199997409</v>
      </c>
      <c r="AM4">
        <f t="shared" ca="1" si="3"/>
        <v>-0.48997738052109274</v>
      </c>
      <c r="AN4">
        <f t="shared" ca="1" si="3"/>
        <v>-0.29754343510421216</v>
      </c>
      <c r="AO4">
        <f t="shared" ca="1" si="3"/>
        <v>-0.4268877603579127</v>
      </c>
      <c r="AP4">
        <f t="shared" ca="1" si="3"/>
        <v>-0.45419604433286342</v>
      </c>
      <c r="AQ4">
        <f t="shared" ca="1" si="3"/>
        <v>0.15415163979136576</v>
      </c>
      <c r="AR4">
        <f t="shared" ca="1" si="3"/>
        <v>-1.0821923794574202</v>
      </c>
      <c r="AS4">
        <f t="shared" ca="1" si="3"/>
        <v>-0.52460703718772295</v>
      </c>
      <c r="AT4">
        <f t="shared" ca="1" si="4"/>
        <v>0.73974401880543417</v>
      </c>
      <c r="AU4">
        <f t="shared" ca="1" si="4"/>
        <v>0.23916834590504166</v>
      </c>
      <c r="AV4">
        <f t="shared" ca="1" si="4"/>
        <v>-0.18848959841463589</v>
      </c>
      <c r="AW4">
        <f t="shared" ca="1" si="4"/>
        <v>0.25473699745750111</v>
      </c>
      <c r="AX4">
        <f t="shared" ca="1" si="4"/>
        <v>0.47231294535482887</v>
      </c>
      <c r="AY4">
        <f t="shared" ca="1" si="4"/>
        <v>1.482090506221297</v>
      </c>
      <c r="AZ4">
        <f t="shared" ca="1" si="4"/>
        <v>0.4178185671745403</v>
      </c>
      <c r="BA4">
        <f t="shared" ca="1" si="4"/>
        <v>1.1738912581577203</v>
      </c>
      <c r="BB4">
        <f t="shared" ca="1" si="4"/>
        <v>-1.0560985119364881</v>
      </c>
      <c r="BC4">
        <f t="shared" ca="1" si="4"/>
        <v>-0.38169673006430099</v>
      </c>
      <c r="BD4">
        <f t="shared" ca="1" si="5"/>
        <v>-0.29866912473215185</v>
      </c>
      <c r="BE4">
        <f t="shared" ca="1" si="5"/>
        <v>-0.3358977145786381</v>
      </c>
      <c r="BF4">
        <f t="shared" ca="1" si="5"/>
        <v>-1.1997633514334585</v>
      </c>
      <c r="BG4">
        <f t="shared" ca="1" si="5"/>
        <v>-1.14798945290041</v>
      </c>
      <c r="BH4">
        <f t="shared" ca="1" si="5"/>
        <v>-1.2261089190245609</v>
      </c>
      <c r="BI4">
        <f t="shared" ca="1" si="5"/>
        <v>0.53993099288076241</v>
      </c>
      <c r="BJ4">
        <f t="shared" ca="1" si="5"/>
        <v>-2.1059055065279852</v>
      </c>
      <c r="BK4">
        <f t="shared" ca="1" si="5"/>
        <v>1.5041225874386557</v>
      </c>
      <c r="BL4">
        <f t="shared" ca="1" si="5"/>
        <v>1.1060739368213237</v>
      </c>
      <c r="BM4">
        <f t="shared" ca="1" si="5"/>
        <v>-1.3848792715754485</v>
      </c>
      <c r="BN4">
        <f t="shared" ca="1" si="6"/>
        <v>0.50644583211386451</v>
      </c>
      <c r="BO4">
        <f t="shared" ca="1" si="6"/>
        <v>0.44967534188546676</v>
      </c>
      <c r="BP4">
        <f t="shared" ca="1" si="6"/>
        <v>-0.50888584752463439</v>
      </c>
      <c r="BQ4">
        <f t="shared" ca="1" si="6"/>
        <v>-0.11063769890378021</v>
      </c>
      <c r="BR4">
        <f t="shared" ca="1" si="6"/>
        <v>-0.18428147029247771</v>
      </c>
      <c r="BS4">
        <f t="shared" ca="1" si="6"/>
        <v>-1.5205642567480213</v>
      </c>
      <c r="BT4">
        <f t="shared" ca="1" si="6"/>
        <v>-0.59472157200090114</v>
      </c>
      <c r="BU4">
        <f t="shared" ca="1" si="6"/>
        <v>-0.74253811510511969</v>
      </c>
      <c r="BV4">
        <f t="shared" ca="1" si="6"/>
        <v>-1.3899562059309487</v>
      </c>
      <c r="BW4">
        <f t="shared" ca="1" si="6"/>
        <v>1.2423758897715331</v>
      </c>
      <c r="BX4">
        <f t="shared" ca="1" si="7"/>
        <v>0.63639270128352754</v>
      </c>
      <c r="BY4">
        <f t="shared" ca="1" si="7"/>
        <v>-0.49959086323853952</v>
      </c>
      <c r="BZ4">
        <f t="shared" ca="1" si="7"/>
        <v>1.082898409665956</v>
      </c>
      <c r="CA4">
        <f t="shared" ca="1" si="7"/>
        <v>-0.53481285636243714</v>
      </c>
      <c r="CB4">
        <f t="shared" ca="1" si="7"/>
        <v>0.4748556576531216</v>
      </c>
      <c r="CC4">
        <f t="shared" ca="1" si="7"/>
        <v>-0.46900986447113219</v>
      </c>
      <c r="CD4">
        <f t="shared" ca="1" si="7"/>
        <v>0.68677552889028781</v>
      </c>
      <c r="CE4">
        <f t="shared" ca="1" si="7"/>
        <v>-1.0275091972786854</v>
      </c>
      <c r="CF4">
        <f t="shared" ca="1" si="7"/>
        <v>1.7925181706525619</v>
      </c>
      <c r="CG4">
        <f t="shared" ca="1" si="7"/>
        <v>-0.57892462123339739</v>
      </c>
      <c r="CH4">
        <f t="shared" ca="1" si="8"/>
        <v>-0.84345782237144906</v>
      </c>
      <c r="CI4">
        <f t="shared" ca="1" si="8"/>
        <v>-1.3413448957426775</v>
      </c>
      <c r="CJ4">
        <f t="shared" ca="1" si="8"/>
        <v>-1.0844799355487438</v>
      </c>
      <c r="CK4">
        <f t="shared" ca="1" si="8"/>
        <v>-0.96567477658951884</v>
      </c>
      <c r="CL4">
        <f t="shared" ca="1" si="8"/>
        <v>-2.0018286777648653</v>
      </c>
      <c r="CM4">
        <f t="shared" ca="1" si="8"/>
        <v>0.59588697322865136</v>
      </c>
      <c r="CN4">
        <f t="shared" ca="1" si="8"/>
        <v>-0.551380636858955</v>
      </c>
      <c r="CO4">
        <f t="shared" ca="1" si="8"/>
        <v>1.6658689379652396</v>
      </c>
      <c r="CP4">
        <f t="shared" ca="1" si="8"/>
        <v>-0.68783273622486296</v>
      </c>
      <c r="CQ4">
        <f t="shared" ca="1" si="8"/>
        <v>1.3161006208333887</v>
      </c>
      <c r="CR4">
        <f t="shared" ca="1" si="9"/>
        <v>-0.34195858314068112</v>
      </c>
      <c r="CS4">
        <f t="shared" ca="1" si="9"/>
        <v>0.5658055046714231</v>
      </c>
      <c r="CT4">
        <f t="shared" ca="1" si="9"/>
        <v>1.9302391948716107</v>
      </c>
      <c r="CU4">
        <f t="shared" ca="1" si="9"/>
        <v>0.90046434849760881</v>
      </c>
      <c r="CV4">
        <f t="shared" ca="1" si="9"/>
        <v>-0.50542589220702228</v>
      </c>
      <c r="CW4">
        <f t="shared" ca="1" si="9"/>
        <v>1.4801266240699633</v>
      </c>
      <c r="CX4">
        <f t="shared" ca="1" si="9"/>
        <v>-1.7408700486178135</v>
      </c>
      <c r="CY4">
        <f t="shared" ca="1" si="9"/>
        <v>-1.8430802303582601</v>
      </c>
      <c r="CZ4">
        <f t="shared" ca="1" si="9"/>
        <v>0.13874967523727838</v>
      </c>
      <c r="DA4">
        <f t="shared" ca="1" si="9"/>
        <v>0.18986793084667028</v>
      </c>
    </row>
    <row r="5" spans="5:105" x14ac:dyDescent="0.25">
      <c r="E5">
        <f>S_plus!L5</f>
        <v>0.03</v>
      </c>
      <c r="F5">
        <f t="shared" ca="1" si="0"/>
        <v>-8.2940726381337038E-2</v>
      </c>
      <c r="G5">
        <f t="shared" ca="1" si="0"/>
        <v>-0.36149799898631618</v>
      </c>
      <c r="H5">
        <f t="shared" ca="1" si="0"/>
        <v>-6.7875958857779944E-2</v>
      </c>
      <c r="I5">
        <f t="shared" ca="1" si="0"/>
        <v>-1.0867289793272799</v>
      </c>
      <c r="J5">
        <f t="shared" ca="1" si="0"/>
        <v>-0.6980186053760381</v>
      </c>
      <c r="K5">
        <f t="shared" ca="1" si="0"/>
        <v>0.9920050865133534</v>
      </c>
      <c r="L5">
        <f t="shared" ca="1" si="0"/>
        <v>-0.16999802251813254</v>
      </c>
      <c r="M5">
        <f t="shared" ca="1" si="0"/>
        <v>-2.2595740345444093</v>
      </c>
      <c r="N5">
        <f t="shared" ca="1" si="0"/>
        <v>0.16045351571263419</v>
      </c>
      <c r="O5">
        <f t="shared" ca="1" si="0"/>
        <v>-0.53324932971723182</v>
      </c>
      <c r="P5">
        <f t="shared" ca="1" si="1"/>
        <v>0.305485385125632</v>
      </c>
      <c r="Q5">
        <f t="shared" ca="1" si="1"/>
        <v>1.4667721399280829</v>
      </c>
      <c r="R5">
        <f t="shared" ca="1" si="1"/>
        <v>0.50394465543742661</v>
      </c>
      <c r="S5">
        <f t="shared" ca="1" si="1"/>
        <v>-0.36825893791454967</v>
      </c>
      <c r="T5">
        <f t="shared" ca="1" si="1"/>
        <v>-0.98431411379015565</v>
      </c>
      <c r="U5">
        <f t="shared" ca="1" si="1"/>
        <v>-0.4659475111914842</v>
      </c>
      <c r="V5">
        <f t="shared" ca="1" si="1"/>
        <v>0.39816509662428962</v>
      </c>
      <c r="W5">
        <f t="shared" ca="1" si="1"/>
        <v>-1.3708039705318743E-2</v>
      </c>
      <c r="X5">
        <f t="shared" ca="1" si="1"/>
        <v>-0.70841245712143208</v>
      </c>
      <c r="Y5">
        <f t="shared" ca="1" si="1"/>
        <v>0.11203076813520398</v>
      </c>
      <c r="Z5">
        <f t="shared" ca="1" si="2"/>
        <v>1.3105497004828592</v>
      </c>
      <c r="AA5">
        <f t="shared" ca="1" si="2"/>
        <v>-1.7291395979688344</v>
      </c>
      <c r="AB5">
        <f t="shared" ca="1" si="2"/>
        <v>2.8826259116695556E-2</v>
      </c>
      <c r="AC5">
        <f t="shared" ca="1" si="2"/>
        <v>-0.14451635192762136</v>
      </c>
      <c r="AD5">
        <f t="shared" ca="1" si="2"/>
        <v>1.0557298010501706</v>
      </c>
      <c r="AE5">
        <f t="shared" ca="1" si="2"/>
        <v>0.3130321292765641</v>
      </c>
      <c r="AF5">
        <f t="shared" ca="1" si="2"/>
        <v>0.69424365754677642</v>
      </c>
      <c r="AG5">
        <f t="shared" ca="1" si="2"/>
        <v>1.1732989613637241</v>
      </c>
      <c r="AH5">
        <f t="shared" ca="1" si="2"/>
        <v>0.66620039949656462</v>
      </c>
      <c r="AI5">
        <f t="shared" ca="1" si="2"/>
        <v>1.6358577210963565</v>
      </c>
      <c r="AJ5">
        <f t="shared" ca="1" si="3"/>
        <v>1.3282841633294864</v>
      </c>
      <c r="AK5">
        <f t="shared" ca="1" si="3"/>
        <v>-0.51712830852551483</v>
      </c>
      <c r="AL5">
        <f t="shared" ca="1" si="3"/>
        <v>-1.9927334158693497</v>
      </c>
      <c r="AM5">
        <f t="shared" ca="1" si="3"/>
        <v>-0.18624024682707382</v>
      </c>
      <c r="AN5">
        <f t="shared" ca="1" si="3"/>
        <v>0.76130815448643541</v>
      </c>
      <c r="AO5">
        <f t="shared" ca="1" si="3"/>
        <v>-1.1188016376081971</v>
      </c>
      <c r="AP5">
        <f t="shared" ca="1" si="3"/>
        <v>-0.18889592567339911</v>
      </c>
      <c r="AQ5">
        <f t="shared" ca="1" si="3"/>
        <v>0.42547820171727102</v>
      </c>
      <c r="AR5">
        <f t="shared" ca="1" si="3"/>
        <v>0.95277314185741568</v>
      </c>
      <c r="AS5">
        <f t="shared" ca="1" si="3"/>
        <v>0.67900046811130366</v>
      </c>
      <c r="AT5">
        <f t="shared" ca="1" si="4"/>
        <v>-0.94553895233779606</v>
      </c>
      <c r="AU5">
        <f t="shared" ca="1" si="4"/>
        <v>-1.6897758353828596</v>
      </c>
      <c r="AV5">
        <f t="shared" ca="1" si="4"/>
        <v>0.88487705782464354</v>
      </c>
      <c r="AW5">
        <f t="shared" ca="1" si="4"/>
        <v>-1.8075383124939961</v>
      </c>
      <c r="AX5">
        <f t="shared" ca="1" si="4"/>
        <v>1.2931193634590965</v>
      </c>
      <c r="AY5">
        <f t="shared" ca="1" si="4"/>
        <v>1.0360267837424713</v>
      </c>
      <c r="AZ5">
        <f t="shared" ca="1" si="4"/>
        <v>-0.99438783432233824</v>
      </c>
      <c r="BA5">
        <f t="shared" ca="1" si="4"/>
        <v>-0.78148620166714344</v>
      </c>
      <c r="BB5">
        <f t="shared" ca="1" si="4"/>
        <v>0.23237932307357922</v>
      </c>
      <c r="BC5">
        <f t="shared" ca="1" si="4"/>
        <v>-1.4001449176044114</v>
      </c>
      <c r="BD5">
        <f t="shared" ca="1" si="5"/>
        <v>1.4903494699728945</v>
      </c>
      <c r="BE5">
        <f t="shared" ca="1" si="5"/>
        <v>1.1904573263612812</v>
      </c>
      <c r="BF5">
        <f t="shared" ca="1" si="5"/>
        <v>0.49160192556185883</v>
      </c>
      <c r="BG5">
        <f t="shared" ca="1" si="5"/>
        <v>0.85827379668370474</v>
      </c>
      <c r="BH5">
        <f t="shared" ca="1" si="5"/>
        <v>-1.1344450570259483</v>
      </c>
      <c r="BI5">
        <f t="shared" ca="1" si="5"/>
        <v>1.0425776907091486</v>
      </c>
      <c r="BJ5">
        <f t="shared" ca="1" si="5"/>
        <v>0.27476374737712</v>
      </c>
      <c r="BK5">
        <f t="shared" ca="1" si="5"/>
        <v>-0.18209896025528841</v>
      </c>
      <c r="BL5">
        <f t="shared" ca="1" si="5"/>
        <v>-1.3376301369696935</v>
      </c>
      <c r="BM5">
        <f t="shared" ca="1" si="5"/>
        <v>1.9290402807116611</v>
      </c>
      <c r="BN5">
        <f t="shared" ca="1" si="6"/>
        <v>0.38524943956435093</v>
      </c>
      <c r="BO5">
        <f t="shared" ca="1" si="6"/>
        <v>1.2728771301609756</v>
      </c>
      <c r="BP5">
        <f t="shared" ca="1" si="6"/>
        <v>-0.2371220776080723</v>
      </c>
      <c r="BQ5">
        <f t="shared" ca="1" si="6"/>
        <v>0.62130508161146647</v>
      </c>
      <c r="BR5">
        <f t="shared" ca="1" si="6"/>
        <v>-0.67858277409813728</v>
      </c>
      <c r="BS5">
        <f t="shared" ca="1" si="6"/>
        <v>0.75893664489459545</v>
      </c>
      <c r="BT5">
        <f t="shared" ca="1" si="6"/>
        <v>-0.20908146355632579</v>
      </c>
      <c r="BU5">
        <f t="shared" ca="1" si="6"/>
        <v>1.2421777408159254</v>
      </c>
      <c r="BV5">
        <f t="shared" ca="1" si="6"/>
        <v>-1.6095403917801434</v>
      </c>
      <c r="BW5">
        <f t="shared" ca="1" si="6"/>
        <v>-0.97102594851596336</v>
      </c>
      <c r="BX5">
        <f t="shared" ca="1" si="7"/>
        <v>0.33113662735984001</v>
      </c>
      <c r="BY5">
        <f t="shared" ca="1" si="7"/>
        <v>-0.22523218737306411</v>
      </c>
      <c r="BZ5">
        <f t="shared" ca="1" si="7"/>
        <v>1.6994039444909668</v>
      </c>
      <c r="CA5">
        <f t="shared" ca="1" si="7"/>
        <v>-0.82294770873343293</v>
      </c>
      <c r="CB5">
        <f t="shared" ca="1" si="7"/>
        <v>-1.3032391177266047</v>
      </c>
      <c r="CC5">
        <f t="shared" ca="1" si="7"/>
        <v>0.70335225013343494</v>
      </c>
      <c r="CD5">
        <f t="shared" ca="1" si="7"/>
        <v>-1.160717275610361</v>
      </c>
      <c r="CE5">
        <f t="shared" ca="1" si="7"/>
        <v>0.8620498645627046</v>
      </c>
      <c r="CF5">
        <f t="shared" ca="1" si="7"/>
        <v>-5.2588555399465345E-2</v>
      </c>
      <c r="CG5">
        <f t="shared" ca="1" si="7"/>
        <v>-1.9030369830875138</v>
      </c>
      <c r="CH5">
        <f t="shared" ca="1" si="8"/>
        <v>-1.0156386605459899</v>
      </c>
      <c r="CI5">
        <f t="shared" ca="1" si="8"/>
        <v>-2.0163131433596959</v>
      </c>
      <c r="CJ5">
        <f t="shared" ca="1" si="8"/>
        <v>0.77359187186238565</v>
      </c>
      <c r="CK5">
        <f t="shared" ca="1" si="8"/>
        <v>-0.41372170479056658</v>
      </c>
      <c r="CL5">
        <f t="shared" ca="1" si="8"/>
        <v>0.11738011923631129</v>
      </c>
      <c r="CM5">
        <f t="shared" ca="1" si="8"/>
        <v>1.3592144567024067</v>
      </c>
      <c r="CN5">
        <f t="shared" ca="1" si="8"/>
        <v>1.0398293242869687</v>
      </c>
      <c r="CO5">
        <f t="shared" ca="1" si="8"/>
        <v>1.1491889181756134</v>
      </c>
      <c r="CP5">
        <f t="shared" ca="1" si="8"/>
        <v>1.5509478120110134</v>
      </c>
      <c r="CQ5">
        <f t="shared" ca="1" si="8"/>
        <v>0.24959726965848239</v>
      </c>
      <c r="CR5">
        <f t="shared" ca="1" si="9"/>
        <v>0.49995210565510129</v>
      </c>
      <c r="CS5">
        <f t="shared" ca="1" si="9"/>
        <v>1.2017055589366279</v>
      </c>
      <c r="CT5">
        <f t="shared" ca="1" si="9"/>
        <v>0.12977848335737407</v>
      </c>
      <c r="CU5">
        <f t="shared" ca="1" si="9"/>
        <v>-0.99900269624342419</v>
      </c>
      <c r="CV5">
        <f t="shared" ca="1" si="9"/>
        <v>-0.69299937033453174</v>
      </c>
      <c r="CW5">
        <f t="shared" ca="1" si="9"/>
        <v>-1.4324170404167309</v>
      </c>
      <c r="CX5">
        <f t="shared" ca="1" si="9"/>
        <v>-1.6501983989205602</v>
      </c>
      <c r="CY5">
        <f t="shared" ca="1" si="9"/>
        <v>-0.31256439462703406</v>
      </c>
      <c r="CZ5">
        <f t="shared" ca="1" si="9"/>
        <v>3.6061140376801769E-2</v>
      </c>
      <c r="DA5">
        <f t="shared" ca="1" si="9"/>
        <v>-0.97186296768685287</v>
      </c>
    </row>
    <row r="6" spans="5:105" x14ac:dyDescent="0.25">
      <c r="E6">
        <f>S_plus!L6</f>
        <v>0.04</v>
      </c>
      <c r="F6">
        <f t="shared" ca="1" si="0"/>
        <v>0.45603904024661701</v>
      </c>
      <c r="G6">
        <f t="shared" ca="1" si="0"/>
        <v>0.41385673904974657</v>
      </c>
      <c r="H6">
        <f t="shared" ca="1" si="0"/>
        <v>-0.99997973432899534</v>
      </c>
      <c r="I6">
        <f t="shared" ca="1" si="0"/>
        <v>0.55651065226390761</v>
      </c>
      <c r="J6">
        <f t="shared" ca="1" si="0"/>
        <v>-0.68041534873210596</v>
      </c>
      <c r="K6">
        <f t="shared" ca="1" si="0"/>
        <v>-1.1861408131487676</v>
      </c>
      <c r="L6">
        <f t="shared" ca="1" si="0"/>
        <v>0.45967761711137844</v>
      </c>
      <c r="M6">
        <f t="shared" ca="1" si="0"/>
        <v>7.5311057468038539E-2</v>
      </c>
      <c r="N6">
        <f t="shared" ca="1" si="0"/>
        <v>0.30473012125691568</v>
      </c>
      <c r="O6">
        <f t="shared" ca="1" si="0"/>
        <v>2.1236146815128882</v>
      </c>
      <c r="P6">
        <f t="shared" ca="1" si="1"/>
        <v>0.37872648133921194</v>
      </c>
      <c r="Q6">
        <f t="shared" ca="1" si="1"/>
        <v>0.54131032009992275</v>
      </c>
      <c r="R6">
        <f t="shared" ca="1" si="1"/>
        <v>1.5284309458343621</v>
      </c>
      <c r="S6">
        <f t="shared" ca="1" si="1"/>
        <v>-1.1705554781203573</v>
      </c>
      <c r="T6">
        <f t="shared" ca="1" si="1"/>
        <v>-0.82829748728880725</v>
      </c>
      <c r="U6">
        <f t="shared" ca="1" si="1"/>
        <v>0.33132902501396105</v>
      </c>
      <c r="V6">
        <f t="shared" ca="1" si="1"/>
        <v>-1.1067958424498028</v>
      </c>
      <c r="W6">
        <f t="shared" ca="1" si="1"/>
        <v>-0.72798515234399319</v>
      </c>
      <c r="X6">
        <f t="shared" ca="1" si="1"/>
        <v>-3.7308963074611567E-2</v>
      </c>
      <c r="Y6">
        <f t="shared" ca="1" si="1"/>
        <v>2.6203796848102181</v>
      </c>
      <c r="Z6">
        <f t="shared" ca="1" si="2"/>
        <v>-1.2427300544781203</v>
      </c>
      <c r="AA6">
        <f t="shared" ca="1" si="2"/>
        <v>-0.68009105960346539</v>
      </c>
      <c r="AB6">
        <f t="shared" ca="1" si="2"/>
        <v>-5.2110688476171625E-2</v>
      </c>
      <c r="AC6">
        <f t="shared" ca="1" si="2"/>
        <v>0.2683196220608462</v>
      </c>
      <c r="AD6">
        <f t="shared" ca="1" si="2"/>
        <v>0.10155433856098704</v>
      </c>
      <c r="AE6">
        <f t="shared" ca="1" si="2"/>
        <v>0.13552478256027781</v>
      </c>
      <c r="AF6">
        <f t="shared" ca="1" si="2"/>
        <v>0.20954707269470133</v>
      </c>
      <c r="AG6">
        <f t="shared" ca="1" si="2"/>
        <v>0.24015144246282794</v>
      </c>
      <c r="AH6">
        <f t="shared" ca="1" si="2"/>
        <v>-0.11474766685049656</v>
      </c>
      <c r="AI6">
        <f t="shared" ca="1" si="2"/>
        <v>0.18955695867063754</v>
      </c>
      <c r="AJ6">
        <f t="shared" ca="1" si="3"/>
        <v>-0.54890733776747924</v>
      </c>
      <c r="AK6">
        <f t="shared" ca="1" si="3"/>
        <v>1.2368684102583198</v>
      </c>
      <c r="AL6">
        <f t="shared" ca="1" si="3"/>
        <v>-0.55782181670173692</v>
      </c>
      <c r="AM6">
        <f t="shared" ca="1" si="3"/>
        <v>-0.10937589143599666</v>
      </c>
      <c r="AN6">
        <f t="shared" ca="1" si="3"/>
        <v>-1.4788456027741199</v>
      </c>
      <c r="AO6">
        <f t="shared" ca="1" si="3"/>
        <v>-0.93391130586235671</v>
      </c>
      <c r="AP6">
        <f t="shared" ca="1" si="3"/>
        <v>0.64240435945536978</v>
      </c>
      <c r="AQ6">
        <f t="shared" ca="1" si="3"/>
        <v>6.2351625969402025E-2</v>
      </c>
      <c r="AR6">
        <f t="shared" ca="1" si="3"/>
        <v>-0.75887865861774262</v>
      </c>
      <c r="AS6">
        <f t="shared" ca="1" si="3"/>
        <v>0.78361458792469951</v>
      </c>
      <c r="AT6">
        <f t="shared" ca="1" si="4"/>
        <v>1.2182667827516345</v>
      </c>
      <c r="AU6">
        <f t="shared" ca="1" si="4"/>
        <v>0.92210234368065891</v>
      </c>
      <c r="AV6">
        <f t="shared" ca="1" si="4"/>
        <v>-1.9317976309063045</v>
      </c>
      <c r="AW6">
        <f t="shared" ca="1" si="4"/>
        <v>-0.11296394714653178</v>
      </c>
      <c r="AX6">
        <f t="shared" ca="1" si="4"/>
        <v>1.1631099063564709</v>
      </c>
      <c r="AY6">
        <f t="shared" ca="1" si="4"/>
        <v>-0.96831865012878893</v>
      </c>
      <c r="AZ6">
        <f t="shared" ca="1" si="4"/>
        <v>-6.5265280933079428E-2</v>
      </c>
      <c r="BA6">
        <f t="shared" ca="1" si="4"/>
        <v>5.716736773334332E-2</v>
      </c>
      <c r="BB6">
        <f t="shared" ca="1" si="4"/>
        <v>2.5216239185871601</v>
      </c>
      <c r="BC6">
        <f t="shared" ca="1" si="4"/>
        <v>1.0482473668064933</v>
      </c>
      <c r="BD6">
        <f t="shared" ca="1" si="5"/>
        <v>-0.74522517248050557</v>
      </c>
      <c r="BE6">
        <f t="shared" ca="1" si="5"/>
        <v>2.7656111456571639</v>
      </c>
      <c r="BF6">
        <f t="shared" ca="1" si="5"/>
        <v>-0.29043630931388309</v>
      </c>
      <c r="BG6">
        <f t="shared" ca="1" si="5"/>
        <v>0.66139931576417765</v>
      </c>
      <c r="BH6">
        <f t="shared" ca="1" si="5"/>
        <v>0.66579455900485796</v>
      </c>
      <c r="BI6">
        <f t="shared" ca="1" si="5"/>
        <v>1.648429250024855</v>
      </c>
      <c r="BJ6">
        <f t="shared" ca="1" si="5"/>
        <v>-0.51442227742535462</v>
      </c>
      <c r="BK6">
        <f t="shared" ca="1" si="5"/>
        <v>-0.91381342399084331</v>
      </c>
      <c r="BL6">
        <f t="shared" ca="1" si="5"/>
        <v>-1.1995380114827747</v>
      </c>
      <c r="BM6">
        <f t="shared" ca="1" si="5"/>
        <v>-0.77170433431640106</v>
      </c>
      <c r="BN6">
        <f t="shared" ca="1" si="6"/>
        <v>-0.45549282115483203</v>
      </c>
      <c r="BO6">
        <f t="shared" ca="1" si="6"/>
        <v>1.392456517433198</v>
      </c>
      <c r="BP6">
        <f t="shared" ca="1" si="6"/>
        <v>1.5317947748216254</v>
      </c>
      <c r="BQ6">
        <f t="shared" ca="1" si="6"/>
        <v>-1.0145090531873699</v>
      </c>
      <c r="BR6">
        <f t="shared" ca="1" si="6"/>
        <v>0.34972437574594761</v>
      </c>
      <c r="BS6">
        <f t="shared" ca="1" si="6"/>
        <v>1.8726978738028228</v>
      </c>
      <c r="BT6">
        <f t="shared" ca="1" si="6"/>
        <v>-0.24372512860115939</v>
      </c>
      <c r="BU6">
        <f t="shared" ca="1" si="6"/>
        <v>-1.174069199491129</v>
      </c>
      <c r="BV6">
        <f t="shared" ca="1" si="6"/>
        <v>-0.21089261030296547</v>
      </c>
      <c r="BW6">
        <f t="shared" ca="1" si="6"/>
        <v>-0.67294689652777817</v>
      </c>
      <c r="BX6">
        <f t="shared" ca="1" si="7"/>
        <v>0.18669944914265124</v>
      </c>
      <c r="BY6">
        <f t="shared" ca="1" si="7"/>
        <v>-1.2341287716069822</v>
      </c>
      <c r="BZ6">
        <f t="shared" ca="1" si="7"/>
        <v>0.49392590046724211</v>
      </c>
      <c r="CA6">
        <f t="shared" ca="1" si="7"/>
        <v>-0.61694948848941078</v>
      </c>
      <c r="CB6">
        <f t="shared" ca="1" si="7"/>
        <v>-9.3033603263042303E-2</v>
      </c>
      <c r="CC6">
        <f t="shared" ca="1" si="7"/>
        <v>-1.904572746852667</v>
      </c>
      <c r="CD6">
        <f t="shared" ca="1" si="7"/>
        <v>-1.1119880570252296</v>
      </c>
      <c r="CE6">
        <f t="shared" ca="1" si="7"/>
        <v>0.65408451975820514</v>
      </c>
      <c r="CF6">
        <f t="shared" ca="1" si="7"/>
        <v>-1.2427192518648114</v>
      </c>
      <c r="CG6">
        <f t="shared" ca="1" si="7"/>
        <v>-1.0815668927586051</v>
      </c>
      <c r="CH6">
        <f t="shared" ca="1" si="8"/>
        <v>1.6203776831608558</v>
      </c>
      <c r="CI6">
        <f t="shared" ca="1" si="8"/>
        <v>-1.3615605299571216</v>
      </c>
      <c r="CJ6">
        <f t="shared" ca="1" si="8"/>
        <v>-0.46615944847740198</v>
      </c>
      <c r="CK6">
        <f t="shared" ca="1" si="8"/>
        <v>-1.7534288628349521</v>
      </c>
      <c r="CL6">
        <f t="shared" ca="1" si="8"/>
        <v>-0.5944903398902901</v>
      </c>
      <c r="CM6">
        <f t="shared" ca="1" si="8"/>
        <v>-0.69579288604050704</v>
      </c>
      <c r="CN6">
        <f t="shared" ca="1" si="8"/>
        <v>-0.71987904460158048</v>
      </c>
      <c r="CO6">
        <f t="shared" ca="1" si="8"/>
        <v>1.0144236468225432</v>
      </c>
      <c r="CP6">
        <f t="shared" ca="1" si="8"/>
        <v>1.624682099558106E-3</v>
      </c>
      <c r="CQ6">
        <f t="shared" ca="1" si="8"/>
        <v>-0.3856803831139326</v>
      </c>
      <c r="CR6">
        <f t="shared" ca="1" si="9"/>
        <v>0.60677217405161821</v>
      </c>
      <c r="CS6">
        <f t="shared" ca="1" si="9"/>
        <v>-5.3700860510809155E-2</v>
      </c>
      <c r="CT6">
        <f t="shared" ca="1" si="9"/>
        <v>-0.492093475482271</v>
      </c>
      <c r="CU6">
        <f t="shared" ca="1" si="9"/>
        <v>-0.43455787280192198</v>
      </c>
      <c r="CV6">
        <f t="shared" ca="1" si="9"/>
        <v>8.3893504351966908E-2</v>
      </c>
      <c r="CW6">
        <f t="shared" ca="1" si="9"/>
        <v>-0.92808278005043177</v>
      </c>
      <c r="CX6">
        <f t="shared" ca="1" si="9"/>
        <v>0.61793548545300447</v>
      </c>
      <c r="CY6">
        <f t="shared" ca="1" si="9"/>
        <v>-1.3747914093490916</v>
      </c>
      <c r="CZ6">
        <f t="shared" ca="1" si="9"/>
        <v>-0.73648432164598254</v>
      </c>
      <c r="DA6">
        <f t="shared" ca="1" si="9"/>
        <v>0.52090156048859726</v>
      </c>
    </row>
    <row r="7" spans="5:105" x14ac:dyDescent="0.25">
      <c r="E7">
        <f>S_plus!L7</f>
        <v>0.05</v>
      </c>
      <c r="F7">
        <f t="shared" ca="1" si="0"/>
        <v>-0.72719420990946293</v>
      </c>
      <c r="G7">
        <f t="shared" ca="1" si="0"/>
        <v>-5.0549919246990059E-2</v>
      </c>
      <c r="H7">
        <f t="shared" ca="1" si="0"/>
        <v>-3.259638964616832</v>
      </c>
      <c r="I7">
        <f t="shared" ca="1" si="0"/>
        <v>1.5634375492286774</v>
      </c>
      <c r="J7">
        <f t="shared" ca="1" si="0"/>
        <v>1.4334663655782269</v>
      </c>
      <c r="K7">
        <f t="shared" ca="1" si="0"/>
        <v>-5.2388272402769526E-2</v>
      </c>
      <c r="L7">
        <f t="shared" ca="1" si="0"/>
        <v>0.36797969915106588</v>
      </c>
      <c r="M7">
        <f t="shared" ca="1" si="0"/>
        <v>-0.22394740660097873</v>
      </c>
      <c r="N7">
        <f t="shared" ca="1" si="0"/>
        <v>0.48973122345213821</v>
      </c>
      <c r="O7">
        <f t="shared" ca="1" si="0"/>
        <v>0.12643415247966536</v>
      </c>
      <c r="P7">
        <f t="shared" ca="1" si="1"/>
        <v>-2.0534244162283626</v>
      </c>
      <c r="Q7">
        <f t="shared" ca="1" si="1"/>
        <v>1.35222705729189</v>
      </c>
      <c r="R7">
        <f t="shared" ca="1" si="1"/>
        <v>0.46924227945717717</v>
      </c>
      <c r="S7">
        <f t="shared" ca="1" si="1"/>
        <v>3.322810546519591E-2</v>
      </c>
      <c r="T7">
        <f t="shared" ca="1" si="1"/>
        <v>-0.32986029798880595</v>
      </c>
      <c r="U7">
        <f t="shared" ca="1" si="1"/>
        <v>1.0601927113533902</v>
      </c>
      <c r="V7">
        <f t="shared" ca="1" si="1"/>
        <v>-0.92835344981233581</v>
      </c>
      <c r="W7">
        <f t="shared" ca="1" si="1"/>
        <v>0.52954483225412774</v>
      </c>
      <c r="X7">
        <f t="shared" ca="1" si="1"/>
        <v>-1.160579779535319</v>
      </c>
      <c r="Y7">
        <f t="shared" ca="1" si="1"/>
        <v>-0.4848241233912336</v>
      </c>
      <c r="Z7">
        <f t="shared" ca="1" si="2"/>
        <v>-0.10259986233107934</v>
      </c>
      <c r="AA7">
        <f t="shared" ca="1" si="2"/>
        <v>-0.48415132290156521</v>
      </c>
      <c r="AB7">
        <f t="shared" ca="1" si="2"/>
        <v>0.14168436180711766</v>
      </c>
      <c r="AC7">
        <f t="shared" ca="1" si="2"/>
        <v>-1.142265935420125</v>
      </c>
      <c r="AD7">
        <f t="shared" ca="1" si="2"/>
        <v>-0.53105468487143048</v>
      </c>
      <c r="AE7">
        <f t="shared" ca="1" si="2"/>
        <v>-0.83213525438346725</v>
      </c>
      <c r="AF7">
        <f t="shared" ca="1" si="2"/>
        <v>1.2128754145254572</v>
      </c>
      <c r="AG7">
        <f t="shared" ca="1" si="2"/>
        <v>-0.29473633472793215</v>
      </c>
      <c r="AH7">
        <f t="shared" ca="1" si="2"/>
        <v>-1.6139310506727711</v>
      </c>
      <c r="AI7">
        <f t="shared" ca="1" si="2"/>
        <v>0.30005481438162557</v>
      </c>
      <c r="AJ7">
        <f t="shared" ca="1" si="3"/>
        <v>1.1142042951718247</v>
      </c>
      <c r="AK7">
        <f t="shared" ca="1" si="3"/>
        <v>-0.15498987521681146</v>
      </c>
      <c r="AL7">
        <f t="shared" ca="1" si="3"/>
        <v>0.76474794447586714</v>
      </c>
      <c r="AM7">
        <f t="shared" ca="1" si="3"/>
        <v>0.24965804368487438</v>
      </c>
      <c r="AN7">
        <f t="shared" ca="1" si="3"/>
        <v>-9.354443842890757E-2</v>
      </c>
      <c r="AO7">
        <f t="shared" ca="1" si="3"/>
        <v>-2.195288790310326E-2</v>
      </c>
      <c r="AP7">
        <f t="shared" ca="1" si="3"/>
        <v>-1.1989739109868625</v>
      </c>
      <c r="AQ7">
        <f t="shared" ca="1" si="3"/>
        <v>0.22040896321928216</v>
      </c>
      <c r="AR7">
        <f t="shared" ca="1" si="3"/>
        <v>-0.14840530063680904</v>
      </c>
      <c r="AS7">
        <f t="shared" ca="1" si="3"/>
        <v>-0.1812769039319399</v>
      </c>
      <c r="AT7">
        <f t="shared" ca="1" si="4"/>
        <v>1.4204215205383008</v>
      </c>
      <c r="AU7">
        <f t="shared" ca="1" si="4"/>
        <v>-0.24222699454736479</v>
      </c>
      <c r="AV7">
        <f t="shared" ca="1" si="4"/>
        <v>-0.73403276794907291</v>
      </c>
      <c r="AW7">
        <f t="shared" ca="1" si="4"/>
        <v>1.4696568123458154</v>
      </c>
      <c r="AX7">
        <f t="shared" ca="1" si="4"/>
        <v>6.9970799576540843E-2</v>
      </c>
      <c r="AY7">
        <f t="shared" ca="1" si="4"/>
        <v>-1.2455026554005884E-2</v>
      </c>
      <c r="AZ7">
        <f t="shared" ca="1" si="4"/>
        <v>-1.0729062290430467</v>
      </c>
      <c r="BA7">
        <f t="shared" ca="1" si="4"/>
        <v>0.74399008732227123</v>
      </c>
      <c r="BB7">
        <f t="shared" ca="1" si="4"/>
        <v>-0.46739069513343845</v>
      </c>
      <c r="BC7">
        <f t="shared" ca="1" si="4"/>
        <v>0.14808092007035961</v>
      </c>
      <c r="BD7">
        <f t="shared" ca="1" si="5"/>
        <v>-0.27274353405876178</v>
      </c>
      <c r="BE7">
        <f t="shared" ca="1" si="5"/>
        <v>-1.029509037907695</v>
      </c>
      <c r="BF7">
        <f t="shared" ca="1" si="5"/>
        <v>-0.30437256774926996</v>
      </c>
      <c r="BG7">
        <f t="shared" ca="1" si="5"/>
        <v>1.0495031986892347</v>
      </c>
      <c r="BH7">
        <f t="shared" ca="1" si="5"/>
        <v>-4.2468790357130165E-2</v>
      </c>
      <c r="BI7">
        <f t="shared" ca="1" si="5"/>
        <v>-1.6518898903692452</v>
      </c>
      <c r="BJ7">
        <f t="shared" ca="1" si="5"/>
        <v>0.32126832653494436</v>
      </c>
      <c r="BK7">
        <f t="shared" ca="1" si="5"/>
        <v>-0.26808697234771239</v>
      </c>
      <c r="BL7">
        <f t="shared" ca="1" si="5"/>
        <v>0.17477722878095139</v>
      </c>
      <c r="BM7">
        <f t="shared" ca="1" si="5"/>
        <v>3.6680851034370825</v>
      </c>
      <c r="BN7">
        <f t="shared" ca="1" si="6"/>
        <v>1.3622551609145601</v>
      </c>
      <c r="BO7">
        <f t="shared" ca="1" si="6"/>
        <v>0.38679805761177688</v>
      </c>
      <c r="BP7">
        <f t="shared" ca="1" si="6"/>
        <v>-1.1058470486441154</v>
      </c>
      <c r="BQ7">
        <f t="shared" ca="1" si="6"/>
        <v>-2.000107510345142</v>
      </c>
      <c r="BR7">
        <f t="shared" ca="1" si="6"/>
        <v>0.72527251537018511</v>
      </c>
      <c r="BS7">
        <f t="shared" ca="1" si="6"/>
        <v>-1.2779720998699931</v>
      </c>
      <c r="BT7">
        <f t="shared" ca="1" si="6"/>
        <v>0.66067097086190962</v>
      </c>
      <c r="BU7">
        <f t="shared" ca="1" si="6"/>
        <v>-0.96367761410455799</v>
      </c>
      <c r="BV7">
        <f t="shared" ca="1" si="6"/>
        <v>-0.31954928915246922</v>
      </c>
      <c r="BW7">
        <f t="shared" ca="1" si="6"/>
        <v>-9.023584330162291E-3</v>
      </c>
      <c r="BX7">
        <f t="shared" ca="1" si="7"/>
        <v>-1.053619313665745</v>
      </c>
      <c r="BY7">
        <f t="shared" ca="1" si="7"/>
        <v>0.63578887607258405</v>
      </c>
      <c r="BZ7">
        <f t="shared" ca="1" si="7"/>
        <v>0.95926661131188795</v>
      </c>
      <c r="CA7">
        <f t="shared" ca="1" si="7"/>
        <v>-0.47836533229750761</v>
      </c>
      <c r="CB7">
        <f t="shared" ca="1" si="7"/>
        <v>0.33353350902325696</v>
      </c>
      <c r="CC7">
        <f t="shared" ca="1" si="7"/>
        <v>-0.65212304789355091</v>
      </c>
      <c r="CD7">
        <f t="shared" ca="1" si="7"/>
        <v>-1.2818056984901818</v>
      </c>
      <c r="CE7">
        <f t="shared" ca="1" si="7"/>
        <v>-0.79614791949921504</v>
      </c>
      <c r="CF7">
        <f t="shared" ca="1" si="7"/>
        <v>1.46266651458385</v>
      </c>
      <c r="CG7">
        <f t="shared" ca="1" si="7"/>
        <v>-0.98479297854522541</v>
      </c>
      <c r="CH7">
        <f t="shared" ca="1" si="8"/>
        <v>0.56634958430766535</v>
      </c>
      <c r="CI7">
        <f t="shared" ca="1" si="8"/>
        <v>0.14273053585416695</v>
      </c>
      <c r="CJ7">
        <f t="shared" ca="1" si="8"/>
        <v>0.44305861332546542</v>
      </c>
      <c r="CK7">
        <f t="shared" ca="1" si="8"/>
        <v>0.33391822141834748</v>
      </c>
      <c r="CL7">
        <f t="shared" ca="1" si="8"/>
        <v>1.281948858349812</v>
      </c>
      <c r="CM7">
        <f t="shared" ca="1" si="8"/>
        <v>0.11772583977276477</v>
      </c>
      <c r="CN7">
        <f t="shared" ca="1" si="8"/>
        <v>-0.33473259842105246</v>
      </c>
      <c r="CO7">
        <f t="shared" ca="1" si="8"/>
        <v>0.13334244045578256</v>
      </c>
      <c r="CP7">
        <f t="shared" ca="1" si="8"/>
        <v>1.5642095667687679</v>
      </c>
      <c r="CQ7">
        <f t="shared" ca="1" si="8"/>
        <v>2.1045180459942392</v>
      </c>
      <c r="CR7">
        <f t="shared" ca="1" si="9"/>
        <v>0.70997911425181204</v>
      </c>
      <c r="CS7">
        <f t="shared" ca="1" si="9"/>
        <v>0.23863082279575853</v>
      </c>
      <c r="CT7">
        <f t="shared" ca="1" si="9"/>
        <v>0.65105834083273828</v>
      </c>
      <c r="CU7">
        <f t="shared" ca="1" si="9"/>
        <v>-0.45190383636507786</v>
      </c>
      <c r="CV7">
        <f t="shared" ca="1" si="9"/>
        <v>-0.10110997435898716</v>
      </c>
      <c r="CW7">
        <f t="shared" ca="1" si="9"/>
        <v>-2.0351718086054325</v>
      </c>
      <c r="CX7">
        <f t="shared" ca="1" si="9"/>
        <v>2.08996594677976E-2</v>
      </c>
      <c r="CY7">
        <f t="shared" ca="1" si="9"/>
        <v>-1.5855590653463691</v>
      </c>
      <c r="CZ7">
        <f t="shared" ca="1" si="9"/>
        <v>0.78912822894837087</v>
      </c>
      <c r="DA7">
        <f t="shared" ca="1" si="9"/>
        <v>0.20955510451494741</v>
      </c>
    </row>
    <row r="8" spans="5:105" x14ac:dyDescent="0.25">
      <c r="E8">
        <f>S_plus!L8</f>
        <v>6.0000000000000005E-2</v>
      </c>
      <c r="F8">
        <f t="shared" ca="1" si="0"/>
        <v>1.1076901937383454</v>
      </c>
      <c r="G8">
        <f t="shared" ca="1" si="0"/>
        <v>7.4739723274675901E-2</v>
      </c>
      <c r="H8">
        <f t="shared" ca="1" si="0"/>
        <v>0.53378954830948544</v>
      </c>
      <c r="I8">
        <f t="shared" ca="1" si="0"/>
        <v>-0.13017957040626882</v>
      </c>
      <c r="J8">
        <f t="shared" ca="1" si="0"/>
        <v>-3.2398570106736774E-2</v>
      </c>
      <c r="K8">
        <f t="shared" ca="1" si="0"/>
        <v>-0.96960038258918124</v>
      </c>
      <c r="L8">
        <f t="shared" ca="1" si="0"/>
        <v>0.98545723826366827</v>
      </c>
      <c r="M8">
        <f t="shared" ca="1" si="0"/>
        <v>0.5708978550149868</v>
      </c>
      <c r="N8">
        <f t="shared" ca="1" si="0"/>
        <v>0.13383072090088788</v>
      </c>
      <c r="O8">
        <f t="shared" ca="1" si="0"/>
        <v>-0.75025719614295516</v>
      </c>
      <c r="P8">
        <f t="shared" ca="1" si="1"/>
        <v>0.64861939117842282</v>
      </c>
      <c r="Q8">
        <f t="shared" ca="1" si="1"/>
        <v>-0.80741772531886957</v>
      </c>
      <c r="R8">
        <f t="shared" ca="1" si="1"/>
        <v>-0.40323971191340929</v>
      </c>
      <c r="S8">
        <f t="shared" ca="1" si="1"/>
        <v>-1.1238072826764856</v>
      </c>
      <c r="T8">
        <f t="shared" ca="1" si="1"/>
        <v>1.3765629520036231</v>
      </c>
      <c r="U8">
        <f t="shared" ca="1" si="1"/>
        <v>-0.27072911600417349</v>
      </c>
      <c r="V8">
        <f t="shared" ca="1" si="1"/>
        <v>1.3157435028688187</v>
      </c>
      <c r="W8">
        <f t="shared" ca="1" si="1"/>
        <v>0.13662222595233037</v>
      </c>
      <c r="X8">
        <f t="shared" ca="1" si="1"/>
        <v>0.637564808973904</v>
      </c>
      <c r="Y8">
        <f t="shared" ca="1" si="1"/>
        <v>0.87513674170479838</v>
      </c>
      <c r="Z8">
        <f t="shared" ca="1" si="2"/>
        <v>0.98144795741094715</v>
      </c>
      <c r="AA8">
        <f t="shared" ca="1" si="2"/>
        <v>1.2285988565756956</v>
      </c>
      <c r="AB8">
        <f t="shared" ca="1" si="2"/>
        <v>-0.55707716431598275</v>
      </c>
      <c r="AC8">
        <f t="shared" ca="1" si="2"/>
        <v>-2.3494677065608226E-2</v>
      </c>
      <c r="AD8">
        <f t="shared" ca="1" si="2"/>
        <v>-0.61383958910008729</v>
      </c>
      <c r="AE8">
        <f t="shared" ca="1" si="2"/>
        <v>-2.7623996142587908</v>
      </c>
      <c r="AF8">
        <f t="shared" ca="1" si="2"/>
        <v>-0.37117579443134568</v>
      </c>
      <c r="AG8">
        <f t="shared" ca="1" si="2"/>
        <v>-8.4814735403189581E-2</v>
      </c>
      <c r="AH8">
        <f t="shared" ca="1" si="2"/>
        <v>-0.89239734470233867</v>
      </c>
      <c r="AI8">
        <f t="shared" ca="1" si="2"/>
        <v>-0.63025681629495223</v>
      </c>
      <c r="AJ8">
        <f t="shared" ca="1" si="3"/>
        <v>1.3312218874158415</v>
      </c>
      <c r="AK8">
        <f t="shared" ca="1" si="3"/>
        <v>2.012400440696732</v>
      </c>
      <c r="AL8">
        <f t="shared" ca="1" si="3"/>
        <v>1.7301886445991295</v>
      </c>
      <c r="AM8">
        <f t="shared" ca="1" si="3"/>
        <v>8.1598625738536476E-2</v>
      </c>
      <c r="AN8">
        <f t="shared" ca="1" si="3"/>
        <v>-0.38479146191228852</v>
      </c>
      <c r="AO8">
        <f t="shared" ca="1" si="3"/>
        <v>0.61115377789887348</v>
      </c>
      <c r="AP8">
        <f t="shared" ca="1" si="3"/>
        <v>2.1203889066121127</v>
      </c>
      <c r="AQ8">
        <f t="shared" ca="1" si="3"/>
        <v>-1.2978377893169484</v>
      </c>
      <c r="AR8">
        <f t="shared" ca="1" si="3"/>
        <v>0.85387073455899531</v>
      </c>
      <c r="AS8">
        <f t="shared" ca="1" si="3"/>
        <v>0.68528760678023481</v>
      </c>
      <c r="AT8">
        <f t="shared" ca="1" si="4"/>
        <v>0.3840171437848639</v>
      </c>
      <c r="AU8">
        <f t="shared" ca="1" si="4"/>
        <v>0.26203274684308059</v>
      </c>
      <c r="AV8">
        <f t="shared" ca="1" si="4"/>
        <v>1.0610763083620474</v>
      </c>
      <c r="AW8">
        <f t="shared" ca="1" si="4"/>
        <v>0.50100077627955852</v>
      </c>
      <c r="AX8">
        <f t="shared" ca="1" si="4"/>
        <v>0.51433110626093204</v>
      </c>
      <c r="AY8">
        <f t="shared" ca="1" si="4"/>
        <v>-0.45663862087080498</v>
      </c>
      <c r="AZ8">
        <f t="shared" ca="1" si="4"/>
        <v>-0.73533252475069488</v>
      </c>
      <c r="BA8">
        <f t="shared" ca="1" si="4"/>
        <v>1.4293900984225318</v>
      </c>
      <c r="BB8">
        <f t="shared" ca="1" si="4"/>
        <v>2.0877275659953249</v>
      </c>
      <c r="BC8">
        <f t="shared" ca="1" si="4"/>
        <v>-0.73808539151384911</v>
      </c>
      <c r="BD8">
        <f t="shared" ca="1" si="5"/>
        <v>9.9679011919136376E-2</v>
      </c>
      <c r="BE8">
        <f t="shared" ca="1" si="5"/>
        <v>-0.71765392837412301</v>
      </c>
      <c r="BF8">
        <f t="shared" ca="1" si="5"/>
        <v>1.3200509322112104</v>
      </c>
      <c r="BG8">
        <f t="shared" ca="1" si="5"/>
        <v>0.19198152522322426</v>
      </c>
      <c r="BH8">
        <f t="shared" ca="1" si="5"/>
        <v>0.43346875685744607</v>
      </c>
      <c r="BI8">
        <f t="shared" ca="1" si="5"/>
        <v>1.4834416349576307</v>
      </c>
      <c r="BJ8">
        <f t="shared" ca="1" si="5"/>
        <v>0.14277334283205464</v>
      </c>
      <c r="BK8">
        <f t="shared" ca="1" si="5"/>
        <v>0.89510509887631939</v>
      </c>
      <c r="BL8">
        <f t="shared" ca="1" si="5"/>
        <v>0.30195723267626046</v>
      </c>
      <c r="BM8">
        <f t="shared" ca="1" si="5"/>
        <v>0.29757855705003516</v>
      </c>
      <c r="BN8">
        <f t="shared" ca="1" si="6"/>
        <v>-0.5484616186409047</v>
      </c>
      <c r="BO8">
        <f t="shared" ca="1" si="6"/>
        <v>1.4337021771882166</v>
      </c>
      <c r="BP8">
        <f t="shared" ca="1" si="6"/>
        <v>0.57164269221360209</v>
      </c>
      <c r="BQ8">
        <f t="shared" ca="1" si="6"/>
        <v>-0.94361740540723149</v>
      </c>
      <c r="BR8">
        <f t="shared" ca="1" si="6"/>
        <v>1.5270665727063917</v>
      </c>
      <c r="BS8">
        <f t="shared" ca="1" si="6"/>
        <v>1.2829410846408493</v>
      </c>
      <c r="BT8">
        <f t="shared" ca="1" si="6"/>
        <v>-2.5589785798896933</v>
      </c>
      <c r="BU8">
        <f t="shared" ca="1" si="6"/>
        <v>2.8617526740986605</v>
      </c>
      <c r="BV8">
        <f t="shared" ca="1" si="6"/>
        <v>-0.70969725159185926</v>
      </c>
      <c r="BW8">
        <f t="shared" ca="1" si="6"/>
        <v>0.21715429541126399</v>
      </c>
      <c r="BX8">
        <f t="shared" ca="1" si="7"/>
        <v>-1.3844303012999524</v>
      </c>
      <c r="BY8">
        <f t="shared" ca="1" si="7"/>
        <v>-1.3033089523865287</v>
      </c>
      <c r="BZ8">
        <f t="shared" ca="1" si="7"/>
        <v>-1.3936813013260767</v>
      </c>
      <c r="CA8">
        <f t="shared" ca="1" si="7"/>
        <v>1.1451935321462403</v>
      </c>
      <c r="CB8">
        <f t="shared" ca="1" si="7"/>
        <v>1.110296454491509</v>
      </c>
      <c r="CC8">
        <f t="shared" ca="1" si="7"/>
        <v>0.33243735755995546</v>
      </c>
      <c r="CD8">
        <f t="shared" ca="1" si="7"/>
        <v>3.1769306251922931E-2</v>
      </c>
      <c r="CE8">
        <f t="shared" ca="1" si="7"/>
        <v>0.53862878075794096</v>
      </c>
      <c r="CF8">
        <f t="shared" ca="1" si="7"/>
        <v>-0.99261915556209879</v>
      </c>
      <c r="CG8">
        <f t="shared" ca="1" si="7"/>
        <v>0.46278853363376388</v>
      </c>
      <c r="CH8">
        <f t="shared" ca="1" si="8"/>
        <v>0.58438352766026913</v>
      </c>
      <c r="CI8">
        <f t="shared" ca="1" si="8"/>
        <v>0.76198688008211224</v>
      </c>
      <c r="CJ8">
        <f t="shared" ca="1" si="8"/>
        <v>-1.1806102158701797</v>
      </c>
      <c r="CK8">
        <f t="shared" ca="1" si="8"/>
        <v>-1.4205949127088915</v>
      </c>
      <c r="CL8">
        <f t="shared" ca="1" si="8"/>
        <v>-0.60748088005591783</v>
      </c>
      <c r="CM8">
        <f t="shared" ca="1" si="8"/>
        <v>-0.41036374815499027</v>
      </c>
      <c r="CN8">
        <f t="shared" ca="1" si="8"/>
        <v>1.0474901980408873</v>
      </c>
      <c r="CO8">
        <f t="shared" ca="1" si="8"/>
        <v>-0.64451068965906955</v>
      </c>
      <c r="CP8">
        <f t="shared" ca="1" si="8"/>
        <v>1.2050011701884809</v>
      </c>
      <c r="CQ8">
        <f t="shared" ca="1" si="8"/>
        <v>4.2987101341455721E-3</v>
      </c>
      <c r="CR8">
        <f t="shared" ca="1" si="9"/>
        <v>-0.51729416179061949</v>
      </c>
      <c r="CS8">
        <f t="shared" ca="1" si="9"/>
        <v>-1.4497024514988577</v>
      </c>
      <c r="CT8">
        <f t="shared" ca="1" si="9"/>
        <v>4.4458639754474193E-2</v>
      </c>
      <c r="CU8">
        <f t="shared" ca="1" si="9"/>
        <v>-1.1788527917759601</v>
      </c>
      <c r="CV8">
        <f t="shared" ca="1" si="9"/>
        <v>0.29073289464536139</v>
      </c>
      <c r="CW8">
        <f t="shared" ca="1" si="9"/>
        <v>1.346036846517823</v>
      </c>
      <c r="CX8">
        <f t="shared" ca="1" si="9"/>
        <v>-0.4931805643638269</v>
      </c>
      <c r="CY8">
        <f t="shared" ca="1" si="9"/>
        <v>0.81659241576546726</v>
      </c>
      <c r="CZ8">
        <f t="shared" ca="1" si="9"/>
        <v>0.52549809692669558</v>
      </c>
      <c r="DA8">
        <f t="shared" ca="1" si="9"/>
        <v>1.1844292908490892</v>
      </c>
    </row>
    <row r="9" spans="5:105" x14ac:dyDescent="0.25">
      <c r="E9">
        <f>S_plus!L9</f>
        <v>7.0000000000000007E-2</v>
      </c>
      <c r="F9">
        <f t="shared" ca="1" si="0"/>
        <v>0.78092902431727396</v>
      </c>
      <c r="G9">
        <f t="shared" ca="1" si="0"/>
        <v>0.91058163829618122</v>
      </c>
      <c r="H9">
        <f t="shared" ca="1" si="0"/>
        <v>-0.23917568156732047</v>
      </c>
      <c r="I9">
        <f t="shared" ca="1" si="0"/>
        <v>0.67480528797795891</v>
      </c>
      <c r="J9">
        <f t="shared" ca="1" si="0"/>
        <v>-0.17628984182907262</v>
      </c>
      <c r="K9">
        <f t="shared" ca="1" si="0"/>
        <v>0.89196149450234519</v>
      </c>
      <c r="L9">
        <f t="shared" ca="1" si="0"/>
        <v>-0.36720905760926814</v>
      </c>
      <c r="M9">
        <f t="shared" ca="1" si="0"/>
        <v>0.26052586678039741</v>
      </c>
      <c r="N9">
        <f t="shared" ca="1" si="0"/>
        <v>9.6005146422183565E-2</v>
      </c>
      <c r="O9">
        <f t="shared" ca="1" si="0"/>
        <v>-0.52110749896235542</v>
      </c>
      <c r="P9">
        <f t="shared" ca="1" si="1"/>
        <v>-0.37723686741552998</v>
      </c>
      <c r="Q9">
        <f t="shared" ca="1" si="1"/>
        <v>-1.0414324769287864</v>
      </c>
      <c r="R9">
        <f t="shared" ca="1" si="1"/>
        <v>1.9980644005976134</v>
      </c>
      <c r="S9">
        <f t="shared" ca="1" si="1"/>
        <v>0.68794758474665763</v>
      </c>
      <c r="T9">
        <f t="shared" ca="1" si="1"/>
        <v>1.0382329449482566</v>
      </c>
      <c r="U9">
        <f t="shared" ca="1" si="1"/>
        <v>-5.1292562245578793E-2</v>
      </c>
      <c r="V9">
        <f t="shared" ca="1" si="1"/>
        <v>-7.2261496425817709E-2</v>
      </c>
      <c r="W9">
        <f t="shared" ca="1" si="1"/>
        <v>0.32972267862050303</v>
      </c>
      <c r="X9">
        <f t="shared" ca="1" si="1"/>
        <v>2.2625003911656001</v>
      </c>
      <c r="Y9">
        <f t="shared" ca="1" si="1"/>
        <v>0.96772808847253355</v>
      </c>
      <c r="Z9">
        <f t="shared" ca="1" si="2"/>
        <v>-0.74281101599924693</v>
      </c>
      <c r="AA9">
        <f t="shared" ca="1" si="2"/>
        <v>-2.8967765379138806</v>
      </c>
      <c r="AB9">
        <f t="shared" ca="1" si="2"/>
        <v>-0.80255851154486124</v>
      </c>
      <c r="AC9">
        <f t="shared" ca="1" si="2"/>
        <v>1.1991537934645449</v>
      </c>
      <c r="AD9">
        <f t="shared" ca="1" si="2"/>
        <v>0.32755176202902569</v>
      </c>
      <c r="AE9">
        <f t="shared" ca="1" si="2"/>
        <v>0.4648894617337847</v>
      </c>
      <c r="AF9">
        <f t="shared" ca="1" si="2"/>
        <v>4.8809717740876363E-2</v>
      </c>
      <c r="AG9">
        <f t="shared" ca="1" si="2"/>
        <v>-0.3693758376576205</v>
      </c>
      <c r="AH9">
        <f t="shared" ca="1" si="2"/>
        <v>-1.9011083650295371</v>
      </c>
      <c r="AI9">
        <f t="shared" ca="1" si="2"/>
        <v>1.2582160798811721</v>
      </c>
      <c r="AJ9">
        <f t="shared" ca="1" si="3"/>
        <v>1.0443507310722722</v>
      </c>
      <c r="AK9">
        <f t="shared" ca="1" si="3"/>
        <v>0.37116564364452598</v>
      </c>
      <c r="AL9">
        <f t="shared" ca="1" si="3"/>
        <v>-0.67750999061617101</v>
      </c>
      <c r="AM9">
        <f t="shared" ca="1" si="3"/>
        <v>-1.6060012664619687</v>
      </c>
      <c r="AN9">
        <f t="shared" ca="1" si="3"/>
        <v>-0.44021233900077411</v>
      </c>
      <c r="AO9">
        <f t="shared" ca="1" si="3"/>
        <v>-0.1682596208429854</v>
      </c>
      <c r="AP9">
        <f t="shared" ca="1" si="3"/>
        <v>1.6210841828276414</v>
      </c>
      <c r="AQ9">
        <f t="shared" ca="1" si="3"/>
        <v>-1.9324365935256014</v>
      </c>
      <c r="AR9">
        <f t="shared" ca="1" si="3"/>
        <v>-0.96958341619076582</v>
      </c>
      <c r="AS9">
        <f t="shared" ca="1" si="3"/>
        <v>-1.2575792557681804</v>
      </c>
      <c r="AT9">
        <f t="shared" ca="1" si="4"/>
        <v>0.40842352074802923</v>
      </c>
      <c r="AU9">
        <f t="shared" ca="1" si="4"/>
        <v>-0.21778142978691831</v>
      </c>
      <c r="AV9">
        <f t="shared" ca="1" si="4"/>
        <v>-0.37605217122191031</v>
      </c>
      <c r="AW9">
        <f t="shared" ca="1" si="4"/>
        <v>-0.87512774425907192</v>
      </c>
      <c r="AX9">
        <f t="shared" ca="1" si="4"/>
        <v>3.4296053198123636E-2</v>
      </c>
      <c r="AY9">
        <f t="shared" ca="1" si="4"/>
        <v>-1.5250364613147538</v>
      </c>
      <c r="AZ9">
        <f t="shared" ca="1" si="4"/>
        <v>1.7747612282178091</v>
      </c>
      <c r="BA9">
        <f t="shared" ca="1" si="4"/>
        <v>-0.10356771797998124</v>
      </c>
      <c r="BB9">
        <f t="shared" ca="1" si="4"/>
        <v>-0.54329758222505409</v>
      </c>
      <c r="BC9">
        <f t="shared" ca="1" si="4"/>
        <v>0.36540851015389991</v>
      </c>
      <c r="BD9">
        <f t="shared" ca="1" si="5"/>
        <v>-0.30668373142851219</v>
      </c>
      <c r="BE9">
        <f t="shared" ca="1" si="5"/>
        <v>3.6524597347594279</v>
      </c>
      <c r="BF9">
        <f t="shared" ca="1" si="5"/>
        <v>-8.0419090664391013E-2</v>
      </c>
      <c r="BG9">
        <f t="shared" ca="1" si="5"/>
        <v>-0.48034365360021164</v>
      </c>
      <c r="BH9">
        <f t="shared" ca="1" si="5"/>
        <v>-0.17096567343404548</v>
      </c>
      <c r="BI9">
        <f t="shared" ca="1" si="5"/>
        <v>-0.47486990623000841</v>
      </c>
      <c r="BJ9">
        <f t="shared" ca="1" si="5"/>
        <v>1.5467440953930354</v>
      </c>
      <c r="BK9">
        <f t="shared" ca="1" si="5"/>
        <v>-0.45302052229246931</v>
      </c>
      <c r="BL9">
        <f t="shared" ca="1" si="5"/>
        <v>1.3095585103426958E-2</v>
      </c>
      <c r="BM9">
        <f t="shared" ca="1" si="5"/>
        <v>1.006710925686449</v>
      </c>
      <c r="BN9">
        <f t="shared" ca="1" si="6"/>
        <v>0.26395184152061996</v>
      </c>
      <c r="BO9">
        <f t="shared" ca="1" si="6"/>
        <v>0.38556177983991818</v>
      </c>
      <c r="BP9">
        <f t="shared" ca="1" si="6"/>
        <v>-0.98956688290072559</v>
      </c>
      <c r="BQ9">
        <f t="shared" ca="1" si="6"/>
        <v>1.0763552524240667</v>
      </c>
      <c r="BR9">
        <f t="shared" ca="1" si="6"/>
        <v>5.8809159161791975E-2</v>
      </c>
      <c r="BS9">
        <f t="shared" ca="1" si="6"/>
        <v>0.25021436473166553</v>
      </c>
      <c r="BT9">
        <f t="shared" ca="1" si="6"/>
        <v>-1.1355200237868213</v>
      </c>
      <c r="BU9">
        <f t="shared" ca="1" si="6"/>
        <v>-0.50143516968633806</v>
      </c>
      <c r="BV9">
        <f t="shared" ca="1" si="6"/>
        <v>-1.7990074654747403</v>
      </c>
      <c r="BW9">
        <f t="shared" ca="1" si="6"/>
        <v>-0.37210729283522831</v>
      </c>
      <c r="BX9">
        <f t="shared" ca="1" si="7"/>
        <v>-0.12097181280644667</v>
      </c>
      <c r="BY9">
        <f t="shared" ca="1" si="7"/>
        <v>0.30438390164548396</v>
      </c>
      <c r="BZ9">
        <f t="shared" ca="1" si="7"/>
        <v>-0.43146726434074029</v>
      </c>
      <c r="CA9">
        <f t="shared" ca="1" si="7"/>
        <v>-0.23799677184822923</v>
      </c>
      <c r="CB9">
        <f t="shared" ca="1" si="7"/>
        <v>0.89784740397028751</v>
      </c>
      <c r="CC9">
        <f t="shared" ca="1" si="7"/>
        <v>-0.97234260590583244</v>
      </c>
      <c r="CD9">
        <f t="shared" ca="1" si="7"/>
        <v>-0.67442284176561607</v>
      </c>
      <c r="CE9">
        <f t="shared" ca="1" si="7"/>
        <v>0.96567168352003485</v>
      </c>
      <c r="CF9">
        <f t="shared" ca="1" si="7"/>
        <v>-6.5424760934605128E-2</v>
      </c>
      <c r="CG9">
        <f t="shared" ca="1" si="7"/>
        <v>-0.43078812653943982</v>
      </c>
      <c r="CH9">
        <f t="shared" ca="1" si="8"/>
        <v>0.6295688775559487</v>
      </c>
      <c r="CI9">
        <f t="shared" ca="1" si="8"/>
        <v>0.22084394568694507</v>
      </c>
      <c r="CJ9">
        <f t="shared" ca="1" si="8"/>
        <v>1.3501708495565348</v>
      </c>
      <c r="CK9">
        <f t="shared" ca="1" si="8"/>
        <v>-0.41312765820900654</v>
      </c>
      <c r="CL9">
        <f t="shared" ca="1" si="8"/>
        <v>-0.41193135498570405</v>
      </c>
      <c r="CM9">
        <f t="shared" ca="1" si="8"/>
        <v>0.75554197815478885</v>
      </c>
      <c r="CN9">
        <f t="shared" ca="1" si="8"/>
        <v>-0.43486299217890034</v>
      </c>
      <c r="CO9">
        <f t="shared" ca="1" si="8"/>
        <v>1.0518938104488726</v>
      </c>
      <c r="CP9">
        <f t="shared" ca="1" si="8"/>
        <v>-0.44565674317504245</v>
      </c>
      <c r="CQ9">
        <f t="shared" ca="1" si="8"/>
        <v>-2.0637893793766393</v>
      </c>
      <c r="CR9">
        <f t="shared" ca="1" si="9"/>
        <v>-1.5702300944120333</v>
      </c>
      <c r="CS9">
        <f t="shared" ca="1" si="9"/>
        <v>2.4201004096707033</v>
      </c>
      <c r="CT9">
        <f t="shared" ca="1" si="9"/>
        <v>-0.30502822167362764</v>
      </c>
      <c r="CU9">
        <f t="shared" ca="1" si="9"/>
        <v>0.27848857021732631</v>
      </c>
      <c r="CV9">
        <f t="shared" ca="1" si="9"/>
        <v>0.71750621928282299</v>
      </c>
      <c r="CW9">
        <f t="shared" ca="1" si="9"/>
        <v>-0.74741003099737024</v>
      </c>
      <c r="CX9">
        <f t="shared" ca="1" si="9"/>
        <v>0.73375506504734778</v>
      </c>
      <c r="CY9">
        <f t="shared" ca="1" si="9"/>
        <v>-5.8076587458523524E-3</v>
      </c>
      <c r="CZ9">
        <f t="shared" ca="1" si="9"/>
        <v>1.1617161573046837</v>
      </c>
      <c r="DA9">
        <f t="shared" ca="1" si="9"/>
        <v>0.22795903813132964</v>
      </c>
    </row>
    <row r="10" spans="5:105" x14ac:dyDescent="0.25">
      <c r="E10">
        <f>S_plus!L10</f>
        <v>0.08</v>
      </c>
      <c r="F10">
        <f t="shared" ca="1" si="0"/>
        <v>-2.3043049848030395E-2</v>
      </c>
      <c r="G10">
        <f t="shared" ca="1" si="0"/>
        <v>-0.34630889288344135</v>
      </c>
      <c r="H10">
        <f t="shared" ca="1" si="0"/>
        <v>1.2045237489466238</v>
      </c>
      <c r="I10">
        <f t="shared" ca="1" si="0"/>
        <v>-0.51478608911012602</v>
      </c>
      <c r="J10">
        <f t="shared" ca="1" si="0"/>
        <v>-3.4002694089426626E-2</v>
      </c>
      <c r="K10">
        <f t="shared" ca="1" si="0"/>
        <v>-0.16372105961342026</v>
      </c>
      <c r="L10">
        <f t="shared" ca="1" si="0"/>
        <v>-1.4150815877933072</v>
      </c>
      <c r="M10">
        <f t="shared" ca="1" si="0"/>
        <v>-0.61758619765371614</v>
      </c>
      <c r="N10">
        <f t="shared" ca="1" si="0"/>
        <v>0.6504434539753603</v>
      </c>
      <c r="O10">
        <f t="shared" ca="1" si="0"/>
        <v>-0.71499892732302339</v>
      </c>
      <c r="P10">
        <f t="shared" ca="1" si="1"/>
        <v>-0.31599809006367446</v>
      </c>
      <c r="Q10">
        <f t="shared" ca="1" si="1"/>
        <v>-0.31897768300298968</v>
      </c>
      <c r="R10">
        <f t="shared" ca="1" si="1"/>
        <v>-0.33798840862200863</v>
      </c>
      <c r="S10">
        <f t="shared" ca="1" si="1"/>
        <v>0.69532849954847797</v>
      </c>
      <c r="T10">
        <f t="shared" ca="1" si="1"/>
        <v>0.16612479638218725</v>
      </c>
      <c r="U10">
        <f t="shared" ca="1" si="1"/>
        <v>-0.34118121093516018</v>
      </c>
      <c r="V10">
        <f t="shared" ca="1" si="1"/>
        <v>2.7655475660138158E-2</v>
      </c>
      <c r="W10">
        <f t="shared" ca="1" si="1"/>
        <v>-0.48313301220686056</v>
      </c>
      <c r="X10">
        <f t="shared" ca="1" si="1"/>
        <v>-0.36299016259650763</v>
      </c>
      <c r="Y10">
        <f t="shared" ca="1" si="1"/>
        <v>9.6871943966583399E-2</v>
      </c>
      <c r="Z10">
        <f t="shared" ca="1" si="2"/>
        <v>1.5240872696604539</v>
      </c>
      <c r="AA10">
        <f t="shared" ca="1" si="2"/>
        <v>0.13057171546995666</v>
      </c>
      <c r="AB10">
        <f t="shared" ca="1" si="2"/>
        <v>-0.61188302121473592</v>
      </c>
      <c r="AC10">
        <f t="shared" ca="1" si="2"/>
        <v>0.6696080729237136</v>
      </c>
      <c r="AD10">
        <f t="shared" ca="1" si="2"/>
        <v>-1.0768515131363365</v>
      </c>
      <c r="AE10">
        <f t="shared" ca="1" si="2"/>
        <v>-0.21260053190303366</v>
      </c>
      <c r="AF10">
        <f t="shared" ca="1" si="2"/>
        <v>-0.93407972155566099</v>
      </c>
      <c r="AG10">
        <f t="shared" ca="1" si="2"/>
        <v>8.0905646038060108E-2</v>
      </c>
      <c r="AH10">
        <f t="shared" ca="1" si="2"/>
        <v>1.0806134579469375</v>
      </c>
      <c r="AI10">
        <f t="shared" ca="1" si="2"/>
        <v>-1.2949643139864548</v>
      </c>
      <c r="AJ10">
        <f t="shared" ca="1" si="3"/>
        <v>0.6655157822082719</v>
      </c>
      <c r="AK10">
        <f t="shared" ca="1" si="3"/>
        <v>-1.4486710727914625</v>
      </c>
      <c r="AL10">
        <f t="shared" ca="1" si="3"/>
        <v>0.95659842765193415</v>
      </c>
      <c r="AM10">
        <f t="shared" ca="1" si="3"/>
        <v>-1.35038946310796</v>
      </c>
      <c r="AN10">
        <f t="shared" ca="1" si="3"/>
        <v>1.2969156150340497</v>
      </c>
      <c r="AO10">
        <f t="shared" ca="1" si="3"/>
        <v>0.55730201778593169</v>
      </c>
      <c r="AP10">
        <f t="shared" ca="1" si="3"/>
        <v>0.76641642521220699</v>
      </c>
      <c r="AQ10">
        <f t="shared" ca="1" si="3"/>
        <v>-0.23980163217618841</v>
      </c>
      <c r="AR10">
        <f t="shared" ca="1" si="3"/>
        <v>-7.977895751471073E-2</v>
      </c>
      <c r="AS10">
        <f t="shared" ca="1" si="3"/>
        <v>-0.33315168102376713</v>
      </c>
      <c r="AT10">
        <f t="shared" ca="1" si="4"/>
        <v>-0.40019012405129833</v>
      </c>
      <c r="AU10">
        <f t="shared" ca="1" si="4"/>
        <v>-0.64967533078853579</v>
      </c>
      <c r="AV10">
        <f t="shared" ca="1" si="4"/>
        <v>0.25395514500825311</v>
      </c>
      <c r="AW10">
        <f t="shared" ca="1" si="4"/>
        <v>1.202079290591225</v>
      </c>
      <c r="AX10">
        <f t="shared" ca="1" si="4"/>
        <v>-1.9646702126862798</v>
      </c>
      <c r="AY10">
        <f t="shared" ca="1" si="4"/>
        <v>-1.9357476341506918</v>
      </c>
      <c r="AZ10">
        <f t="shared" ca="1" si="4"/>
        <v>-3.8062129441405024E-2</v>
      </c>
      <c r="BA10">
        <f t="shared" ca="1" si="4"/>
        <v>-0.1890425458117416</v>
      </c>
      <c r="BB10">
        <f t="shared" ca="1" si="4"/>
        <v>0.84443761379743243</v>
      </c>
      <c r="BC10">
        <f t="shared" ca="1" si="4"/>
        <v>-0.78556248956388808</v>
      </c>
      <c r="BD10">
        <f t="shared" ca="1" si="5"/>
        <v>0.21739717531317293</v>
      </c>
      <c r="BE10">
        <f t="shared" ca="1" si="5"/>
        <v>-1.5225683994122239</v>
      </c>
      <c r="BF10">
        <f t="shared" ca="1" si="5"/>
        <v>0.20221750066628669</v>
      </c>
      <c r="BG10">
        <f t="shared" ca="1" si="5"/>
        <v>-0.37477643511692016</v>
      </c>
      <c r="BH10">
        <f t="shared" ca="1" si="5"/>
        <v>1.0138899140737674</v>
      </c>
      <c r="BI10">
        <f t="shared" ca="1" si="5"/>
        <v>1.1709606897435454</v>
      </c>
      <c r="BJ10">
        <f t="shared" ca="1" si="5"/>
        <v>0.22713046735461556</v>
      </c>
      <c r="BK10">
        <f t="shared" ca="1" si="5"/>
        <v>0.69561351856927778</v>
      </c>
      <c r="BL10">
        <f t="shared" ca="1" si="5"/>
        <v>-0.36782338668801434</v>
      </c>
      <c r="BM10">
        <f t="shared" ca="1" si="5"/>
        <v>0.28262043636763862</v>
      </c>
      <c r="BN10">
        <f t="shared" ca="1" si="6"/>
        <v>0.79243826043071064</v>
      </c>
      <c r="BO10">
        <f t="shared" ca="1" si="6"/>
        <v>9.2535493522625079E-2</v>
      </c>
      <c r="BP10">
        <f t="shared" ca="1" si="6"/>
        <v>0.5314706313989197</v>
      </c>
      <c r="BQ10">
        <f t="shared" ca="1" si="6"/>
        <v>-0.25897249022118579</v>
      </c>
      <c r="BR10">
        <f t="shared" ca="1" si="6"/>
        <v>0.55874914276220933</v>
      </c>
      <c r="BS10">
        <f t="shared" ca="1" si="6"/>
        <v>-1.3172607709965249</v>
      </c>
      <c r="BT10">
        <f t="shared" ca="1" si="6"/>
        <v>1.4736507320780854</v>
      </c>
      <c r="BU10">
        <f t="shared" ca="1" si="6"/>
        <v>0.35281374240059205</v>
      </c>
      <c r="BV10">
        <f t="shared" ca="1" si="6"/>
        <v>-2.1701783273038249</v>
      </c>
      <c r="BW10">
        <f t="shared" ca="1" si="6"/>
        <v>1.7449212683136865E-2</v>
      </c>
      <c r="BX10">
        <f t="shared" ca="1" si="7"/>
        <v>1.6501999946576416</v>
      </c>
      <c r="BY10">
        <f t="shared" ca="1" si="7"/>
        <v>1.0893524424279426</v>
      </c>
      <c r="BZ10">
        <f t="shared" ca="1" si="7"/>
        <v>-1.2701300725916675</v>
      </c>
      <c r="CA10">
        <f t="shared" ca="1" si="7"/>
        <v>-0.46295703076935119</v>
      </c>
      <c r="CB10">
        <f t="shared" ca="1" si="7"/>
        <v>2.0112666647340753</v>
      </c>
      <c r="CC10">
        <f t="shared" ca="1" si="7"/>
        <v>0.27276840278609321</v>
      </c>
      <c r="CD10">
        <f t="shared" ca="1" si="7"/>
        <v>-0.61882399592851145</v>
      </c>
      <c r="CE10">
        <f t="shared" ca="1" si="7"/>
        <v>-0.44709882974763826</v>
      </c>
      <c r="CF10">
        <f t="shared" ca="1" si="7"/>
        <v>0.48592864756531251</v>
      </c>
      <c r="CG10">
        <f t="shared" ca="1" si="7"/>
        <v>-2.8991123688992309</v>
      </c>
      <c r="CH10">
        <f t="shared" ca="1" si="8"/>
        <v>1.6245741613464122</v>
      </c>
      <c r="CI10">
        <f t="shared" ca="1" si="8"/>
        <v>-0.97901545113862631</v>
      </c>
      <c r="CJ10">
        <f t="shared" ca="1" si="8"/>
        <v>2.838678234203555</v>
      </c>
      <c r="CK10">
        <f t="shared" ca="1" si="8"/>
        <v>1.7103689320424478</v>
      </c>
      <c r="CL10">
        <f t="shared" ca="1" si="8"/>
        <v>0.68671113641594528</v>
      </c>
      <c r="CM10">
        <f t="shared" ca="1" si="8"/>
        <v>0.79567807938196855</v>
      </c>
      <c r="CN10">
        <f t="shared" ca="1" si="8"/>
        <v>-1.8910073891281738</v>
      </c>
      <c r="CO10">
        <f t="shared" ca="1" si="8"/>
        <v>-0.15732534959717623</v>
      </c>
      <c r="CP10">
        <f t="shared" ca="1" si="8"/>
        <v>1.7245908409129043</v>
      </c>
      <c r="CQ10">
        <f t="shared" ca="1" si="8"/>
        <v>1.1677368697159178</v>
      </c>
      <c r="CR10">
        <f t="shared" ca="1" si="9"/>
        <v>-1.0019320257742574</v>
      </c>
      <c r="CS10">
        <f t="shared" ca="1" si="9"/>
        <v>-4.3519541780489675E-2</v>
      </c>
      <c r="CT10">
        <f t="shared" ca="1" si="9"/>
        <v>1.6568302717022116</v>
      </c>
      <c r="CU10">
        <f t="shared" ca="1" si="9"/>
        <v>0.76937344697744914</v>
      </c>
      <c r="CV10">
        <f t="shared" ca="1" si="9"/>
        <v>-0.79459190996667628</v>
      </c>
      <c r="CW10">
        <f t="shared" ca="1" si="9"/>
        <v>1.5444959059465946</v>
      </c>
      <c r="CX10">
        <f t="shared" ca="1" si="9"/>
        <v>-0.70801597244155912</v>
      </c>
      <c r="CY10">
        <f t="shared" ca="1" si="9"/>
        <v>-0.88808678034612787</v>
      </c>
      <c r="CZ10">
        <f t="shared" ca="1" si="9"/>
        <v>-0.43435808519511077</v>
      </c>
      <c r="DA10">
        <f t="shared" ca="1" si="9"/>
        <v>-0.87294373069084363</v>
      </c>
    </row>
    <row r="11" spans="5:105" x14ac:dyDescent="0.25">
      <c r="E11">
        <f>S_plus!L11</f>
        <v>0.09</v>
      </c>
      <c r="F11">
        <f t="shared" ca="1" si="0"/>
        <v>-0.9777173045827604</v>
      </c>
      <c r="G11">
        <f t="shared" ca="1" si="0"/>
        <v>-0.63859787877624852</v>
      </c>
      <c r="H11">
        <f t="shared" ca="1" si="0"/>
        <v>2.2233004907781049</v>
      </c>
      <c r="I11">
        <f t="shared" ca="1" si="0"/>
        <v>1.9912814215102557</v>
      </c>
      <c r="J11">
        <f t="shared" ca="1" si="0"/>
        <v>-0.58170312896155119</v>
      </c>
      <c r="K11">
        <f t="shared" ca="1" si="0"/>
        <v>0.60779976298169647</v>
      </c>
      <c r="L11">
        <f t="shared" ca="1" si="0"/>
        <v>0.41621116151686666</v>
      </c>
      <c r="M11">
        <f t="shared" ca="1" si="0"/>
        <v>-1.3522449519188167</v>
      </c>
      <c r="N11">
        <f t="shared" ca="1" si="0"/>
        <v>0.9449979773431193</v>
      </c>
      <c r="O11">
        <f t="shared" ca="1" si="0"/>
        <v>-9.0095443893767169E-2</v>
      </c>
      <c r="P11">
        <f t="shared" ca="1" si="1"/>
        <v>-0.94175860434551983</v>
      </c>
      <c r="Q11">
        <f t="shared" ca="1" si="1"/>
        <v>0.67535792976066544</v>
      </c>
      <c r="R11">
        <f t="shared" ca="1" si="1"/>
        <v>2.0966448767219865</v>
      </c>
      <c r="S11">
        <f t="shared" ca="1" si="1"/>
        <v>0.75022022838046176</v>
      </c>
      <c r="T11">
        <f t="shared" ca="1" si="1"/>
        <v>0.69163473300368772</v>
      </c>
      <c r="U11">
        <f t="shared" ca="1" si="1"/>
        <v>-1.418040757589192</v>
      </c>
      <c r="V11">
        <f t="shared" ca="1" si="1"/>
        <v>-1.5836449691987731</v>
      </c>
      <c r="W11">
        <f t="shared" ca="1" si="1"/>
        <v>-1.6522485090768244</v>
      </c>
      <c r="X11">
        <f t="shared" ca="1" si="1"/>
        <v>0.67357219648280153</v>
      </c>
      <c r="Y11">
        <f t="shared" ca="1" si="1"/>
        <v>-0.30383955343610403</v>
      </c>
      <c r="Z11">
        <f t="shared" ca="1" si="2"/>
        <v>-0.35249579393507335</v>
      </c>
      <c r="AA11">
        <f t="shared" ca="1" si="2"/>
        <v>-5.2747660611479445E-2</v>
      </c>
      <c r="AB11">
        <f t="shared" ca="1" si="2"/>
        <v>1.6185605197035244</v>
      </c>
      <c r="AC11">
        <f t="shared" ca="1" si="2"/>
        <v>0.67364625096415087</v>
      </c>
      <c r="AD11">
        <f t="shared" ca="1" si="2"/>
        <v>-1.8461048653487655</v>
      </c>
      <c r="AE11">
        <f t="shared" ca="1" si="2"/>
        <v>-0.39136705266807592</v>
      </c>
      <c r="AF11">
        <f t="shared" ca="1" si="2"/>
        <v>-0.39782729412155465</v>
      </c>
      <c r="AG11">
        <f t="shared" ca="1" si="2"/>
        <v>0.25264653699163969</v>
      </c>
      <c r="AH11">
        <f t="shared" ca="1" si="2"/>
        <v>-1.0087611241054701</v>
      </c>
      <c r="AI11">
        <f t="shared" ca="1" si="2"/>
        <v>-0.27034507138818048</v>
      </c>
      <c r="AJ11">
        <f t="shared" ca="1" si="3"/>
        <v>0.49052643086831421</v>
      </c>
      <c r="AK11">
        <f t="shared" ca="1" si="3"/>
        <v>1.0870002773278538</v>
      </c>
      <c r="AL11">
        <f t="shared" ca="1" si="3"/>
        <v>-2.1003668938506181</v>
      </c>
      <c r="AM11">
        <f t="shared" ca="1" si="3"/>
        <v>-0.16220204764011664</v>
      </c>
      <c r="AN11">
        <f t="shared" ca="1" si="3"/>
        <v>0.32556438453779718</v>
      </c>
      <c r="AO11">
        <f t="shared" ca="1" si="3"/>
        <v>1.6647390894147869</v>
      </c>
      <c r="AP11">
        <f t="shared" ca="1" si="3"/>
        <v>-1.1110275060579848</v>
      </c>
      <c r="AQ11">
        <f t="shared" ca="1" si="3"/>
        <v>1.1221018207267364</v>
      </c>
      <c r="AR11">
        <f t="shared" ca="1" si="3"/>
        <v>0.36740246884291528</v>
      </c>
      <c r="AS11">
        <f t="shared" ca="1" si="3"/>
        <v>-0.67865355012503226</v>
      </c>
      <c r="AT11">
        <f t="shared" ca="1" si="4"/>
        <v>0.43468816010091188</v>
      </c>
      <c r="AU11">
        <f t="shared" ca="1" si="4"/>
        <v>0.25446192567528086</v>
      </c>
      <c r="AV11">
        <f t="shared" ca="1" si="4"/>
        <v>-1.1036657977653206</v>
      </c>
      <c r="AW11">
        <f t="shared" ca="1" si="4"/>
        <v>1.723347672222836</v>
      </c>
      <c r="AX11">
        <f t="shared" ca="1" si="4"/>
        <v>-0.37124765503369067</v>
      </c>
      <c r="AY11">
        <f t="shared" ca="1" si="4"/>
        <v>-1.2002361427210568</v>
      </c>
      <c r="AZ11">
        <f t="shared" ca="1" si="4"/>
        <v>0.45688800955978326</v>
      </c>
      <c r="BA11">
        <f t="shared" ca="1" si="4"/>
        <v>-0.47078057366066578</v>
      </c>
      <c r="BB11">
        <f t="shared" ca="1" si="4"/>
        <v>-6.1018574372154577E-2</v>
      </c>
      <c r="BC11">
        <f t="shared" ca="1" si="4"/>
        <v>1.8970473733210464</v>
      </c>
      <c r="BD11">
        <f t="shared" ca="1" si="5"/>
        <v>-1.0518197997907974</v>
      </c>
      <c r="BE11">
        <f t="shared" ca="1" si="5"/>
        <v>0.10547845935448057</v>
      </c>
      <c r="BF11">
        <f t="shared" ca="1" si="5"/>
        <v>-0.9168161096401366</v>
      </c>
      <c r="BG11">
        <f t="shared" ca="1" si="5"/>
        <v>1.1796309124126871</v>
      </c>
      <c r="BH11">
        <f t="shared" ca="1" si="5"/>
        <v>0.55290638954728155</v>
      </c>
      <c r="BI11">
        <f t="shared" ca="1" si="5"/>
        <v>-1.1071202299505996</v>
      </c>
      <c r="BJ11">
        <f t="shared" ca="1" si="5"/>
        <v>1.9249938140051648</v>
      </c>
      <c r="BK11">
        <f t="shared" ca="1" si="5"/>
        <v>0.54828683656083121</v>
      </c>
      <c r="BL11">
        <f t="shared" ca="1" si="5"/>
        <v>0.16939499331725358</v>
      </c>
      <c r="BM11">
        <f t="shared" ca="1" si="5"/>
        <v>-0.59916339808747332</v>
      </c>
      <c r="BN11">
        <f t="shared" ca="1" si="6"/>
        <v>-0.18631164227385216</v>
      </c>
      <c r="BO11">
        <f t="shared" ca="1" si="6"/>
        <v>-0.90732880079858957</v>
      </c>
      <c r="BP11">
        <f t="shared" ca="1" si="6"/>
        <v>0.68192781691843762</v>
      </c>
      <c r="BQ11">
        <f t="shared" ca="1" si="6"/>
        <v>0.3211008464703502</v>
      </c>
      <c r="BR11">
        <f t="shared" ca="1" si="6"/>
        <v>7.3580434129145106E-3</v>
      </c>
      <c r="BS11">
        <f t="shared" ca="1" si="6"/>
        <v>0.24307122400060729</v>
      </c>
      <c r="BT11">
        <f t="shared" ca="1" si="6"/>
        <v>-0.89999058064169102</v>
      </c>
      <c r="BU11">
        <f t="shared" ca="1" si="6"/>
        <v>8.3028973923651786E-2</v>
      </c>
      <c r="BV11">
        <f t="shared" ca="1" si="6"/>
        <v>0.52707883002065659</v>
      </c>
      <c r="BW11">
        <f t="shared" ca="1" si="6"/>
        <v>-0.93059219835156892</v>
      </c>
      <c r="BX11">
        <f t="shared" ca="1" si="7"/>
        <v>-0.25451182641594011</v>
      </c>
      <c r="BY11">
        <f t="shared" ca="1" si="7"/>
        <v>0.66762471845485105</v>
      </c>
      <c r="BZ11">
        <f t="shared" ca="1" si="7"/>
        <v>-1.5729878414471443</v>
      </c>
      <c r="CA11">
        <f t="shared" ca="1" si="7"/>
        <v>1.4256749146112706</v>
      </c>
      <c r="CB11">
        <f t="shared" ca="1" si="7"/>
        <v>-0.34970075691795477</v>
      </c>
      <c r="CC11">
        <f t="shared" ca="1" si="7"/>
        <v>0.84826428423828393</v>
      </c>
      <c r="CD11">
        <f t="shared" ca="1" si="7"/>
        <v>-0.21647429990553008</v>
      </c>
      <c r="CE11">
        <f t="shared" ca="1" si="7"/>
        <v>5.5162092907173041E-2</v>
      </c>
      <c r="CF11">
        <f t="shared" ca="1" si="7"/>
        <v>0.18190173709062898</v>
      </c>
      <c r="CG11">
        <f t="shared" ca="1" si="7"/>
        <v>-1.7764581634844949</v>
      </c>
      <c r="CH11">
        <f t="shared" ca="1" si="8"/>
        <v>-0.15194051024646574</v>
      </c>
      <c r="CI11">
        <f t="shared" ca="1" si="8"/>
        <v>0.16660901134875214</v>
      </c>
      <c r="CJ11">
        <f t="shared" ca="1" si="8"/>
        <v>0.71493275444119375</v>
      </c>
      <c r="CK11">
        <f t="shared" ca="1" si="8"/>
        <v>0.21132225852531605</v>
      </c>
      <c r="CL11">
        <f t="shared" ca="1" si="8"/>
        <v>0.70291463937782028</v>
      </c>
      <c r="CM11">
        <f t="shared" ca="1" si="8"/>
        <v>-0.96468924474518258</v>
      </c>
      <c r="CN11">
        <f t="shared" ca="1" si="8"/>
        <v>-0.49515847477292901</v>
      </c>
      <c r="CO11">
        <f t="shared" ca="1" si="8"/>
        <v>-1.0929015756530509</v>
      </c>
      <c r="CP11">
        <f t="shared" ca="1" si="8"/>
        <v>0.85034665869133563</v>
      </c>
      <c r="CQ11">
        <f t="shared" ca="1" si="8"/>
        <v>-0.38535499873668216</v>
      </c>
      <c r="CR11">
        <f t="shared" ca="1" si="9"/>
        <v>-0.79868952608734356</v>
      </c>
      <c r="CS11">
        <f t="shared" ca="1" si="9"/>
        <v>0.26435011281628729</v>
      </c>
      <c r="CT11">
        <f t="shared" ca="1" si="9"/>
        <v>-1.0702773448869993</v>
      </c>
      <c r="CU11">
        <f t="shared" ca="1" si="9"/>
        <v>0.61029973232968227</v>
      </c>
      <c r="CV11">
        <f t="shared" ca="1" si="9"/>
        <v>-0.92470103359115363</v>
      </c>
      <c r="CW11">
        <f t="shared" ca="1" si="9"/>
        <v>2.2865933296108332</v>
      </c>
      <c r="CX11">
        <f t="shared" ca="1" si="9"/>
        <v>-0.19186112476941386</v>
      </c>
      <c r="CY11">
        <f t="shared" ca="1" si="9"/>
        <v>-0.29268301837861715</v>
      </c>
      <c r="CZ11">
        <f t="shared" ca="1" si="9"/>
        <v>-0.82633624840212683</v>
      </c>
      <c r="DA11">
        <f t="shared" ca="1" si="9"/>
        <v>1.6637995334196911</v>
      </c>
    </row>
    <row r="12" spans="5:105" x14ac:dyDescent="0.25">
      <c r="E12">
        <f>S_plus!L12</f>
        <v>9.9999999999999992E-2</v>
      </c>
      <c r="F12">
        <f t="shared" ca="1" si="0"/>
        <v>-1.3291561687077991</v>
      </c>
      <c r="G12">
        <f t="shared" ca="1" si="0"/>
        <v>-1.3962443555884461</v>
      </c>
      <c r="H12">
        <f t="shared" ca="1" si="0"/>
        <v>-1.0497392679089219</v>
      </c>
      <c r="I12">
        <f t="shared" ca="1" si="0"/>
        <v>-0.90610792560291353</v>
      </c>
      <c r="J12">
        <f t="shared" ca="1" si="0"/>
        <v>-1.6930078527494619</v>
      </c>
      <c r="K12">
        <f t="shared" ca="1" si="0"/>
        <v>0.11991063035011543</v>
      </c>
      <c r="L12">
        <f t="shared" ca="1" si="0"/>
        <v>2.0899658563041457</v>
      </c>
      <c r="M12">
        <f t="shared" ca="1" si="0"/>
        <v>0.20419371879411038</v>
      </c>
      <c r="N12">
        <f t="shared" ca="1" si="0"/>
        <v>1.2863707095398778</v>
      </c>
      <c r="O12">
        <f t="shared" ca="1" si="0"/>
        <v>-0.42420607673809047</v>
      </c>
      <c r="P12">
        <f t="shared" ca="1" si="1"/>
        <v>-0.43749891655583012</v>
      </c>
      <c r="Q12">
        <f t="shared" ca="1" si="1"/>
        <v>-0.1949989161353104</v>
      </c>
      <c r="R12">
        <f t="shared" ca="1" si="1"/>
        <v>0.20828609536019987</v>
      </c>
      <c r="S12">
        <f t="shared" ca="1" si="1"/>
        <v>0.19172097891700401</v>
      </c>
      <c r="T12">
        <f t="shared" ca="1" si="1"/>
        <v>0.1753957458917145</v>
      </c>
      <c r="U12">
        <f t="shared" ca="1" si="1"/>
        <v>-0.73462169357231277</v>
      </c>
      <c r="V12">
        <f t="shared" ca="1" si="1"/>
        <v>-0.41214598669309355</v>
      </c>
      <c r="W12">
        <f t="shared" ca="1" si="1"/>
        <v>-1.2040534512275038</v>
      </c>
      <c r="X12">
        <f t="shared" ca="1" si="1"/>
        <v>0.55809578380716762</v>
      </c>
      <c r="Y12">
        <f t="shared" ca="1" si="1"/>
        <v>1.0232518172524334</v>
      </c>
      <c r="Z12">
        <f t="shared" ca="1" si="2"/>
        <v>-0.38323531257021587</v>
      </c>
      <c r="AA12">
        <f t="shared" ca="1" si="2"/>
        <v>-8.952049653507238E-2</v>
      </c>
      <c r="AB12">
        <f t="shared" ca="1" si="2"/>
        <v>0.32569536464285009</v>
      </c>
      <c r="AC12">
        <f t="shared" ca="1" si="2"/>
        <v>-5.4000127105361957E-2</v>
      </c>
      <c r="AD12">
        <f t="shared" ca="1" si="2"/>
        <v>-0.81977393563548528</v>
      </c>
      <c r="AE12">
        <f t="shared" ca="1" si="2"/>
        <v>-0.57367745487423893</v>
      </c>
      <c r="AF12">
        <f t="shared" ca="1" si="2"/>
        <v>-0.34849265717428063</v>
      </c>
      <c r="AG12">
        <f t="shared" ca="1" si="2"/>
        <v>0.30844743680487685</v>
      </c>
      <c r="AH12">
        <f t="shared" ca="1" si="2"/>
        <v>-1.5072370577944736</v>
      </c>
      <c r="AI12">
        <f t="shared" ca="1" si="2"/>
        <v>2.3055564230524725E-2</v>
      </c>
      <c r="AJ12">
        <f t="shared" ca="1" si="3"/>
        <v>-0.31076264018598632</v>
      </c>
      <c r="AK12">
        <f t="shared" ca="1" si="3"/>
        <v>1.2483802087750637</v>
      </c>
      <c r="AL12">
        <f t="shared" ca="1" si="3"/>
        <v>-0.51315614088466499</v>
      </c>
      <c r="AM12">
        <f t="shared" ca="1" si="3"/>
        <v>-0.73889102135960572</v>
      </c>
      <c r="AN12">
        <f t="shared" ca="1" si="3"/>
        <v>-1.0316986299559341</v>
      </c>
      <c r="AO12">
        <f t="shared" ca="1" si="3"/>
        <v>1.1528947285508533</v>
      </c>
      <c r="AP12">
        <f t="shared" ca="1" si="3"/>
        <v>0.28245590706294688</v>
      </c>
      <c r="AQ12">
        <f t="shared" ca="1" si="3"/>
        <v>0.66906606134817692</v>
      </c>
      <c r="AR12">
        <f t="shared" ca="1" si="3"/>
        <v>-0.86719998160908296</v>
      </c>
      <c r="AS12">
        <f t="shared" ca="1" si="3"/>
        <v>-0.62022941892548644</v>
      </c>
      <c r="AT12">
        <f t="shared" ca="1" si="4"/>
        <v>-1.1984809011272168</v>
      </c>
      <c r="AU12">
        <f t="shared" ca="1" si="4"/>
        <v>-0.13891025830708015</v>
      </c>
      <c r="AV12">
        <f t="shared" ca="1" si="4"/>
        <v>0.17410153680637169</v>
      </c>
      <c r="AW12">
        <f t="shared" ca="1" si="4"/>
        <v>-0.82887104311386151</v>
      </c>
      <c r="AX12">
        <f t="shared" ca="1" si="4"/>
        <v>-1.3373571574065073</v>
      </c>
      <c r="AY12">
        <f t="shared" ca="1" si="4"/>
        <v>0.16702442804063114</v>
      </c>
      <c r="AZ12">
        <f t="shared" ca="1" si="4"/>
        <v>0.33158035936539493</v>
      </c>
      <c r="BA12">
        <f t="shared" ca="1" si="4"/>
        <v>-0.20358075784623217</v>
      </c>
      <c r="BB12">
        <f t="shared" ca="1" si="4"/>
        <v>-4.7127629807812588E-3</v>
      </c>
      <c r="BC12">
        <f t="shared" ca="1" si="4"/>
        <v>1.12556843435568</v>
      </c>
      <c r="BD12">
        <f t="shared" ca="1" si="5"/>
        <v>0.28893542592043941</v>
      </c>
      <c r="BE12">
        <f t="shared" ca="1" si="5"/>
        <v>0.41758760134019934</v>
      </c>
      <c r="BF12">
        <f t="shared" ca="1" si="5"/>
        <v>-9.455013007170851E-2</v>
      </c>
      <c r="BG12">
        <f t="shared" ca="1" si="5"/>
        <v>-1.5425154467198177</v>
      </c>
      <c r="BH12">
        <f t="shared" ca="1" si="5"/>
        <v>0.8520249776666704</v>
      </c>
      <c r="BI12">
        <f t="shared" ca="1" si="5"/>
        <v>2.5187078687084385</v>
      </c>
      <c r="BJ12">
        <f t="shared" ca="1" si="5"/>
        <v>0.58622930463473366</v>
      </c>
      <c r="BK12">
        <f t="shared" ca="1" si="5"/>
        <v>1.3373405007104935</v>
      </c>
      <c r="BL12">
        <f t="shared" ca="1" si="5"/>
        <v>-0.37341622532461805</v>
      </c>
      <c r="BM12">
        <f t="shared" ca="1" si="5"/>
        <v>-1.7537249701805382</v>
      </c>
      <c r="BN12">
        <f t="shared" ca="1" si="6"/>
        <v>0.24276774852834612</v>
      </c>
      <c r="BO12">
        <f t="shared" ca="1" si="6"/>
        <v>-0.96407321975709093</v>
      </c>
      <c r="BP12">
        <f t="shared" ca="1" si="6"/>
        <v>1.04432611415946</v>
      </c>
      <c r="BQ12">
        <f t="shared" ca="1" si="6"/>
        <v>-1.0924979940388126</v>
      </c>
      <c r="BR12">
        <f t="shared" ca="1" si="6"/>
        <v>-9.5905628869846216E-2</v>
      </c>
      <c r="BS12">
        <f t="shared" ca="1" si="6"/>
        <v>-0.23647449908196577</v>
      </c>
      <c r="BT12">
        <f t="shared" ca="1" si="6"/>
        <v>-2.4073430746119668</v>
      </c>
      <c r="BU12">
        <f t="shared" ca="1" si="6"/>
        <v>0.18784946555176732</v>
      </c>
      <c r="BV12">
        <f t="shared" ca="1" si="6"/>
        <v>0.51474078848599292</v>
      </c>
      <c r="BW12">
        <f t="shared" ca="1" si="6"/>
        <v>-1.1883848803967356</v>
      </c>
      <c r="BX12">
        <f t="shared" ca="1" si="7"/>
        <v>5.6300724917833334E-2</v>
      </c>
      <c r="BY12">
        <f t="shared" ca="1" si="7"/>
        <v>-9.9292350054843881E-2</v>
      </c>
      <c r="BZ12">
        <f t="shared" ca="1" si="7"/>
        <v>-1.1033599274670181</v>
      </c>
      <c r="CA12">
        <f t="shared" ca="1" si="7"/>
        <v>-1.3689009773445957</v>
      </c>
      <c r="CB12">
        <f t="shared" ca="1" si="7"/>
        <v>0.12085633481210432</v>
      </c>
      <c r="CC12">
        <f t="shared" ca="1" si="7"/>
        <v>-0.13138361219487851</v>
      </c>
      <c r="CD12">
        <f t="shared" ca="1" si="7"/>
        <v>0.12313960482074968</v>
      </c>
      <c r="CE12">
        <f t="shared" ca="1" si="7"/>
        <v>-0.69468451074987947</v>
      </c>
      <c r="CF12">
        <f t="shared" ca="1" si="7"/>
        <v>0.32406068439497049</v>
      </c>
      <c r="CG12">
        <f t="shared" ca="1" si="7"/>
        <v>0.66177676922961248</v>
      </c>
      <c r="CH12">
        <f t="shared" ca="1" si="8"/>
        <v>1.0528361334354868</v>
      </c>
      <c r="CI12">
        <f t="shared" ca="1" si="8"/>
        <v>0.143846136794887</v>
      </c>
      <c r="CJ12">
        <f t="shared" ca="1" si="8"/>
        <v>0.76311330930769272</v>
      </c>
      <c r="CK12">
        <f t="shared" ca="1" si="8"/>
        <v>0.66630596563406519</v>
      </c>
      <c r="CL12">
        <f t="shared" ca="1" si="8"/>
        <v>-0.63595270432654027</v>
      </c>
      <c r="CM12">
        <f t="shared" ca="1" si="8"/>
        <v>-1.6153681026478623</v>
      </c>
      <c r="CN12">
        <f t="shared" ca="1" si="8"/>
        <v>-0.71552733093122634</v>
      </c>
      <c r="CO12">
        <f t="shared" ca="1" si="8"/>
        <v>-1.1686668689660433</v>
      </c>
      <c r="CP12">
        <f t="shared" ca="1" si="8"/>
        <v>-1.4302287637466864</v>
      </c>
      <c r="CQ12">
        <f t="shared" ca="1" si="8"/>
        <v>-9.9746633190258172E-2</v>
      </c>
      <c r="CR12">
        <f t="shared" ca="1" si="9"/>
        <v>-1.0910992955869621E-2</v>
      </c>
      <c r="CS12">
        <f t="shared" ca="1" si="9"/>
        <v>0.73248052511542128</v>
      </c>
      <c r="CT12">
        <f t="shared" ca="1" si="9"/>
        <v>-0.31367245466706939</v>
      </c>
      <c r="CU12">
        <f t="shared" ca="1" si="9"/>
        <v>-0.36800838122572466</v>
      </c>
      <c r="CV12">
        <f t="shared" ca="1" si="9"/>
        <v>-0.50174688662113687</v>
      </c>
      <c r="CW12">
        <f t="shared" ca="1" si="9"/>
        <v>1.3560259174166123</v>
      </c>
      <c r="CX12">
        <f t="shared" ca="1" si="9"/>
        <v>-0.98627606423926961</v>
      </c>
      <c r="CY12">
        <f t="shared" ca="1" si="9"/>
        <v>-0.70272365551161209</v>
      </c>
      <c r="CZ12">
        <f t="shared" ca="1" si="9"/>
        <v>0.29804890049670446</v>
      </c>
      <c r="DA12">
        <f t="shared" ca="1" si="9"/>
        <v>-6.6431456998069335E-2</v>
      </c>
    </row>
    <row r="13" spans="5:105" x14ac:dyDescent="0.25">
      <c r="E13">
        <f>S_plus!L13</f>
        <v>0.10999999999999999</v>
      </c>
      <c r="F13">
        <f t="shared" ref="F13:O22" ca="1" si="10">_xlfn.NORM.S.INV(RAND())</f>
        <v>-0.83775584757787747</v>
      </c>
      <c r="G13">
        <f t="shared" ca="1" si="10"/>
        <v>1.3121219329857337</v>
      </c>
      <c r="H13">
        <f t="shared" ca="1" si="10"/>
        <v>-1.4427496284017973</v>
      </c>
      <c r="I13">
        <f t="shared" ca="1" si="10"/>
        <v>0.23441575019751126</v>
      </c>
      <c r="J13">
        <f t="shared" ca="1" si="10"/>
        <v>0.36016176648011172</v>
      </c>
      <c r="K13">
        <f t="shared" ca="1" si="10"/>
        <v>-1.0415814703301494</v>
      </c>
      <c r="L13">
        <f t="shared" ca="1" si="10"/>
        <v>1.5543333821141001</v>
      </c>
      <c r="M13">
        <f t="shared" ca="1" si="10"/>
        <v>-0.14772849266473637</v>
      </c>
      <c r="N13">
        <f t="shared" ca="1" si="10"/>
        <v>1.1195061592128979</v>
      </c>
      <c r="O13">
        <f t="shared" ca="1" si="10"/>
        <v>2.0384186956693302</v>
      </c>
      <c r="P13">
        <f t="shared" ref="P13:Y22" ca="1" si="11">_xlfn.NORM.S.INV(RAND())</f>
        <v>0.99057219949502184</v>
      </c>
      <c r="Q13">
        <f t="shared" ca="1" si="11"/>
        <v>2.4164878543021366</v>
      </c>
      <c r="R13">
        <f t="shared" ca="1" si="11"/>
        <v>1.2481665554971917</v>
      </c>
      <c r="S13">
        <f t="shared" ca="1" si="11"/>
        <v>0.70747768834314051</v>
      </c>
      <c r="T13">
        <f t="shared" ca="1" si="11"/>
        <v>0.3579715582419839</v>
      </c>
      <c r="U13">
        <f t="shared" ca="1" si="11"/>
        <v>1.7084747163743226</v>
      </c>
      <c r="V13">
        <f t="shared" ca="1" si="11"/>
        <v>-0.84952085065638794</v>
      </c>
      <c r="W13">
        <f t="shared" ca="1" si="11"/>
        <v>-0.55659755714551962</v>
      </c>
      <c r="X13">
        <f t="shared" ca="1" si="11"/>
        <v>0.46982214494751773</v>
      </c>
      <c r="Y13">
        <f t="shared" ca="1" si="11"/>
        <v>0.61856843163139197</v>
      </c>
      <c r="Z13">
        <f t="shared" ref="Z13:AI22" ca="1" si="12">_xlfn.NORM.S.INV(RAND())</f>
        <v>7.9559556023780578E-2</v>
      </c>
      <c r="AA13">
        <f t="shared" ca="1" si="12"/>
        <v>1.2193287258241459</v>
      </c>
      <c r="AB13">
        <f t="shared" ca="1" si="12"/>
        <v>-1.1510401093788072</v>
      </c>
      <c r="AC13">
        <f t="shared" ca="1" si="12"/>
        <v>0.49433460173004196</v>
      </c>
      <c r="AD13">
        <f t="shared" ca="1" si="12"/>
        <v>-1.7426556950941325</v>
      </c>
      <c r="AE13">
        <f t="shared" ca="1" si="12"/>
        <v>-0.29949509930038004</v>
      </c>
      <c r="AF13">
        <f t="shared" ca="1" si="12"/>
        <v>-1.6763093190032317</v>
      </c>
      <c r="AG13">
        <f t="shared" ca="1" si="12"/>
        <v>0.34193438806823928</v>
      </c>
      <c r="AH13">
        <f t="shared" ca="1" si="12"/>
        <v>0.76165116019414858</v>
      </c>
      <c r="AI13">
        <f t="shared" ca="1" si="12"/>
        <v>-2.2612857238711723</v>
      </c>
      <c r="AJ13">
        <f t="shared" ref="AJ13:AS22" ca="1" si="13">_xlfn.NORM.S.INV(RAND())</f>
        <v>-1.6160235036713617</v>
      </c>
      <c r="AK13">
        <f t="shared" ca="1" si="13"/>
        <v>-0.26515373737892517</v>
      </c>
      <c r="AL13">
        <f t="shared" ca="1" si="13"/>
        <v>-0.2408066264047598</v>
      </c>
      <c r="AM13">
        <f t="shared" ca="1" si="13"/>
        <v>-0.60968776805651004</v>
      </c>
      <c r="AN13">
        <f t="shared" ca="1" si="13"/>
        <v>0.72485553389623958</v>
      </c>
      <c r="AO13">
        <f t="shared" ca="1" si="13"/>
        <v>-0.90699120027782831</v>
      </c>
      <c r="AP13">
        <f t="shared" ca="1" si="13"/>
        <v>-4.4609474197597351E-2</v>
      </c>
      <c r="AQ13">
        <f t="shared" ca="1" si="13"/>
        <v>-7.778401249445667E-2</v>
      </c>
      <c r="AR13">
        <f t="shared" ca="1" si="13"/>
        <v>-0.27223993672692537</v>
      </c>
      <c r="AS13">
        <f t="shared" ca="1" si="13"/>
        <v>-0.26215914168804427</v>
      </c>
      <c r="AT13">
        <f t="shared" ref="AT13:BC22" ca="1" si="14">_xlfn.NORM.S.INV(RAND())</f>
        <v>-1.3620410270672245</v>
      </c>
      <c r="AU13">
        <f t="shared" ca="1" si="14"/>
        <v>-0.24347122251958939</v>
      </c>
      <c r="AV13">
        <f t="shared" ca="1" si="14"/>
        <v>-1.030493776092142</v>
      </c>
      <c r="AW13">
        <f t="shared" ca="1" si="14"/>
        <v>3.7380886960173334</v>
      </c>
      <c r="AX13">
        <f t="shared" ca="1" si="14"/>
        <v>-0.63015138567561602</v>
      </c>
      <c r="AY13">
        <f t="shared" ca="1" si="14"/>
        <v>9.8198946503767343E-2</v>
      </c>
      <c r="AZ13">
        <f t="shared" ca="1" si="14"/>
        <v>-0.45792196602301727</v>
      </c>
      <c r="BA13">
        <f t="shared" ca="1" si="14"/>
        <v>0.14285141683562233</v>
      </c>
      <c r="BB13">
        <f t="shared" ca="1" si="14"/>
        <v>-9.2207387166433563E-2</v>
      </c>
      <c r="BC13">
        <f t="shared" ca="1" si="14"/>
        <v>1.9423067044716149</v>
      </c>
      <c r="BD13">
        <f t="shared" ref="BD13:BM22" ca="1" si="15">_xlfn.NORM.S.INV(RAND())</f>
        <v>8.914275095837974E-3</v>
      </c>
      <c r="BE13">
        <f t="shared" ca="1" si="15"/>
        <v>1.0596593856544598</v>
      </c>
      <c r="BF13">
        <f t="shared" ca="1" si="15"/>
        <v>-0.61801145303255411</v>
      </c>
      <c r="BG13">
        <f t="shared" ca="1" si="15"/>
        <v>0.86953157193876873</v>
      </c>
      <c r="BH13">
        <f t="shared" ca="1" si="15"/>
        <v>0.66260796032535396</v>
      </c>
      <c r="BI13">
        <f t="shared" ca="1" si="15"/>
        <v>-1.0299690887825825</v>
      </c>
      <c r="BJ13">
        <f t="shared" ca="1" si="15"/>
        <v>1.1507508701989506</v>
      </c>
      <c r="BK13">
        <f t="shared" ca="1" si="15"/>
        <v>0.65574101068114721</v>
      </c>
      <c r="BL13">
        <f t="shared" ca="1" si="15"/>
        <v>-0.25678358872577656</v>
      </c>
      <c r="BM13">
        <f t="shared" ca="1" si="15"/>
        <v>-0.29804608163344665</v>
      </c>
      <c r="BN13">
        <f t="shared" ref="BN13:BW22" ca="1" si="16">_xlfn.NORM.S.INV(RAND())</f>
        <v>-1.7814770260382866</v>
      </c>
      <c r="BO13">
        <f t="shared" ca="1" si="16"/>
        <v>-0.49802876422311704</v>
      </c>
      <c r="BP13">
        <f t="shared" ca="1" si="16"/>
        <v>1.2032588995716409</v>
      </c>
      <c r="BQ13">
        <f t="shared" ca="1" si="16"/>
        <v>0.48761570245136404</v>
      </c>
      <c r="BR13">
        <f t="shared" ca="1" si="16"/>
        <v>1.2318347244295362</v>
      </c>
      <c r="BS13">
        <f t="shared" ca="1" si="16"/>
        <v>-0.2304854024754395</v>
      </c>
      <c r="BT13">
        <f t="shared" ca="1" si="16"/>
        <v>-0.13181640242450007</v>
      </c>
      <c r="BU13">
        <f t="shared" ca="1" si="16"/>
        <v>2.5291489648339218</v>
      </c>
      <c r="BV13">
        <f t="shared" ca="1" si="16"/>
        <v>-4.0887618605232282E-2</v>
      </c>
      <c r="BW13">
        <f t="shared" ca="1" si="16"/>
        <v>0.57382207303583044</v>
      </c>
      <c r="BX13">
        <f t="shared" ref="BX13:CG22" ca="1" si="17">_xlfn.NORM.S.INV(RAND())</f>
        <v>2.1931456096760189</v>
      </c>
      <c r="BY13">
        <f t="shared" ca="1" si="17"/>
        <v>2.2390893532468494</v>
      </c>
      <c r="BZ13">
        <f t="shared" ca="1" si="17"/>
        <v>0.75446979530369696</v>
      </c>
      <c r="CA13">
        <f t="shared" ca="1" si="17"/>
        <v>-0.36884743358564914</v>
      </c>
      <c r="CB13">
        <f t="shared" ca="1" si="17"/>
        <v>-0.89217411311711647</v>
      </c>
      <c r="CC13">
        <f t="shared" ca="1" si="17"/>
        <v>-1.7204544502732366</v>
      </c>
      <c r="CD13">
        <f t="shared" ca="1" si="17"/>
        <v>0.65733840095816065</v>
      </c>
      <c r="CE13">
        <f t="shared" ca="1" si="17"/>
        <v>0.72975318996851346</v>
      </c>
      <c r="CF13">
        <f t="shared" ca="1" si="17"/>
        <v>0.81829593694650415</v>
      </c>
      <c r="CG13">
        <f t="shared" ca="1" si="17"/>
        <v>-0.58113768530533894</v>
      </c>
      <c r="CH13">
        <f t="shared" ref="CH13:CQ22" ca="1" si="18">_xlfn.NORM.S.INV(RAND())</f>
        <v>-0.58800330829758951</v>
      </c>
      <c r="CI13">
        <f t="shared" ca="1" si="18"/>
        <v>-0.70099702240715245</v>
      </c>
      <c r="CJ13">
        <f t="shared" ca="1" si="18"/>
        <v>-1.6505314008736247</v>
      </c>
      <c r="CK13">
        <f t="shared" ca="1" si="18"/>
        <v>3.0695028693797437</v>
      </c>
      <c r="CL13">
        <f t="shared" ca="1" si="18"/>
        <v>-6.2672491994038466E-3</v>
      </c>
      <c r="CM13">
        <f t="shared" ca="1" si="18"/>
        <v>-1.4292305727218544</v>
      </c>
      <c r="CN13">
        <f t="shared" ca="1" si="18"/>
        <v>3.1826772638881159E-2</v>
      </c>
      <c r="CO13">
        <f t="shared" ca="1" si="18"/>
        <v>-0.73751366385889261</v>
      </c>
      <c r="CP13">
        <f t="shared" ca="1" si="18"/>
        <v>0.82266441191814044</v>
      </c>
      <c r="CQ13">
        <f t="shared" ca="1" si="18"/>
        <v>0.77810010893170922</v>
      </c>
      <c r="CR13">
        <f t="shared" ref="CR13:DA22" ca="1" si="19">_xlfn.NORM.S.INV(RAND())</f>
        <v>0.36640585506297002</v>
      </c>
      <c r="CS13">
        <f t="shared" ca="1" si="19"/>
        <v>2.1682538464701567E-2</v>
      </c>
      <c r="CT13">
        <f t="shared" ca="1" si="19"/>
        <v>0.67924129400498234</v>
      </c>
      <c r="CU13">
        <f t="shared" ca="1" si="19"/>
        <v>-0.70165560833872531</v>
      </c>
      <c r="CV13">
        <f t="shared" ca="1" si="19"/>
        <v>-0.43122230349238</v>
      </c>
      <c r="CW13">
        <f t="shared" ca="1" si="19"/>
        <v>1.3002797912720951</v>
      </c>
      <c r="CX13">
        <f t="shared" ca="1" si="19"/>
        <v>-1.2230803806118786</v>
      </c>
      <c r="CY13">
        <f t="shared" ca="1" si="19"/>
        <v>0.6067772508141378</v>
      </c>
      <c r="CZ13">
        <f t="shared" ca="1" si="19"/>
        <v>0.48366294997053455</v>
      </c>
      <c r="DA13">
        <f t="shared" ca="1" si="19"/>
        <v>-1.284874363850018</v>
      </c>
    </row>
    <row r="14" spans="5:105" x14ac:dyDescent="0.25">
      <c r="E14">
        <f>S_plus!L14</f>
        <v>0.11999999999999998</v>
      </c>
      <c r="F14">
        <f t="shared" ca="1" si="10"/>
        <v>1.5402751746410661</v>
      </c>
      <c r="G14">
        <f t="shared" ca="1" si="10"/>
        <v>-0.91265325331736047</v>
      </c>
      <c r="H14">
        <f t="shared" ca="1" si="10"/>
        <v>-0.96132160634935715</v>
      </c>
      <c r="I14">
        <f t="shared" ca="1" si="10"/>
        <v>-0.30777563234244126</v>
      </c>
      <c r="J14">
        <f t="shared" ca="1" si="10"/>
        <v>0.19452074137916947</v>
      </c>
      <c r="K14">
        <f t="shared" ca="1" si="10"/>
        <v>-1.641107493009242</v>
      </c>
      <c r="L14">
        <f t="shared" ca="1" si="10"/>
        <v>1.2168374409633491</v>
      </c>
      <c r="M14">
        <f t="shared" ca="1" si="10"/>
        <v>0.81688365261027718</v>
      </c>
      <c r="N14">
        <f t="shared" ca="1" si="10"/>
        <v>0.38079713775074042</v>
      </c>
      <c r="O14">
        <f t="shared" ca="1" si="10"/>
        <v>0.43381370377870127</v>
      </c>
      <c r="P14">
        <f t="shared" ca="1" si="11"/>
        <v>-1.6559204924679294</v>
      </c>
      <c r="Q14">
        <f t="shared" ca="1" si="11"/>
        <v>-0.95637987506247402</v>
      </c>
      <c r="R14">
        <f t="shared" ca="1" si="11"/>
        <v>0.80599014563895277</v>
      </c>
      <c r="S14">
        <f t="shared" ca="1" si="11"/>
        <v>0.77759225776101459</v>
      </c>
      <c r="T14">
        <f t="shared" ca="1" si="11"/>
        <v>0.65917439005119483</v>
      </c>
      <c r="U14">
        <f t="shared" ca="1" si="11"/>
        <v>-0.77237169827830354</v>
      </c>
      <c r="V14">
        <f t="shared" ca="1" si="11"/>
        <v>-1.0546318853889081</v>
      </c>
      <c r="W14">
        <f t="shared" ca="1" si="11"/>
        <v>0.33794718270507895</v>
      </c>
      <c r="X14">
        <f t="shared" ca="1" si="11"/>
        <v>-1.0959370426863198</v>
      </c>
      <c r="Y14">
        <f t="shared" ca="1" si="11"/>
        <v>-0.48816550292774813</v>
      </c>
      <c r="Z14">
        <f t="shared" ca="1" si="12"/>
        <v>0.40223232502740119</v>
      </c>
      <c r="AA14">
        <f t="shared" ca="1" si="12"/>
        <v>0.39408484993496112</v>
      </c>
      <c r="AB14">
        <f t="shared" ca="1" si="12"/>
        <v>0.74360065615141058</v>
      </c>
      <c r="AC14">
        <f t="shared" ca="1" si="12"/>
        <v>-0.11243464729498587</v>
      </c>
      <c r="AD14">
        <f t="shared" ca="1" si="12"/>
        <v>-0.27577531890867052</v>
      </c>
      <c r="AE14">
        <f t="shared" ca="1" si="12"/>
        <v>0.37428146926361516</v>
      </c>
      <c r="AF14">
        <f t="shared" ca="1" si="12"/>
        <v>0.60288530117498285</v>
      </c>
      <c r="AG14">
        <f t="shared" ca="1" si="12"/>
        <v>-0.79677789485764272</v>
      </c>
      <c r="AH14">
        <f t="shared" ca="1" si="12"/>
        <v>0.6730745397391058</v>
      </c>
      <c r="AI14">
        <f t="shared" ca="1" si="12"/>
        <v>-0.42596710812265182</v>
      </c>
      <c r="AJ14">
        <f t="shared" ca="1" si="13"/>
        <v>-1.2965824349934711</v>
      </c>
      <c r="AK14">
        <f t="shared" ca="1" si="13"/>
        <v>0.29772274300520607</v>
      </c>
      <c r="AL14">
        <f t="shared" ca="1" si="13"/>
        <v>0.22397978117783199</v>
      </c>
      <c r="AM14">
        <f t="shared" ca="1" si="13"/>
        <v>-0.37268180006534624</v>
      </c>
      <c r="AN14">
        <f t="shared" ca="1" si="13"/>
        <v>0.65858136621364138</v>
      </c>
      <c r="AO14">
        <f t="shared" ca="1" si="13"/>
        <v>-2.077945382572286</v>
      </c>
      <c r="AP14">
        <f t="shared" ca="1" si="13"/>
        <v>0.66784050367046621</v>
      </c>
      <c r="AQ14">
        <f t="shared" ca="1" si="13"/>
        <v>-1.4623547310403848</v>
      </c>
      <c r="AR14">
        <f t="shared" ca="1" si="13"/>
        <v>-1.3404907123572978</v>
      </c>
      <c r="AS14">
        <f t="shared" ca="1" si="13"/>
        <v>-0.84422526538500109</v>
      </c>
      <c r="AT14">
        <f t="shared" ca="1" si="14"/>
        <v>0.88637111076583985</v>
      </c>
      <c r="AU14">
        <f t="shared" ca="1" si="14"/>
        <v>1.1322793669936237</v>
      </c>
      <c r="AV14">
        <f t="shared" ca="1" si="14"/>
        <v>-2.2327486432766164</v>
      </c>
      <c r="AW14">
        <f t="shared" ca="1" si="14"/>
        <v>-1.2207528782268835</v>
      </c>
      <c r="AX14">
        <f t="shared" ca="1" si="14"/>
        <v>-0.18932640294407679</v>
      </c>
      <c r="AY14">
        <f t="shared" ca="1" si="14"/>
        <v>-0.29248174567104274</v>
      </c>
      <c r="AZ14">
        <f t="shared" ca="1" si="14"/>
        <v>0.45291929972235234</v>
      </c>
      <c r="BA14">
        <f t="shared" ca="1" si="14"/>
        <v>1.9596246676516091</v>
      </c>
      <c r="BB14">
        <f t="shared" ca="1" si="14"/>
        <v>0.70230497837313133</v>
      </c>
      <c r="BC14">
        <f t="shared" ca="1" si="14"/>
        <v>-0.70196130292216508</v>
      </c>
      <c r="BD14">
        <f t="shared" ca="1" si="15"/>
        <v>3.8032772902811228E-2</v>
      </c>
      <c r="BE14">
        <f t="shared" ca="1" si="15"/>
        <v>-1.2032230253561955</v>
      </c>
      <c r="BF14">
        <f t="shared" ca="1" si="15"/>
        <v>-2.2518386930124072</v>
      </c>
      <c r="BG14">
        <f t="shared" ca="1" si="15"/>
        <v>1.1662589578172768</v>
      </c>
      <c r="BH14">
        <f t="shared" ca="1" si="15"/>
        <v>-1.1004148232959448</v>
      </c>
      <c r="BI14">
        <f t="shared" ca="1" si="15"/>
        <v>0.47181843698931802</v>
      </c>
      <c r="BJ14">
        <f t="shared" ca="1" si="15"/>
        <v>-1.5687182974631562</v>
      </c>
      <c r="BK14">
        <f t="shared" ca="1" si="15"/>
        <v>0.2660023330427061</v>
      </c>
      <c r="BL14">
        <f t="shared" ca="1" si="15"/>
        <v>-0.62886258176256138</v>
      </c>
      <c r="BM14">
        <f t="shared" ca="1" si="15"/>
        <v>-0.22791182174551147</v>
      </c>
      <c r="BN14">
        <f t="shared" ca="1" si="16"/>
        <v>0.22944536925266767</v>
      </c>
      <c r="BO14">
        <f t="shared" ca="1" si="16"/>
        <v>0.99878439848428568</v>
      </c>
      <c r="BP14">
        <f t="shared" ca="1" si="16"/>
        <v>-1.694543031965605</v>
      </c>
      <c r="BQ14">
        <f t="shared" ca="1" si="16"/>
        <v>-0.35871436094736509</v>
      </c>
      <c r="BR14">
        <f t="shared" ca="1" si="16"/>
        <v>-0.85992911085623203</v>
      </c>
      <c r="BS14">
        <f t="shared" ca="1" si="16"/>
        <v>0.50536269323618421</v>
      </c>
      <c r="BT14">
        <f t="shared" ca="1" si="16"/>
        <v>-0.37766265570641361</v>
      </c>
      <c r="BU14">
        <f t="shared" ca="1" si="16"/>
        <v>-2.0565384593088756</v>
      </c>
      <c r="BV14">
        <f t="shared" ca="1" si="16"/>
        <v>0.65712895662132886</v>
      </c>
      <c r="BW14">
        <f t="shared" ca="1" si="16"/>
        <v>1.324386993156383</v>
      </c>
      <c r="BX14">
        <f t="shared" ca="1" si="17"/>
        <v>-0.66003498582146847</v>
      </c>
      <c r="BY14">
        <f t="shared" ca="1" si="17"/>
        <v>0.58403927714464354</v>
      </c>
      <c r="BZ14">
        <f t="shared" ca="1" si="17"/>
        <v>-0.4162832737378383</v>
      </c>
      <c r="CA14">
        <f t="shared" ca="1" si="17"/>
        <v>0.75524578606480963</v>
      </c>
      <c r="CB14">
        <f t="shared" ca="1" si="17"/>
        <v>0.95753524629567466</v>
      </c>
      <c r="CC14">
        <f t="shared" ca="1" si="17"/>
        <v>-1.2612974464226763</v>
      </c>
      <c r="CD14">
        <f t="shared" ca="1" si="17"/>
        <v>0.58925556538476609</v>
      </c>
      <c r="CE14">
        <f t="shared" ca="1" si="17"/>
        <v>-0.30732902630714426</v>
      </c>
      <c r="CF14">
        <f t="shared" ca="1" si="17"/>
        <v>1.4797435522133084</v>
      </c>
      <c r="CG14">
        <f t="shared" ca="1" si="17"/>
        <v>0.6786641091582104</v>
      </c>
      <c r="CH14">
        <f t="shared" ca="1" si="18"/>
        <v>-2.034501025167506</v>
      </c>
      <c r="CI14">
        <f t="shared" ca="1" si="18"/>
        <v>-5.8685754461794491E-2</v>
      </c>
      <c r="CJ14">
        <f t="shared" ca="1" si="18"/>
        <v>3.5793509244301733E-2</v>
      </c>
      <c r="CK14">
        <f t="shared" ca="1" si="18"/>
        <v>1.8280428003063527</v>
      </c>
      <c r="CL14">
        <f t="shared" ca="1" si="18"/>
        <v>1.2362240555159101</v>
      </c>
      <c r="CM14">
        <f t="shared" ca="1" si="18"/>
        <v>-5.6632205728616748E-2</v>
      </c>
      <c r="CN14">
        <f t="shared" ca="1" si="18"/>
        <v>2.0802147670345188</v>
      </c>
      <c r="CO14">
        <f t="shared" ca="1" si="18"/>
        <v>1.4430227598482248</v>
      </c>
      <c r="CP14">
        <f t="shared" ca="1" si="18"/>
        <v>-0.98954224871973062</v>
      </c>
      <c r="CQ14">
        <f t="shared" ca="1" si="18"/>
        <v>1.1647495564511996</v>
      </c>
      <c r="CR14">
        <f t="shared" ca="1" si="19"/>
        <v>-2.5314236470387499</v>
      </c>
      <c r="CS14">
        <f t="shared" ca="1" si="19"/>
        <v>-0.34025586908162697</v>
      </c>
      <c r="CT14">
        <f t="shared" ca="1" si="19"/>
        <v>0.3037769704281667</v>
      </c>
      <c r="CU14">
        <f t="shared" ca="1" si="19"/>
        <v>1.5174680108877299</v>
      </c>
      <c r="CV14">
        <f t="shared" ca="1" si="19"/>
        <v>1.375528701397045</v>
      </c>
      <c r="CW14">
        <f t="shared" ca="1" si="19"/>
        <v>-0.34400149299812927</v>
      </c>
      <c r="CX14">
        <f t="shared" ca="1" si="19"/>
        <v>0.83818338998580466</v>
      </c>
      <c r="CY14">
        <f t="shared" ca="1" si="19"/>
        <v>0.53530154157938659</v>
      </c>
      <c r="CZ14">
        <f t="shared" ca="1" si="19"/>
        <v>-2.2830633904134068</v>
      </c>
      <c r="DA14">
        <f t="shared" ca="1" si="19"/>
        <v>-0.40709952761675355</v>
      </c>
    </row>
    <row r="15" spans="5:105" x14ac:dyDescent="0.25">
      <c r="E15">
        <f>S_plus!L15</f>
        <v>0.12999999999999998</v>
      </c>
      <c r="F15">
        <f t="shared" ca="1" si="10"/>
        <v>-0.38591318240661687</v>
      </c>
      <c r="G15">
        <f t="shared" ca="1" si="10"/>
        <v>1.4938024425232592</v>
      </c>
      <c r="H15">
        <f t="shared" ca="1" si="10"/>
        <v>2.2432555044570459</v>
      </c>
      <c r="I15">
        <f t="shared" ca="1" si="10"/>
        <v>-1.5782726856501799</v>
      </c>
      <c r="J15">
        <f t="shared" ca="1" si="10"/>
        <v>-2.9456561375242272</v>
      </c>
      <c r="K15">
        <f t="shared" ca="1" si="10"/>
        <v>-2.4440619719513945</v>
      </c>
      <c r="L15">
        <f t="shared" ca="1" si="10"/>
        <v>-0.44143578503206171</v>
      </c>
      <c r="M15">
        <f t="shared" ca="1" si="10"/>
        <v>0.44509221606952248</v>
      </c>
      <c r="N15">
        <f t="shared" ca="1" si="10"/>
        <v>-0.14042299046901929</v>
      </c>
      <c r="O15">
        <f t="shared" ca="1" si="10"/>
        <v>-1.2232889860242557</v>
      </c>
      <c r="P15">
        <f t="shared" ca="1" si="11"/>
        <v>1.9575439139346027</v>
      </c>
      <c r="Q15">
        <f t="shared" ca="1" si="11"/>
        <v>-0.43012464670973233</v>
      </c>
      <c r="R15">
        <f t="shared" ca="1" si="11"/>
        <v>-3.1883359013828332</v>
      </c>
      <c r="S15">
        <f t="shared" ca="1" si="11"/>
        <v>0.8661634693256749</v>
      </c>
      <c r="T15">
        <f t="shared" ca="1" si="11"/>
        <v>-0.19211410052642411</v>
      </c>
      <c r="U15">
        <f t="shared" ca="1" si="11"/>
        <v>0.86975633579478151</v>
      </c>
      <c r="V15">
        <f t="shared" ca="1" si="11"/>
        <v>-1.4354542607466354</v>
      </c>
      <c r="W15">
        <f t="shared" ca="1" si="11"/>
        <v>-1.0815239749152603</v>
      </c>
      <c r="X15">
        <f t="shared" ca="1" si="11"/>
        <v>-0.32742509042760576</v>
      </c>
      <c r="Y15">
        <f t="shared" ca="1" si="11"/>
        <v>1.5292792540517304</v>
      </c>
      <c r="Z15">
        <f t="shared" ca="1" si="12"/>
        <v>0.3161890880533163</v>
      </c>
      <c r="AA15">
        <f t="shared" ca="1" si="12"/>
        <v>0.80757045708406616</v>
      </c>
      <c r="AB15">
        <f t="shared" ca="1" si="12"/>
        <v>-0.11246173627177869</v>
      </c>
      <c r="AC15">
        <f t="shared" ca="1" si="12"/>
        <v>0.83479105609698134</v>
      </c>
      <c r="AD15">
        <f t="shared" ca="1" si="12"/>
        <v>1.4565386027007559</v>
      </c>
      <c r="AE15">
        <f t="shared" ca="1" si="12"/>
        <v>-1.2328669993394989</v>
      </c>
      <c r="AF15">
        <f t="shared" ca="1" si="12"/>
        <v>-2.267038040312114</v>
      </c>
      <c r="AG15">
        <f t="shared" ca="1" si="12"/>
        <v>-1.0239055109970132</v>
      </c>
      <c r="AH15">
        <f t="shared" ca="1" si="12"/>
        <v>1.3016102204373035</v>
      </c>
      <c r="AI15">
        <f t="shared" ca="1" si="12"/>
        <v>0.82316930596063209</v>
      </c>
      <c r="AJ15">
        <f t="shared" ca="1" si="13"/>
        <v>-1.5585520820647456</v>
      </c>
      <c r="AK15">
        <f t="shared" ca="1" si="13"/>
        <v>-1.1031183954196002</v>
      </c>
      <c r="AL15">
        <f t="shared" ca="1" si="13"/>
        <v>0.83491961965157202</v>
      </c>
      <c r="AM15">
        <f t="shared" ca="1" si="13"/>
        <v>-0.63794351618684642</v>
      </c>
      <c r="AN15">
        <f t="shared" ca="1" si="13"/>
        <v>1.0551952760926495</v>
      </c>
      <c r="AO15">
        <f t="shared" ca="1" si="13"/>
        <v>-0.15505793673285656</v>
      </c>
      <c r="AP15">
        <f t="shared" ca="1" si="13"/>
        <v>-0.83742341305050949</v>
      </c>
      <c r="AQ15">
        <f t="shared" ca="1" si="13"/>
        <v>-1.8542439062628686</v>
      </c>
      <c r="AR15">
        <f t="shared" ca="1" si="13"/>
        <v>1.4624924005833932</v>
      </c>
      <c r="AS15">
        <f t="shared" ca="1" si="13"/>
        <v>0.81568522472071292</v>
      </c>
      <c r="AT15">
        <f t="shared" ca="1" si="14"/>
        <v>3.3893359811796744</v>
      </c>
      <c r="AU15">
        <f t="shared" ca="1" si="14"/>
        <v>1.1842595275775332</v>
      </c>
      <c r="AV15">
        <f t="shared" ca="1" si="14"/>
        <v>0.39694077989454041</v>
      </c>
      <c r="AW15">
        <f t="shared" ca="1" si="14"/>
        <v>-0.74026652644348201</v>
      </c>
      <c r="AX15">
        <f t="shared" ca="1" si="14"/>
        <v>0.25531658430061932</v>
      </c>
      <c r="AY15">
        <f t="shared" ca="1" si="14"/>
        <v>2.9185260948324524E-2</v>
      </c>
      <c r="AZ15">
        <f t="shared" ca="1" si="14"/>
        <v>1.5146183748085562</v>
      </c>
      <c r="BA15">
        <f t="shared" ca="1" si="14"/>
        <v>-0.67493086163140892</v>
      </c>
      <c r="BB15">
        <f t="shared" ca="1" si="14"/>
        <v>1.6446684245924392</v>
      </c>
      <c r="BC15">
        <f t="shared" ca="1" si="14"/>
        <v>0.60281707278780927</v>
      </c>
      <c r="BD15">
        <f t="shared" ca="1" si="15"/>
        <v>-1.6379469151892436</v>
      </c>
      <c r="BE15">
        <f t="shared" ca="1" si="15"/>
        <v>-8.7097167024490163E-2</v>
      </c>
      <c r="BF15">
        <f t="shared" ca="1" si="15"/>
        <v>0.40431684281869751</v>
      </c>
      <c r="BG15">
        <f t="shared" ca="1" si="15"/>
        <v>-0.26584324911180429</v>
      </c>
      <c r="BH15">
        <f t="shared" ca="1" si="15"/>
        <v>-0.16540070789265487</v>
      </c>
      <c r="BI15">
        <f t="shared" ca="1" si="15"/>
        <v>-0.49685696784910821</v>
      </c>
      <c r="BJ15">
        <f t="shared" ca="1" si="15"/>
        <v>-0.95998351871969134</v>
      </c>
      <c r="BK15">
        <f t="shared" ca="1" si="15"/>
        <v>0.38003448934841755</v>
      </c>
      <c r="BL15">
        <f t="shared" ca="1" si="15"/>
        <v>0.21043005061701767</v>
      </c>
      <c r="BM15">
        <f t="shared" ca="1" si="15"/>
        <v>-0.46823409304639835</v>
      </c>
      <c r="BN15">
        <f t="shared" ca="1" si="16"/>
        <v>1.2419085301981057</v>
      </c>
      <c r="BO15">
        <f t="shared" ca="1" si="16"/>
        <v>0.725962257273009</v>
      </c>
      <c r="BP15">
        <f t="shared" ca="1" si="16"/>
        <v>-5.385815996126922E-2</v>
      </c>
      <c r="BQ15">
        <f t="shared" ca="1" si="16"/>
        <v>-0.83115762865910714</v>
      </c>
      <c r="BR15">
        <f t="shared" ca="1" si="16"/>
        <v>-0.41241321919031787</v>
      </c>
      <c r="BS15">
        <f t="shared" ca="1" si="16"/>
        <v>0.12592086326945132</v>
      </c>
      <c r="BT15">
        <f t="shared" ca="1" si="16"/>
        <v>-1.5235936691098937E-3</v>
      </c>
      <c r="BU15">
        <f t="shared" ca="1" si="16"/>
        <v>4.8228284263232883E-2</v>
      </c>
      <c r="BV15">
        <f t="shared" ca="1" si="16"/>
        <v>1.7710431660084818</v>
      </c>
      <c r="BW15">
        <f t="shared" ca="1" si="16"/>
        <v>0.84446819548766394</v>
      </c>
      <c r="BX15">
        <f t="shared" ca="1" si="17"/>
        <v>0.75273791155830971</v>
      </c>
      <c r="BY15">
        <f t="shared" ca="1" si="17"/>
        <v>-0.4092085675077759</v>
      </c>
      <c r="BZ15">
        <f t="shared" ca="1" si="17"/>
        <v>-0.12638577497549661</v>
      </c>
      <c r="CA15">
        <f t="shared" ca="1" si="17"/>
        <v>0.71242348659834165</v>
      </c>
      <c r="CB15">
        <f t="shared" ca="1" si="17"/>
        <v>0.17086526206458846</v>
      </c>
      <c r="CC15">
        <f t="shared" ca="1" si="17"/>
        <v>1.1902822961535415</v>
      </c>
      <c r="CD15">
        <f t="shared" ca="1" si="17"/>
        <v>-2.0633777476169248</v>
      </c>
      <c r="CE15">
        <f t="shared" ca="1" si="17"/>
        <v>-1.6565835879470188</v>
      </c>
      <c r="CF15">
        <f t="shared" ca="1" si="17"/>
        <v>1.1473755587419705</v>
      </c>
      <c r="CG15">
        <f t="shared" ca="1" si="17"/>
        <v>-1.7305315534247587</v>
      </c>
      <c r="CH15">
        <f t="shared" ca="1" si="18"/>
        <v>0.33959566314915751</v>
      </c>
      <c r="CI15">
        <f t="shared" ca="1" si="18"/>
        <v>0.32737354113380401</v>
      </c>
      <c r="CJ15">
        <f t="shared" ca="1" si="18"/>
        <v>-0.30734918005975564</v>
      </c>
      <c r="CK15">
        <f t="shared" ca="1" si="18"/>
        <v>8.8085497845282936E-3</v>
      </c>
      <c r="CL15">
        <f t="shared" ca="1" si="18"/>
        <v>-0.33307067405373136</v>
      </c>
      <c r="CM15">
        <f t="shared" ca="1" si="18"/>
        <v>0.12120253664963593</v>
      </c>
      <c r="CN15">
        <f t="shared" ca="1" si="18"/>
        <v>0.17205887175271814</v>
      </c>
      <c r="CO15">
        <f t="shared" ca="1" si="18"/>
        <v>-2.5554147475579203</v>
      </c>
      <c r="CP15">
        <f t="shared" ca="1" si="18"/>
        <v>0.15078965622318108</v>
      </c>
      <c r="CQ15">
        <f t="shared" ca="1" si="18"/>
        <v>-0.6515147435146541</v>
      </c>
      <c r="CR15">
        <f t="shared" ca="1" si="19"/>
        <v>-0.15960352082093027</v>
      </c>
      <c r="CS15">
        <f t="shared" ca="1" si="19"/>
        <v>-9.5400884380248324E-2</v>
      </c>
      <c r="CT15">
        <f t="shared" ca="1" si="19"/>
        <v>-7.0147493982106292E-3</v>
      </c>
      <c r="CU15">
        <f t="shared" ca="1" si="19"/>
        <v>1.3679170063547088</v>
      </c>
      <c r="CV15">
        <f t="shared" ca="1" si="19"/>
        <v>1.3607547254905117</v>
      </c>
      <c r="CW15">
        <f t="shared" ca="1" si="19"/>
        <v>-0.14442756565838083</v>
      </c>
      <c r="CX15">
        <f t="shared" ca="1" si="19"/>
        <v>-1.6621233440014693</v>
      </c>
      <c r="CY15">
        <f t="shared" ca="1" si="19"/>
        <v>-0.98049472038511332</v>
      </c>
      <c r="CZ15">
        <f t="shared" ca="1" si="19"/>
        <v>0.84063002193023739</v>
      </c>
      <c r="DA15">
        <f t="shared" ca="1" si="19"/>
        <v>0.97075143312152923</v>
      </c>
    </row>
    <row r="16" spans="5:105" x14ac:dyDescent="0.25">
      <c r="E16">
        <f>S_plus!L16</f>
        <v>0.13999999999999999</v>
      </c>
      <c r="F16">
        <f t="shared" ca="1" si="10"/>
        <v>-1.2289310803723046</v>
      </c>
      <c r="G16">
        <f t="shared" ca="1" si="10"/>
        <v>-1.3336187234008257</v>
      </c>
      <c r="H16">
        <f t="shared" ca="1" si="10"/>
        <v>-0.72193926732305658</v>
      </c>
      <c r="I16">
        <f t="shared" ca="1" si="10"/>
        <v>-2.5544577052499635</v>
      </c>
      <c r="J16">
        <f t="shared" ca="1" si="10"/>
        <v>1.2186326798543368</v>
      </c>
      <c r="K16">
        <f t="shared" ca="1" si="10"/>
        <v>0.24331586713117057</v>
      </c>
      <c r="L16">
        <f t="shared" ca="1" si="10"/>
        <v>-0.6934877717947775</v>
      </c>
      <c r="M16">
        <f t="shared" ca="1" si="10"/>
        <v>-0.11683956479345034</v>
      </c>
      <c r="N16">
        <f t="shared" ca="1" si="10"/>
        <v>-0.81649247369470701</v>
      </c>
      <c r="O16">
        <f t="shared" ca="1" si="10"/>
        <v>0.68863472799383252</v>
      </c>
      <c r="P16">
        <f t="shared" ca="1" si="11"/>
        <v>1.3784870477938014</v>
      </c>
      <c r="Q16">
        <f t="shared" ca="1" si="11"/>
        <v>-0.89475018159795683</v>
      </c>
      <c r="R16">
        <f t="shared" ca="1" si="11"/>
        <v>0.25384470398867665</v>
      </c>
      <c r="S16">
        <f t="shared" ca="1" si="11"/>
        <v>-0.94964328998295622</v>
      </c>
      <c r="T16">
        <f t="shared" ca="1" si="11"/>
        <v>-0.47946885334944839</v>
      </c>
      <c r="U16">
        <f t="shared" ca="1" si="11"/>
        <v>-0.85404731792766586</v>
      </c>
      <c r="V16">
        <f t="shared" ca="1" si="11"/>
        <v>0.75790258801129273</v>
      </c>
      <c r="W16">
        <f t="shared" ca="1" si="11"/>
        <v>0.2787682180129481</v>
      </c>
      <c r="X16">
        <f t="shared" ca="1" si="11"/>
        <v>-0.37783949732412409</v>
      </c>
      <c r="Y16">
        <f t="shared" ca="1" si="11"/>
        <v>0.14950045876925896</v>
      </c>
      <c r="Z16">
        <f t="shared" ca="1" si="12"/>
        <v>-0.72280871713851469</v>
      </c>
      <c r="AA16">
        <f t="shared" ca="1" si="12"/>
        <v>-8.2701205368749614E-2</v>
      </c>
      <c r="AB16">
        <f t="shared" ca="1" si="12"/>
        <v>0.7426961986270868</v>
      </c>
      <c r="AC16">
        <f t="shared" ca="1" si="12"/>
        <v>1.1344388930857059</v>
      </c>
      <c r="AD16">
        <f t="shared" ca="1" si="12"/>
        <v>-0.801559944325271</v>
      </c>
      <c r="AE16">
        <f t="shared" ca="1" si="12"/>
        <v>1.6362609925227094</v>
      </c>
      <c r="AF16">
        <f t="shared" ca="1" si="12"/>
        <v>0.81716710174839502</v>
      </c>
      <c r="AG16">
        <f t="shared" ca="1" si="12"/>
        <v>-1.1806611755455441</v>
      </c>
      <c r="AH16">
        <f t="shared" ca="1" si="12"/>
        <v>-0.81506831579709493</v>
      </c>
      <c r="AI16">
        <f t="shared" ca="1" si="12"/>
        <v>-0.10049086288359704</v>
      </c>
      <c r="AJ16">
        <f t="shared" ca="1" si="13"/>
        <v>0.8464478375024953</v>
      </c>
      <c r="AK16">
        <f t="shared" ca="1" si="13"/>
        <v>-0.21811511910103015</v>
      </c>
      <c r="AL16">
        <f t="shared" ca="1" si="13"/>
        <v>-0.18793922728778276</v>
      </c>
      <c r="AM16">
        <f t="shared" ca="1" si="13"/>
        <v>0.92297414442965509</v>
      </c>
      <c r="AN16">
        <f t="shared" ca="1" si="13"/>
        <v>0.38246546888896044</v>
      </c>
      <c r="AO16">
        <f t="shared" ca="1" si="13"/>
        <v>-0.91981777997928971</v>
      </c>
      <c r="AP16">
        <f t="shared" ca="1" si="13"/>
        <v>-0.37473661829415661</v>
      </c>
      <c r="AQ16">
        <f t="shared" ca="1" si="13"/>
        <v>1.5426571900991974</v>
      </c>
      <c r="AR16">
        <f t="shared" ca="1" si="13"/>
        <v>-2.8789959111019776</v>
      </c>
      <c r="AS16">
        <f t="shared" ca="1" si="13"/>
        <v>0.2909091885487935</v>
      </c>
      <c r="AT16">
        <f t="shared" ca="1" si="14"/>
        <v>-0.62291419099823608</v>
      </c>
      <c r="AU16">
        <f t="shared" ca="1" si="14"/>
        <v>-0.46044148611452923</v>
      </c>
      <c r="AV16">
        <f t="shared" ca="1" si="14"/>
        <v>2.0781533501495262</v>
      </c>
      <c r="AW16">
        <f t="shared" ca="1" si="14"/>
        <v>-0.19287129642773845</v>
      </c>
      <c r="AX16">
        <f t="shared" ca="1" si="14"/>
        <v>-0.56701505129249363</v>
      </c>
      <c r="AY16">
        <f t="shared" ca="1" si="14"/>
        <v>-1.2908735596848784</v>
      </c>
      <c r="AZ16">
        <f t="shared" ca="1" si="14"/>
        <v>1.0812928667156672</v>
      </c>
      <c r="BA16">
        <f t="shared" ca="1" si="14"/>
        <v>-0.19827663792079153</v>
      </c>
      <c r="BB16">
        <f t="shared" ca="1" si="14"/>
        <v>1.5302510399778344</v>
      </c>
      <c r="BC16">
        <f t="shared" ca="1" si="14"/>
        <v>1.2708284450682423</v>
      </c>
      <c r="BD16">
        <f t="shared" ca="1" si="15"/>
        <v>9.8749574923372128E-3</v>
      </c>
      <c r="BE16">
        <f t="shared" ca="1" si="15"/>
        <v>0.5855691696657529</v>
      </c>
      <c r="BF16">
        <f t="shared" ca="1" si="15"/>
        <v>-0.78773352607941372</v>
      </c>
      <c r="BG16">
        <f t="shared" ca="1" si="15"/>
        <v>-0.22226301385486072</v>
      </c>
      <c r="BH16">
        <f t="shared" ca="1" si="15"/>
        <v>-0.92269534462705027</v>
      </c>
      <c r="BI16">
        <f t="shared" ca="1" si="15"/>
        <v>-0.56001789794162982</v>
      </c>
      <c r="BJ16">
        <f t="shared" ca="1" si="15"/>
        <v>-8.7682160120935604E-2</v>
      </c>
      <c r="BK16">
        <f t="shared" ca="1" si="15"/>
        <v>0.14835239381457815</v>
      </c>
      <c r="BL16">
        <f t="shared" ca="1" si="15"/>
        <v>-1.1658898444895938</v>
      </c>
      <c r="BM16">
        <f t="shared" ca="1" si="15"/>
        <v>-0.83072982841793463</v>
      </c>
      <c r="BN16">
        <f t="shared" ca="1" si="16"/>
        <v>0.91119208914926431</v>
      </c>
      <c r="BO16">
        <f t="shared" ca="1" si="16"/>
        <v>1.2766235020921335</v>
      </c>
      <c r="BP16">
        <f t="shared" ca="1" si="16"/>
        <v>-0.62755025722797775</v>
      </c>
      <c r="BQ16">
        <f t="shared" ca="1" si="16"/>
        <v>3.478436502801583E-2</v>
      </c>
      <c r="BR16">
        <f t="shared" ca="1" si="16"/>
        <v>1.097749629096084</v>
      </c>
      <c r="BS16">
        <f t="shared" ca="1" si="16"/>
        <v>-1.1168937630000162</v>
      </c>
      <c r="BT16">
        <f t="shared" ca="1" si="16"/>
        <v>-0.16231213141667317</v>
      </c>
      <c r="BU16">
        <f t="shared" ca="1" si="16"/>
        <v>0.21838604053480273</v>
      </c>
      <c r="BV16">
        <f t="shared" ca="1" si="16"/>
        <v>1.8627447150863399</v>
      </c>
      <c r="BW16">
        <f t="shared" ca="1" si="16"/>
        <v>-1.0037638924305314</v>
      </c>
      <c r="BX16">
        <f t="shared" ca="1" si="17"/>
        <v>0.29215359936279073</v>
      </c>
      <c r="BY16">
        <f t="shared" ca="1" si="17"/>
        <v>-1.1873763940956796</v>
      </c>
      <c r="BZ16">
        <f t="shared" ca="1" si="17"/>
        <v>-0.6077770093004693</v>
      </c>
      <c r="CA16">
        <f t="shared" ca="1" si="17"/>
        <v>0.6370466695107434</v>
      </c>
      <c r="CB16">
        <f t="shared" ca="1" si="17"/>
        <v>-0.85511960910406537</v>
      </c>
      <c r="CC16">
        <f t="shared" ca="1" si="17"/>
        <v>-1.7011878849394138</v>
      </c>
      <c r="CD16">
        <f t="shared" ca="1" si="17"/>
        <v>-3.3330968512360427E-2</v>
      </c>
      <c r="CE16">
        <f t="shared" ca="1" si="17"/>
        <v>-0.80155145335150713</v>
      </c>
      <c r="CF16">
        <f t="shared" ca="1" si="17"/>
        <v>1.7205283705682093</v>
      </c>
      <c r="CG16">
        <f t="shared" ca="1" si="17"/>
        <v>-0.61763893476608334</v>
      </c>
      <c r="CH16">
        <f t="shared" ca="1" si="18"/>
        <v>-0.9201278434197061</v>
      </c>
      <c r="CI16">
        <f t="shared" ca="1" si="18"/>
        <v>-1.201955176861669</v>
      </c>
      <c r="CJ16">
        <f t="shared" ca="1" si="18"/>
        <v>0.97841857613383665</v>
      </c>
      <c r="CK16">
        <f t="shared" ca="1" si="18"/>
        <v>-0.25936418570134301</v>
      </c>
      <c r="CL16">
        <f t="shared" ca="1" si="18"/>
        <v>-0.80005176311755544</v>
      </c>
      <c r="CM16">
        <f t="shared" ca="1" si="18"/>
        <v>0.11654391943172768</v>
      </c>
      <c r="CN16">
        <f t="shared" ca="1" si="18"/>
        <v>0.86578371759179251</v>
      </c>
      <c r="CO16">
        <f t="shared" ca="1" si="18"/>
        <v>-2.0903874093223689E-2</v>
      </c>
      <c r="CP16">
        <f t="shared" ca="1" si="18"/>
        <v>-0.96990205296802146</v>
      </c>
      <c r="CQ16">
        <f t="shared" ca="1" si="18"/>
        <v>-1.3682789640135726</v>
      </c>
      <c r="CR16">
        <f t="shared" ca="1" si="19"/>
        <v>0.18103435133862236</v>
      </c>
      <c r="CS16">
        <f t="shared" ca="1" si="19"/>
        <v>-0.13951370082257641</v>
      </c>
      <c r="CT16">
        <f t="shared" ca="1" si="19"/>
        <v>-2.8871874234391424</v>
      </c>
      <c r="CU16">
        <f t="shared" ca="1" si="19"/>
        <v>1.4417250006168691</v>
      </c>
      <c r="CV16">
        <f t="shared" ca="1" si="19"/>
        <v>-0.43586966432641322</v>
      </c>
      <c r="CW16">
        <f t="shared" ca="1" si="19"/>
        <v>0.84873151028648686</v>
      </c>
      <c r="CX16">
        <f t="shared" ca="1" si="19"/>
        <v>-0.32988840789946938</v>
      </c>
      <c r="CY16">
        <f t="shared" ca="1" si="19"/>
        <v>-0.51063015594429262</v>
      </c>
      <c r="CZ16">
        <f t="shared" ca="1" si="19"/>
        <v>-0.47636098344805405</v>
      </c>
      <c r="DA16">
        <f t="shared" ca="1" si="19"/>
        <v>-1.4792864711315388</v>
      </c>
    </row>
    <row r="17" spans="5:105" x14ac:dyDescent="0.25">
      <c r="E17">
        <f>S_plus!L17</f>
        <v>0.15</v>
      </c>
      <c r="F17">
        <f t="shared" ca="1" si="10"/>
        <v>0.30025217722897196</v>
      </c>
      <c r="G17">
        <f t="shared" ca="1" si="10"/>
        <v>1.6327436731084137</v>
      </c>
      <c r="H17">
        <f t="shared" ca="1" si="10"/>
        <v>-0.41138384460748789</v>
      </c>
      <c r="I17">
        <f t="shared" ca="1" si="10"/>
        <v>0.89609187017332714</v>
      </c>
      <c r="J17">
        <f t="shared" ca="1" si="10"/>
        <v>-0.60383766083724499</v>
      </c>
      <c r="K17">
        <f t="shared" ca="1" si="10"/>
        <v>1.0070223673926377</v>
      </c>
      <c r="L17">
        <f t="shared" ca="1" si="10"/>
        <v>0.79658494785251976</v>
      </c>
      <c r="M17">
        <f t="shared" ca="1" si="10"/>
        <v>0.98466205725895706</v>
      </c>
      <c r="N17">
        <f t="shared" ca="1" si="10"/>
        <v>1.0380435604251215</v>
      </c>
      <c r="O17">
        <f t="shared" ca="1" si="10"/>
        <v>-0.41593000093169474</v>
      </c>
      <c r="P17">
        <f t="shared" ca="1" si="11"/>
        <v>0.26070382172918644</v>
      </c>
      <c r="Q17">
        <f t="shared" ca="1" si="11"/>
        <v>-0.26242175151550362</v>
      </c>
      <c r="R17">
        <f t="shared" ca="1" si="11"/>
        <v>0.63472940073190354</v>
      </c>
      <c r="S17">
        <f t="shared" ca="1" si="11"/>
        <v>-0.54362038697718196</v>
      </c>
      <c r="T17">
        <f t="shared" ca="1" si="11"/>
        <v>1.241698161110423</v>
      </c>
      <c r="U17">
        <f t="shared" ca="1" si="11"/>
        <v>-0.70493552491914269</v>
      </c>
      <c r="V17">
        <f t="shared" ca="1" si="11"/>
        <v>0.37006986989372509</v>
      </c>
      <c r="W17">
        <f t="shared" ca="1" si="11"/>
        <v>0.38236164484283003</v>
      </c>
      <c r="X17">
        <f t="shared" ca="1" si="11"/>
        <v>-0.31886851119054543</v>
      </c>
      <c r="Y17">
        <f t="shared" ca="1" si="11"/>
        <v>0.85738170174478312</v>
      </c>
      <c r="Z17">
        <f t="shared" ca="1" si="12"/>
        <v>0.64759738685267176</v>
      </c>
      <c r="AA17">
        <f t="shared" ca="1" si="12"/>
        <v>0.20466457599988494</v>
      </c>
      <c r="AB17">
        <f t="shared" ca="1" si="12"/>
        <v>-0.16758490357423839</v>
      </c>
      <c r="AC17">
        <f t="shared" ca="1" si="12"/>
        <v>-1.3432064512296473</v>
      </c>
      <c r="AD17">
        <f t="shared" ca="1" si="12"/>
        <v>0.48247269298089496</v>
      </c>
      <c r="AE17">
        <f t="shared" ca="1" si="12"/>
        <v>1.481150263091852</v>
      </c>
      <c r="AF17">
        <f t="shared" ca="1" si="12"/>
        <v>-0.11279629558704213</v>
      </c>
      <c r="AG17">
        <f t="shared" ca="1" si="12"/>
        <v>1.2077991950886766</v>
      </c>
      <c r="AH17">
        <f t="shared" ca="1" si="12"/>
        <v>0.44886919357471244</v>
      </c>
      <c r="AI17">
        <f t="shared" ca="1" si="12"/>
        <v>-0.3403397802216036</v>
      </c>
      <c r="AJ17">
        <f t="shared" ca="1" si="13"/>
        <v>0.92555555930490019</v>
      </c>
      <c r="AK17">
        <f t="shared" ca="1" si="13"/>
        <v>1.9775063752243531</v>
      </c>
      <c r="AL17">
        <f t="shared" ca="1" si="13"/>
        <v>1.5209096237257873</v>
      </c>
      <c r="AM17">
        <f t="shared" ca="1" si="13"/>
        <v>-0.77754018310522321</v>
      </c>
      <c r="AN17">
        <f t="shared" ca="1" si="13"/>
        <v>1.7989570925428837</v>
      </c>
      <c r="AO17">
        <f t="shared" ca="1" si="13"/>
        <v>6.2185734338151603E-2</v>
      </c>
      <c r="AP17">
        <f t="shared" ca="1" si="13"/>
        <v>-0.34704714371975387</v>
      </c>
      <c r="AQ17">
        <f t="shared" ca="1" si="13"/>
        <v>0.62388369737022298</v>
      </c>
      <c r="AR17">
        <f t="shared" ca="1" si="13"/>
        <v>-0.43398540084526099</v>
      </c>
      <c r="AS17">
        <f t="shared" ca="1" si="13"/>
        <v>-0.21144498037412485</v>
      </c>
      <c r="AT17">
        <f t="shared" ca="1" si="14"/>
        <v>-1.7244501805071626</v>
      </c>
      <c r="AU17">
        <f t="shared" ca="1" si="14"/>
        <v>1.0274751934335717</v>
      </c>
      <c r="AV17">
        <f t="shared" ca="1" si="14"/>
        <v>-1.0209225316738504</v>
      </c>
      <c r="AW17">
        <f t="shared" ca="1" si="14"/>
        <v>-1.9259542376090972</v>
      </c>
      <c r="AX17">
        <f t="shared" ca="1" si="14"/>
        <v>-1.7309915655818369</v>
      </c>
      <c r="AY17">
        <f t="shared" ca="1" si="14"/>
        <v>-1.1286282355160122</v>
      </c>
      <c r="AZ17">
        <f t="shared" ca="1" si="14"/>
        <v>7.3795085569363983E-2</v>
      </c>
      <c r="BA17">
        <f t="shared" ca="1" si="14"/>
        <v>-0.36373448499076244</v>
      </c>
      <c r="BB17">
        <f t="shared" ca="1" si="14"/>
        <v>0.46011784539081291</v>
      </c>
      <c r="BC17">
        <f t="shared" ca="1" si="14"/>
        <v>0.72803308433804137</v>
      </c>
      <c r="BD17">
        <f t="shared" ca="1" si="15"/>
        <v>-1.4457151790159216E-2</v>
      </c>
      <c r="BE17">
        <f t="shared" ca="1" si="15"/>
        <v>0.10190893745535319</v>
      </c>
      <c r="BF17">
        <f t="shared" ca="1" si="15"/>
        <v>-0.14572103596032673</v>
      </c>
      <c r="BG17">
        <f t="shared" ca="1" si="15"/>
        <v>0.80390515691725906</v>
      </c>
      <c r="BH17">
        <f t="shared" ca="1" si="15"/>
        <v>-2.3491182905288004</v>
      </c>
      <c r="BI17">
        <f t="shared" ca="1" si="15"/>
        <v>-0.57995919805153573</v>
      </c>
      <c r="BJ17">
        <f t="shared" ca="1" si="15"/>
        <v>0.24223858305008272</v>
      </c>
      <c r="BK17">
        <f t="shared" ca="1" si="15"/>
        <v>-1.5172049818135607</v>
      </c>
      <c r="BL17">
        <f t="shared" ca="1" si="15"/>
        <v>0.86748976113910481</v>
      </c>
      <c r="BM17">
        <f t="shared" ca="1" si="15"/>
        <v>-1.1002697406830551</v>
      </c>
      <c r="BN17">
        <f t="shared" ca="1" si="16"/>
        <v>-0.61293941871887425</v>
      </c>
      <c r="BO17">
        <f t="shared" ca="1" si="16"/>
        <v>-1.3490290950464914</v>
      </c>
      <c r="BP17">
        <f t="shared" ca="1" si="16"/>
        <v>0.42926631145286853</v>
      </c>
      <c r="BQ17">
        <f t="shared" ca="1" si="16"/>
        <v>0.98275574233421847</v>
      </c>
      <c r="BR17">
        <f t="shared" ca="1" si="16"/>
        <v>-1.0475154780927385</v>
      </c>
      <c r="BS17">
        <f t="shared" ca="1" si="16"/>
        <v>-0.47220943200173404</v>
      </c>
      <c r="BT17">
        <f t="shared" ca="1" si="16"/>
        <v>-0.46257899342426034</v>
      </c>
      <c r="BU17">
        <f t="shared" ca="1" si="16"/>
        <v>0.66709887598041584</v>
      </c>
      <c r="BV17">
        <f t="shared" ca="1" si="16"/>
        <v>1.7622437879427904</v>
      </c>
      <c r="BW17">
        <f t="shared" ca="1" si="16"/>
        <v>0.98793419204623356</v>
      </c>
      <c r="BX17">
        <f t="shared" ca="1" si="17"/>
        <v>0.41557206102295891</v>
      </c>
      <c r="BY17">
        <f t="shared" ca="1" si="17"/>
        <v>-0.15681260014275425</v>
      </c>
      <c r="BZ17">
        <f t="shared" ca="1" si="17"/>
        <v>-0.12421826637654237</v>
      </c>
      <c r="CA17">
        <f t="shared" ca="1" si="17"/>
        <v>0.39905967981475099</v>
      </c>
      <c r="CB17">
        <f t="shared" ca="1" si="17"/>
        <v>-1.4811578700184642</v>
      </c>
      <c r="CC17">
        <f t="shared" ca="1" si="17"/>
        <v>-1.3327883722044267</v>
      </c>
      <c r="CD17">
        <f t="shared" ca="1" si="17"/>
        <v>-0.4637068189201049</v>
      </c>
      <c r="CE17">
        <f t="shared" ca="1" si="17"/>
        <v>-0.47885530325010983</v>
      </c>
      <c r="CF17">
        <f t="shared" ca="1" si="17"/>
        <v>-0.72661444728242053</v>
      </c>
      <c r="CG17">
        <f t="shared" ca="1" si="17"/>
        <v>-2.6956677941216327</v>
      </c>
      <c r="CH17">
        <f t="shared" ca="1" si="18"/>
        <v>0.24424255222228156</v>
      </c>
      <c r="CI17">
        <f t="shared" ca="1" si="18"/>
        <v>1.2377747315807053</v>
      </c>
      <c r="CJ17">
        <f t="shared" ca="1" si="18"/>
        <v>0.3513257671634622</v>
      </c>
      <c r="CK17">
        <f t="shared" ca="1" si="18"/>
        <v>-1.5724733599174741</v>
      </c>
      <c r="CL17">
        <f t="shared" ca="1" si="18"/>
        <v>-0.59954013653348859</v>
      </c>
      <c r="CM17">
        <f t="shared" ca="1" si="18"/>
        <v>-5.0638560090184213E-2</v>
      </c>
      <c r="CN17">
        <f t="shared" ca="1" si="18"/>
        <v>-1.4114212997792295</v>
      </c>
      <c r="CO17">
        <f t="shared" ca="1" si="18"/>
        <v>1.4120766414343748</v>
      </c>
      <c r="CP17">
        <f t="shared" ca="1" si="18"/>
        <v>-0.20295573356620827</v>
      </c>
      <c r="CQ17">
        <f t="shared" ca="1" si="18"/>
        <v>-0.16287787073116655</v>
      </c>
      <c r="CR17">
        <f t="shared" ca="1" si="19"/>
        <v>-0.35042994371599051</v>
      </c>
      <c r="CS17">
        <f t="shared" ca="1" si="19"/>
        <v>0.94155345305925986</v>
      </c>
      <c r="CT17">
        <f t="shared" ca="1" si="19"/>
        <v>7.1273227533493744E-2</v>
      </c>
      <c r="CU17">
        <f t="shared" ca="1" si="19"/>
        <v>-0.43498310796141837</v>
      </c>
      <c r="CV17">
        <f t="shared" ca="1" si="19"/>
        <v>-0.71507422500563611</v>
      </c>
      <c r="CW17">
        <f t="shared" ca="1" si="19"/>
        <v>-1.279141067607013</v>
      </c>
      <c r="CX17">
        <f t="shared" ca="1" si="19"/>
        <v>-0.59036944838190919</v>
      </c>
      <c r="CY17">
        <f t="shared" ca="1" si="19"/>
        <v>-0.93586399063333126</v>
      </c>
      <c r="CZ17">
        <f t="shared" ca="1" si="19"/>
        <v>0.42112008661968442</v>
      </c>
      <c r="DA17">
        <f t="shared" ca="1" si="19"/>
        <v>-0.4787109901503328</v>
      </c>
    </row>
    <row r="18" spans="5:105" x14ac:dyDescent="0.25">
      <c r="E18">
        <f>S_plus!L18</f>
        <v>0.16</v>
      </c>
      <c r="F18">
        <f t="shared" ca="1" si="10"/>
        <v>1.1450617382082575</v>
      </c>
      <c r="G18">
        <f t="shared" ca="1" si="10"/>
        <v>0.93006522354427501</v>
      </c>
      <c r="H18">
        <f t="shared" ca="1" si="10"/>
        <v>-1.0073424785088434</v>
      </c>
      <c r="I18">
        <f t="shared" ca="1" si="10"/>
        <v>0.10043368566554786</v>
      </c>
      <c r="J18">
        <f t="shared" ca="1" si="10"/>
        <v>-0.45430885009611688</v>
      </c>
      <c r="K18">
        <f t="shared" ca="1" si="10"/>
        <v>-0.21696302068544471</v>
      </c>
      <c r="L18">
        <f t="shared" ca="1" si="10"/>
        <v>-1.5328118615900501</v>
      </c>
      <c r="M18">
        <f t="shared" ca="1" si="10"/>
        <v>-0.62095716319633609</v>
      </c>
      <c r="N18">
        <f t="shared" ca="1" si="10"/>
        <v>1.7828498715071537</v>
      </c>
      <c r="O18">
        <f t="shared" ca="1" si="10"/>
        <v>-5.8761294774902384E-2</v>
      </c>
      <c r="P18">
        <f t="shared" ca="1" si="11"/>
        <v>-1.0940462841463596</v>
      </c>
      <c r="Q18">
        <f t="shared" ca="1" si="11"/>
        <v>-1.0725278682160115</v>
      </c>
      <c r="R18">
        <f t="shared" ca="1" si="11"/>
        <v>1.5725190273194234</v>
      </c>
      <c r="S18">
        <f t="shared" ca="1" si="11"/>
        <v>0.51872558410464387</v>
      </c>
      <c r="T18">
        <f t="shared" ca="1" si="11"/>
        <v>-0.5169066172969734</v>
      </c>
      <c r="U18">
        <f t="shared" ca="1" si="11"/>
        <v>1.6839041800681855</v>
      </c>
      <c r="V18">
        <f t="shared" ca="1" si="11"/>
        <v>-1.6897823616920582</v>
      </c>
      <c r="W18">
        <f t="shared" ca="1" si="11"/>
        <v>-0.100055152356886</v>
      </c>
      <c r="X18">
        <f t="shared" ca="1" si="11"/>
        <v>1.1361413527273176</v>
      </c>
      <c r="Y18">
        <f t="shared" ca="1" si="11"/>
        <v>-0.4867538480962646</v>
      </c>
      <c r="Z18">
        <f t="shared" ca="1" si="12"/>
        <v>1.3128521419594943</v>
      </c>
      <c r="AA18">
        <f t="shared" ca="1" si="12"/>
        <v>-8.4451979658501541E-2</v>
      </c>
      <c r="AB18">
        <f t="shared" ca="1" si="12"/>
        <v>-0.4590283526019196</v>
      </c>
      <c r="AC18">
        <f t="shared" ca="1" si="12"/>
        <v>0.8983499424201451</v>
      </c>
      <c r="AD18">
        <f t="shared" ca="1" si="12"/>
        <v>-0.7759062707637765</v>
      </c>
      <c r="AE18">
        <f t="shared" ca="1" si="12"/>
        <v>-0.41111847534969881</v>
      </c>
      <c r="AF18">
        <f t="shared" ca="1" si="12"/>
        <v>-0.65044147465029267</v>
      </c>
      <c r="AG18">
        <f t="shared" ca="1" si="12"/>
        <v>0.2132372066025571</v>
      </c>
      <c r="AH18">
        <f t="shared" ca="1" si="12"/>
        <v>-0.10785372378619329</v>
      </c>
      <c r="AI18">
        <f t="shared" ca="1" si="12"/>
        <v>0.13232252618833998</v>
      </c>
      <c r="AJ18">
        <f t="shared" ca="1" si="13"/>
        <v>1.3213341123146136</v>
      </c>
      <c r="AK18">
        <f t="shared" ca="1" si="13"/>
        <v>-0.71551339036739781</v>
      </c>
      <c r="AL18">
        <f t="shared" ca="1" si="13"/>
        <v>-1.688305752449405</v>
      </c>
      <c r="AM18">
        <f t="shared" ca="1" si="13"/>
        <v>0.88552449405513189</v>
      </c>
      <c r="AN18">
        <f t="shared" ca="1" si="13"/>
        <v>-0.41407841779045157</v>
      </c>
      <c r="AO18">
        <f t="shared" ca="1" si="13"/>
        <v>-0.5739572288432766</v>
      </c>
      <c r="AP18">
        <f t="shared" ca="1" si="13"/>
        <v>0.43662145354896403</v>
      </c>
      <c r="AQ18">
        <f t="shared" ca="1" si="13"/>
        <v>2.5296446540537798</v>
      </c>
      <c r="AR18">
        <f t="shared" ca="1" si="13"/>
        <v>0.34855717686754956</v>
      </c>
      <c r="AS18">
        <f t="shared" ca="1" si="13"/>
        <v>-1.0538884764308225</v>
      </c>
      <c r="AT18">
        <f t="shared" ca="1" si="14"/>
        <v>2.2501717875191853</v>
      </c>
      <c r="AU18">
        <f t="shared" ca="1" si="14"/>
        <v>-1.0557727045911252</v>
      </c>
      <c r="AV18">
        <f t="shared" ca="1" si="14"/>
        <v>-6.0564853277830281E-2</v>
      </c>
      <c r="AW18">
        <f t="shared" ca="1" si="14"/>
        <v>0.407118652481123</v>
      </c>
      <c r="AX18">
        <f t="shared" ca="1" si="14"/>
        <v>0.52936656251746794</v>
      </c>
      <c r="AY18">
        <f t="shared" ca="1" si="14"/>
        <v>1.3679069718887813</v>
      </c>
      <c r="AZ18">
        <f t="shared" ca="1" si="14"/>
        <v>1.450381554443694</v>
      </c>
      <c r="BA18">
        <f t="shared" ca="1" si="14"/>
        <v>2.2988085102365378E-2</v>
      </c>
      <c r="BB18">
        <f t="shared" ca="1" si="14"/>
        <v>-0.44064338555978744</v>
      </c>
      <c r="BC18">
        <f t="shared" ca="1" si="14"/>
        <v>-7.9790869185349649E-3</v>
      </c>
      <c r="BD18">
        <f t="shared" ca="1" si="15"/>
        <v>0.50996652665053566</v>
      </c>
      <c r="BE18">
        <f t="shared" ca="1" si="15"/>
        <v>-1.8470562031260278</v>
      </c>
      <c r="BF18">
        <f t="shared" ca="1" si="15"/>
        <v>0.66426917491944648</v>
      </c>
      <c r="BG18">
        <f t="shared" ca="1" si="15"/>
        <v>0.4372814615286516</v>
      </c>
      <c r="BH18">
        <f t="shared" ca="1" si="15"/>
        <v>0.74506565814008119</v>
      </c>
      <c r="BI18">
        <f t="shared" ca="1" si="15"/>
        <v>-0.54102173698824396</v>
      </c>
      <c r="BJ18">
        <f t="shared" ca="1" si="15"/>
        <v>-0.33486686026157886</v>
      </c>
      <c r="BK18">
        <f t="shared" ca="1" si="15"/>
        <v>-0.72829511429194116</v>
      </c>
      <c r="BL18">
        <f t="shared" ca="1" si="15"/>
        <v>-0.24732153061490125</v>
      </c>
      <c r="BM18">
        <f t="shared" ca="1" si="15"/>
        <v>-0.3248236889231696</v>
      </c>
      <c r="BN18">
        <f t="shared" ca="1" si="16"/>
        <v>-0.33341211590546632</v>
      </c>
      <c r="BO18">
        <f t="shared" ca="1" si="16"/>
        <v>-1.7505201237603116</v>
      </c>
      <c r="BP18">
        <f t="shared" ca="1" si="16"/>
        <v>-0.36529497005200456</v>
      </c>
      <c r="BQ18">
        <f t="shared" ca="1" si="16"/>
        <v>-0.53231514252781498</v>
      </c>
      <c r="BR18">
        <f t="shared" ca="1" si="16"/>
        <v>-1.0857180094989078</v>
      </c>
      <c r="BS18">
        <f t="shared" ca="1" si="16"/>
        <v>0.88685335507496432</v>
      </c>
      <c r="BT18">
        <f t="shared" ca="1" si="16"/>
        <v>-1.9802396008634267</v>
      </c>
      <c r="BU18">
        <f t="shared" ca="1" si="16"/>
        <v>1.4876212794235057</v>
      </c>
      <c r="BV18">
        <f t="shared" ca="1" si="16"/>
        <v>1.1711853961176169</v>
      </c>
      <c r="BW18">
        <f t="shared" ca="1" si="16"/>
        <v>-0.13200375414266649</v>
      </c>
      <c r="BX18">
        <f t="shared" ca="1" si="17"/>
        <v>0.22211388030245713</v>
      </c>
      <c r="BY18">
        <f t="shared" ca="1" si="17"/>
        <v>0.15169274908467945</v>
      </c>
      <c r="BZ18">
        <f t="shared" ca="1" si="17"/>
        <v>-0.55395386539168479</v>
      </c>
      <c r="CA18">
        <f t="shared" ca="1" si="17"/>
        <v>-0.70816749001660595</v>
      </c>
      <c r="CB18">
        <f t="shared" ca="1" si="17"/>
        <v>0.518609043723818</v>
      </c>
      <c r="CC18">
        <f t="shared" ca="1" si="17"/>
        <v>0.49199021809997412</v>
      </c>
      <c r="CD18">
        <f t="shared" ca="1" si="17"/>
        <v>0.25627167942759965</v>
      </c>
      <c r="CE18">
        <f t="shared" ca="1" si="17"/>
        <v>1.7175202538816525</v>
      </c>
      <c r="CF18">
        <f t="shared" ca="1" si="17"/>
        <v>-0.74963600298508459</v>
      </c>
      <c r="CG18">
        <f t="shared" ca="1" si="17"/>
        <v>1.2040477679944552</v>
      </c>
      <c r="CH18">
        <f t="shared" ca="1" si="18"/>
        <v>-1.2860226328917523</v>
      </c>
      <c r="CI18">
        <f t="shared" ca="1" si="18"/>
        <v>-2.2858377628146878</v>
      </c>
      <c r="CJ18">
        <f t="shared" ca="1" si="18"/>
        <v>2.154819077864802</v>
      </c>
      <c r="CK18">
        <f t="shared" ca="1" si="18"/>
        <v>2.2797996612808467</v>
      </c>
      <c r="CL18">
        <f t="shared" ca="1" si="18"/>
        <v>0.79054905036829481</v>
      </c>
      <c r="CM18">
        <f t="shared" ca="1" si="18"/>
        <v>-0.16601286223242806</v>
      </c>
      <c r="CN18">
        <f t="shared" ca="1" si="18"/>
        <v>-1.1197103853403731</v>
      </c>
      <c r="CO18">
        <f t="shared" ca="1" si="18"/>
        <v>-9.7212278968437885E-2</v>
      </c>
      <c r="CP18">
        <f t="shared" ca="1" si="18"/>
        <v>0.2378839503161998</v>
      </c>
      <c r="CQ18">
        <f t="shared" ca="1" si="18"/>
        <v>0.90862905777765046</v>
      </c>
      <c r="CR18">
        <f t="shared" ca="1" si="19"/>
        <v>0.77040476181290629</v>
      </c>
      <c r="CS18">
        <f t="shared" ca="1" si="19"/>
        <v>-0.70815367253874473</v>
      </c>
      <c r="CT18">
        <f t="shared" ca="1" si="19"/>
        <v>-0.92468845089297313</v>
      </c>
      <c r="CU18">
        <f t="shared" ca="1" si="19"/>
        <v>-1.3078449103954921</v>
      </c>
      <c r="CV18">
        <f t="shared" ca="1" si="19"/>
        <v>-0.6911464746927789</v>
      </c>
      <c r="CW18">
        <f t="shared" ca="1" si="19"/>
        <v>0.2976826594593811</v>
      </c>
      <c r="CX18">
        <f t="shared" ca="1" si="19"/>
        <v>0.50650187289532256</v>
      </c>
      <c r="CY18">
        <f t="shared" ca="1" si="19"/>
        <v>-0.47917102988466298</v>
      </c>
      <c r="CZ18">
        <f t="shared" ca="1" si="19"/>
        <v>-0.65847648402530501</v>
      </c>
      <c r="DA18">
        <f t="shared" ca="1" si="19"/>
        <v>0.75255274245229264</v>
      </c>
    </row>
    <row r="19" spans="5:105" x14ac:dyDescent="0.25">
      <c r="E19">
        <f>S_plus!L19</f>
        <v>0.17</v>
      </c>
      <c r="F19">
        <f t="shared" ca="1" si="10"/>
        <v>0.90110586291056527</v>
      </c>
      <c r="G19">
        <f t="shared" ca="1" si="10"/>
        <v>0.28476710732557442</v>
      </c>
      <c r="H19">
        <f t="shared" ca="1" si="10"/>
        <v>-0.76719465177111434</v>
      </c>
      <c r="I19">
        <f t="shared" ca="1" si="10"/>
        <v>-1.2949788268815445</v>
      </c>
      <c r="J19">
        <f t="shared" ca="1" si="10"/>
        <v>-1.4825307567857755</v>
      </c>
      <c r="K19">
        <f t="shared" ca="1" si="10"/>
        <v>0.21382977766497793</v>
      </c>
      <c r="L19">
        <f t="shared" ca="1" si="10"/>
        <v>1.0565400233872444</v>
      </c>
      <c r="M19">
        <f t="shared" ca="1" si="10"/>
        <v>0.48944362410992215</v>
      </c>
      <c r="N19">
        <f t="shared" ca="1" si="10"/>
        <v>-1.0392065821777006</v>
      </c>
      <c r="O19">
        <f t="shared" ca="1" si="10"/>
        <v>-0.98681369746609582</v>
      </c>
      <c r="P19">
        <f t="shared" ca="1" si="11"/>
        <v>0.34071356836807332</v>
      </c>
      <c r="Q19">
        <f t="shared" ca="1" si="11"/>
        <v>0.23914249894842465</v>
      </c>
      <c r="R19">
        <f t="shared" ca="1" si="11"/>
        <v>-0.48377788937965654</v>
      </c>
      <c r="S19">
        <f t="shared" ca="1" si="11"/>
        <v>7.0604900880500129E-2</v>
      </c>
      <c r="T19">
        <f t="shared" ca="1" si="11"/>
        <v>0.7936085669429408</v>
      </c>
      <c r="U19">
        <f t="shared" ca="1" si="11"/>
        <v>-0.99676604184742568</v>
      </c>
      <c r="V19">
        <f t="shared" ca="1" si="11"/>
        <v>-0.871454463157326</v>
      </c>
      <c r="W19">
        <f t="shared" ca="1" si="11"/>
        <v>-0.15069327988780776</v>
      </c>
      <c r="X19">
        <f t="shared" ca="1" si="11"/>
        <v>-0.54672623634145134</v>
      </c>
      <c r="Y19">
        <f t="shared" ca="1" si="11"/>
        <v>-0.16440330699125735</v>
      </c>
      <c r="Z19">
        <f t="shared" ca="1" si="12"/>
        <v>0.4858056151244024</v>
      </c>
      <c r="AA19">
        <f t="shared" ca="1" si="12"/>
        <v>-0.5669149654648401</v>
      </c>
      <c r="AB19">
        <f t="shared" ca="1" si="12"/>
        <v>1.578841115277696</v>
      </c>
      <c r="AC19">
        <f t="shared" ca="1" si="12"/>
        <v>1.3262219167413642</v>
      </c>
      <c r="AD19">
        <f t="shared" ca="1" si="12"/>
        <v>-1.1244619339946815</v>
      </c>
      <c r="AE19">
        <f t="shared" ca="1" si="12"/>
        <v>-0.59692351225305118</v>
      </c>
      <c r="AF19">
        <f t="shared" ca="1" si="12"/>
        <v>1.5092894092916935</v>
      </c>
      <c r="AG19">
        <f t="shared" ca="1" si="12"/>
        <v>-6.713496953044279E-2</v>
      </c>
      <c r="AH19">
        <f t="shared" ca="1" si="12"/>
        <v>-0.83853265989602355</v>
      </c>
      <c r="AI19">
        <f t="shared" ca="1" si="12"/>
        <v>-1.9005533065152416</v>
      </c>
      <c r="AJ19">
        <f t="shared" ca="1" si="13"/>
        <v>-0.21441654043584571</v>
      </c>
      <c r="AK19">
        <f t="shared" ca="1" si="13"/>
        <v>-0.25894670765138672</v>
      </c>
      <c r="AL19">
        <f t="shared" ca="1" si="13"/>
        <v>0.21698071836167523</v>
      </c>
      <c r="AM19">
        <f t="shared" ca="1" si="13"/>
        <v>-1.0325846783333215</v>
      </c>
      <c r="AN19">
        <f t="shared" ca="1" si="13"/>
        <v>0.53804007938718834</v>
      </c>
      <c r="AO19">
        <f t="shared" ca="1" si="13"/>
        <v>1.1814971451328604</v>
      </c>
      <c r="AP19">
        <f t="shared" ca="1" si="13"/>
        <v>-0.43169995117038112</v>
      </c>
      <c r="AQ19">
        <f t="shared" ca="1" si="13"/>
        <v>0.322656645394093</v>
      </c>
      <c r="AR19">
        <f t="shared" ca="1" si="13"/>
        <v>1.5732854949296682</v>
      </c>
      <c r="AS19">
        <f t="shared" ca="1" si="13"/>
        <v>0.6014707574423408</v>
      </c>
      <c r="AT19">
        <f t="shared" ca="1" si="14"/>
        <v>-0.36603025974310965</v>
      </c>
      <c r="AU19">
        <f t="shared" ca="1" si="14"/>
        <v>6.9987794852277269E-2</v>
      </c>
      <c r="AV19">
        <f t="shared" ca="1" si="14"/>
        <v>-1.0025742967219935</v>
      </c>
      <c r="AW19">
        <f t="shared" ca="1" si="14"/>
        <v>-0.53026933958973421</v>
      </c>
      <c r="AX19">
        <f t="shared" ca="1" si="14"/>
        <v>-0.61025829679419719</v>
      </c>
      <c r="AY19">
        <f t="shared" ca="1" si="14"/>
        <v>1.2541327234525499</v>
      </c>
      <c r="AZ19">
        <f t="shared" ca="1" si="14"/>
        <v>-0.64266190141283441</v>
      </c>
      <c r="BA19">
        <f t="shared" ca="1" si="14"/>
        <v>1.5718594500975283</v>
      </c>
      <c r="BB19">
        <f t="shared" ca="1" si="14"/>
        <v>-1.9150498703647569E-2</v>
      </c>
      <c r="BC19">
        <f t="shared" ca="1" si="14"/>
        <v>0.22762257209976575</v>
      </c>
      <c r="BD19">
        <f t="shared" ca="1" si="15"/>
        <v>-1.828205166825696</v>
      </c>
      <c r="BE19">
        <f t="shared" ca="1" si="15"/>
        <v>-8.8608483986865508E-2</v>
      </c>
      <c r="BF19">
        <f t="shared" ca="1" si="15"/>
        <v>-0.49681964714144755</v>
      </c>
      <c r="BG19">
        <f t="shared" ca="1" si="15"/>
        <v>-0.10630900099813193</v>
      </c>
      <c r="BH19">
        <f t="shared" ca="1" si="15"/>
        <v>-1.3473318298264882</v>
      </c>
      <c r="BI19">
        <f t="shared" ca="1" si="15"/>
        <v>0.28169888060960302</v>
      </c>
      <c r="BJ19">
        <f t="shared" ca="1" si="15"/>
        <v>-1.3449010916852748</v>
      </c>
      <c r="BK19">
        <f t="shared" ca="1" si="15"/>
        <v>-0.32844105648883892</v>
      </c>
      <c r="BL19">
        <f t="shared" ca="1" si="15"/>
        <v>4.0611449792526996E-2</v>
      </c>
      <c r="BM19">
        <f t="shared" ca="1" si="15"/>
        <v>0.77675258864544849</v>
      </c>
      <c r="BN19">
        <f t="shared" ca="1" si="16"/>
        <v>7.6548940147770597E-2</v>
      </c>
      <c r="BO19">
        <f t="shared" ca="1" si="16"/>
        <v>-0.37140714524169738</v>
      </c>
      <c r="BP19">
        <f t="shared" ca="1" si="16"/>
        <v>-0.29575507185339056</v>
      </c>
      <c r="BQ19">
        <f t="shared" ca="1" si="16"/>
        <v>-0.7492198194223878</v>
      </c>
      <c r="BR19">
        <f t="shared" ca="1" si="16"/>
        <v>0.54206110572025878</v>
      </c>
      <c r="BS19">
        <f t="shared" ca="1" si="16"/>
        <v>-0.2823589937247718</v>
      </c>
      <c r="BT19">
        <f t="shared" ca="1" si="16"/>
        <v>-0.67572497525697151</v>
      </c>
      <c r="BU19">
        <f t="shared" ca="1" si="16"/>
        <v>-9.0419822282157863E-2</v>
      </c>
      <c r="BV19">
        <f t="shared" ca="1" si="16"/>
        <v>-8.5912844165502322E-2</v>
      </c>
      <c r="BW19">
        <f t="shared" ca="1" si="16"/>
        <v>0.69939921508910818</v>
      </c>
      <c r="BX19">
        <f t="shared" ca="1" si="17"/>
        <v>-0.40601966901578102</v>
      </c>
      <c r="BY19">
        <f t="shared" ca="1" si="17"/>
        <v>0.22145988569730771</v>
      </c>
      <c r="BZ19">
        <f t="shared" ca="1" si="17"/>
        <v>-0.56720802971036433</v>
      </c>
      <c r="CA19">
        <f t="shared" ca="1" si="17"/>
        <v>1.3654778695118177</v>
      </c>
      <c r="CB19">
        <f t="shared" ca="1" si="17"/>
        <v>0.70018353915532749</v>
      </c>
      <c r="CC19">
        <f t="shared" ca="1" si="17"/>
        <v>1.5209682857807891</v>
      </c>
      <c r="CD19">
        <f t="shared" ca="1" si="17"/>
        <v>1.3244043287446141</v>
      </c>
      <c r="CE19">
        <f t="shared" ca="1" si="17"/>
        <v>0.23923024027914247</v>
      </c>
      <c r="CF19">
        <f t="shared" ca="1" si="17"/>
        <v>-1.3762332794926507E-2</v>
      </c>
      <c r="CG19">
        <f t="shared" ca="1" si="17"/>
        <v>1.9962164460099376</v>
      </c>
      <c r="CH19">
        <f t="shared" ca="1" si="18"/>
        <v>0.49237923230342695</v>
      </c>
      <c r="CI19">
        <f t="shared" ca="1" si="18"/>
        <v>0.79225231001237051</v>
      </c>
      <c r="CJ19">
        <f t="shared" ca="1" si="18"/>
        <v>0.16771474430962791</v>
      </c>
      <c r="CK19">
        <f t="shared" ca="1" si="18"/>
        <v>0.78546303481304813</v>
      </c>
      <c r="CL19">
        <f t="shared" ca="1" si="18"/>
        <v>1.1076446418562127</v>
      </c>
      <c r="CM19">
        <f t="shared" ca="1" si="18"/>
        <v>0.95222216369187418</v>
      </c>
      <c r="CN19">
        <f t="shared" ca="1" si="18"/>
        <v>-5.541625758962463E-2</v>
      </c>
      <c r="CO19">
        <f t="shared" ca="1" si="18"/>
        <v>0.60685507016177098</v>
      </c>
      <c r="CP19">
        <f t="shared" ca="1" si="18"/>
        <v>-0.36736279065837696</v>
      </c>
      <c r="CQ19">
        <f t="shared" ca="1" si="18"/>
        <v>-0.10531534569940128</v>
      </c>
      <c r="CR19">
        <f t="shared" ca="1" si="19"/>
        <v>0.36336708327899464</v>
      </c>
      <c r="CS19">
        <f t="shared" ca="1" si="19"/>
        <v>0.44887273981451031</v>
      </c>
      <c r="CT19">
        <f t="shared" ca="1" si="19"/>
        <v>1.4888671772135773</v>
      </c>
      <c r="CU19">
        <f t="shared" ca="1" si="19"/>
        <v>-1.4550126609077374</v>
      </c>
      <c r="CV19">
        <f t="shared" ca="1" si="19"/>
        <v>0.23900881186573975</v>
      </c>
      <c r="CW19">
        <f t="shared" ca="1" si="19"/>
        <v>-1.9183016983750858</v>
      </c>
      <c r="CX19">
        <f t="shared" ca="1" si="19"/>
        <v>0.30510698137659886</v>
      </c>
      <c r="CY19">
        <f t="shared" ca="1" si="19"/>
        <v>0.32277764183182128</v>
      </c>
      <c r="CZ19">
        <f t="shared" ca="1" si="19"/>
        <v>-1.4916453268994065</v>
      </c>
      <c r="DA19">
        <f t="shared" ca="1" si="19"/>
        <v>0.12085922765024829</v>
      </c>
    </row>
    <row r="20" spans="5:105" x14ac:dyDescent="0.25">
      <c r="E20">
        <f>S_plus!L20</f>
        <v>0.18000000000000002</v>
      </c>
      <c r="F20">
        <f t="shared" ca="1" si="10"/>
        <v>-0.89319430720222448</v>
      </c>
      <c r="G20">
        <f t="shared" ca="1" si="10"/>
        <v>-1.1661801121743789</v>
      </c>
      <c r="H20">
        <f t="shared" ca="1" si="10"/>
        <v>1.4291485711881726</v>
      </c>
      <c r="I20">
        <f t="shared" ca="1" si="10"/>
        <v>2.1055633136222278</v>
      </c>
      <c r="J20">
        <f t="shared" ca="1" si="10"/>
        <v>0.45271454214414014</v>
      </c>
      <c r="K20">
        <f t="shared" ca="1" si="10"/>
        <v>0.91778764788919043</v>
      </c>
      <c r="L20">
        <f t="shared" ca="1" si="10"/>
        <v>-0.57468570508109618</v>
      </c>
      <c r="M20">
        <f t="shared" ca="1" si="10"/>
        <v>-2.7436432663636809</v>
      </c>
      <c r="N20">
        <f t="shared" ca="1" si="10"/>
        <v>1.6756040168198374</v>
      </c>
      <c r="O20">
        <f t="shared" ca="1" si="10"/>
        <v>1.3314083790991451</v>
      </c>
      <c r="P20">
        <f t="shared" ca="1" si="11"/>
        <v>-1.8836251438684963</v>
      </c>
      <c r="Q20">
        <f t="shared" ca="1" si="11"/>
        <v>2.211479459617081</v>
      </c>
      <c r="R20">
        <f t="shared" ca="1" si="11"/>
        <v>-0.14846991055650702</v>
      </c>
      <c r="S20">
        <f t="shared" ca="1" si="11"/>
        <v>-0.57970745152031422</v>
      </c>
      <c r="T20">
        <f t="shared" ca="1" si="11"/>
        <v>-1.0293832892577981</v>
      </c>
      <c r="U20">
        <f t="shared" ca="1" si="11"/>
        <v>0.34182578152885523</v>
      </c>
      <c r="V20">
        <f t="shared" ca="1" si="11"/>
        <v>-0.17696314900314125</v>
      </c>
      <c r="W20">
        <f t="shared" ca="1" si="11"/>
        <v>1.2585327805400288</v>
      </c>
      <c r="X20">
        <f t="shared" ca="1" si="11"/>
        <v>0.90121498029776081</v>
      </c>
      <c r="Y20">
        <f t="shared" ca="1" si="11"/>
        <v>1.7828390021620877</v>
      </c>
      <c r="Z20">
        <f t="shared" ca="1" si="12"/>
        <v>-0.63048529999762659</v>
      </c>
      <c r="AA20">
        <f t="shared" ca="1" si="12"/>
        <v>-0.91219377428301385</v>
      </c>
      <c r="AB20">
        <f t="shared" ca="1" si="12"/>
        <v>-0.4781629619361969</v>
      </c>
      <c r="AC20">
        <f t="shared" ca="1" si="12"/>
        <v>-0.29591973032629826</v>
      </c>
      <c r="AD20">
        <f t="shared" ca="1" si="12"/>
        <v>1.4625088512249194</v>
      </c>
      <c r="AE20">
        <f t="shared" ca="1" si="12"/>
        <v>0.96926210182397954</v>
      </c>
      <c r="AF20">
        <f t="shared" ca="1" si="12"/>
        <v>-0.79328350871759434</v>
      </c>
      <c r="AG20">
        <f t="shared" ca="1" si="12"/>
        <v>-1.676677988679915</v>
      </c>
      <c r="AH20">
        <f t="shared" ca="1" si="12"/>
        <v>-1.6738913177678854</v>
      </c>
      <c r="AI20">
        <f t="shared" ca="1" si="12"/>
        <v>-0.24351121547805726</v>
      </c>
      <c r="AJ20">
        <f t="shared" ca="1" si="13"/>
        <v>-0.70928688795520289</v>
      </c>
      <c r="AK20">
        <f t="shared" ca="1" si="13"/>
        <v>1.5007552734401945</v>
      </c>
      <c r="AL20">
        <f t="shared" ca="1" si="13"/>
        <v>0.71365890420728539</v>
      </c>
      <c r="AM20">
        <f t="shared" ca="1" si="13"/>
        <v>1.0534559478104473</v>
      </c>
      <c r="AN20">
        <f t="shared" ca="1" si="13"/>
        <v>0.82065692895728171</v>
      </c>
      <c r="AO20">
        <f t="shared" ca="1" si="13"/>
        <v>-0.24507121403356216</v>
      </c>
      <c r="AP20">
        <f t="shared" ca="1" si="13"/>
        <v>-1.6084707348562832</v>
      </c>
      <c r="AQ20">
        <f t="shared" ca="1" si="13"/>
        <v>-2.0249268050987368</v>
      </c>
      <c r="AR20">
        <f t="shared" ca="1" si="13"/>
        <v>0.71299012340942836</v>
      </c>
      <c r="AS20">
        <f t="shared" ca="1" si="13"/>
        <v>0.81092111293986202</v>
      </c>
      <c r="AT20">
        <f t="shared" ca="1" si="14"/>
        <v>-0.48758212578440335</v>
      </c>
      <c r="AU20">
        <f t="shared" ca="1" si="14"/>
        <v>0.84686617471499392</v>
      </c>
      <c r="AV20">
        <f t="shared" ca="1" si="14"/>
        <v>1.8437602313160746</v>
      </c>
      <c r="AW20">
        <f t="shared" ca="1" si="14"/>
        <v>-0.13645664385614109</v>
      </c>
      <c r="AX20">
        <f t="shared" ca="1" si="14"/>
        <v>0.26856296238813759</v>
      </c>
      <c r="AY20">
        <f t="shared" ca="1" si="14"/>
        <v>-0.41366924570618091</v>
      </c>
      <c r="AZ20">
        <f t="shared" ca="1" si="14"/>
        <v>-0.15095647279596819</v>
      </c>
      <c r="BA20">
        <f t="shared" ca="1" si="14"/>
        <v>0.22317020209837105</v>
      </c>
      <c r="BB20">
        <f t="shared" ca="1" si="14"/>
        <v>-1.2053984471260595</v>
      </c>
      <c r="BC20">
        <f t="shared" ca="1" si="14"/>
        <v>-4.7474427032456606E-2</v>
      </c>
      <c r="BD20">
        <f t="shared" ca="1" si="15"/>
        <v>-0.70762343715404896</v>
      </c>
      <c r="BE20">
        <f t="shared" ca="1" si="15"/>
        <v>-0.2269194442747916</v>
      </c>
      <c r="BF20">
        <f t="shared" ca="1" si="15"/>
        <v>-0.76282157722714594</v>
      </c>
      <c r="BG20">
        <f t="shared" ca="1" si="15"/>
        <v>0.84946334343554997</v>
      </c>
      <c r="BH20">
        <f t="shared" ca="1" si="15"/>
        <v>0.21094692988608693</v>
      </c>
      <c r="BI20">
        <f t="shared" ca="1" si="15"/>
        <v>-1.4684124841291244</v>
      </c>
      <c r="BJ20">
        <f t="shared" ca="1" si="15"/>
        <v>-2.3047108205247198</v>
      </c>
      <c r="BK20">
        <f t="shared" ca="1" si="15"/>
        <v>-0.12942527223917924</v>
      </c>
      <c r="BL20">
        <f t="shared" ca="1" si="15"/>
        <v>-2.0943168064203466</v>
      </c>
      <c r="BM20">
        <f t="shared" ca="1" si="15"/>
        <v>4.0685294619934968E-2</v>
      </c>
      <c r="BN20">
        <f t="shared" ca="1" si="16"/>
        <v>-2.2636281667957878E-2</v>
      </c>
      <c r="BO20">
        <f t="shared" ca="1" si="16"/>
        <v>0.31081060325175291</v>
      </c>
      <c r="BP20">
        <f t="shared" ca="1" si="16"/>
        <v>-0.29516501154251995</v>
      </c>
      <c r="BQ20">
        <f t="shared" ca="1" si="16"/>
        <v>-0.57505401603614614</v>
      </c>
      <c r="BR20">
        <f t="shared" ca="1" si="16"/>
        <v>0.62872338958760365</v>
      </c>
      <c r="BS20">
        <f t="shared" ca="1" si="16"/>
        <v>2.7086083458310206</v>
      </c>
      <c r="BT20">
        <f t="shared" ca="1" si="16"/>
        <v>-0.65696601222795081</v>
      </c>
      <c r="BU20">
        <f t="shared" ca="1" si="16"/>
        <v>-1.2164171899044915</v>
      </c>
      <c r="BV20">
        <f t="shared" ca="1" si="16"/>
        <v>-1.4045783244303442</v>
      </c>
      <c r="BW20">
        <f t="shared" ca="1" si="16"/>
        <v>0.27111225504322201</v>
      </c>
      <c r="BX20">
        <f t="shared" ca="1" si="17"/>
        <v>-0.85577708333012625</v>
      </c>
      <c r="BY20">
        <f t="shared" ca="1" si="17"/>
        <v>-1.175375903194749</v>
      </c>
      <c r="BZ20">
        <f t="shared" ca="1" si="17"/>
        <v>0.47474053616543632</v>
      </c>
      <c r="CA20">
        <f t="shared" ca="1" si="17"/>
        <v>1.1013795325895175</v>
      </c>
      <c r="CB20">
        <f t="shared" ca="1" si="17"/>
        <v>-0.60829044728646964</v>
      </c>
      <c r="CC20">
        <f t="shared" ca="1" si="17"/>
        <v>-0.6814375405523615</v>
      </c>
      <c r="CD20">
        <f t="shared" ca="1" si="17"/>
        <v>-0.19534862106604345</v>
      </c>
      <c r="CE20">
        <f t="shared" ca="1" si="17"/>
        <v>-1.4568059436428979</v>
      </c>
      <c r="CF20">
        <f t="shared" ca="1" si="17"/>
        <v>1.9572480764046845</v>
      </c>
      <c r="CG20">
        <f t="shared" ca="1" si="17"/>
        <v>0.62900325878493923</v>
      </c>
      <c r="CH20">
        <f t="shared" ca="1" si="18"/>
        <v>0.67716094749810951</v>
      </c>
      <c r="CI20">
        <f t="shared" ca="1" si="18"/>
        <v>0.88748432015915812</v>
      </c>
      <c r="CJ20">
        <f t="shared" ca="1" si="18"/>
        <v>-0.4371700421105395</v>
      </c>
      <c r="CK20">
        <f t="shared" ca="1" si="18"/>
        <v>-0.77901979851530401</v>
      </c>
      <c r="CL20">
        <f t="shared" ca="1" si="18"/>
        <v>0.39766603493775105</v>
      </c>
      <c r="CM20">
        <f t="shared" ca="1" si="18"/>
        <v>1.5366541787383357</v>
      </c>
      <c r="CN20">
        <f t="shared" ca="1" si="18"/>
        <v>0.485428781683719</v>
      </c>
      <c r="CO20">
        <f t="shared" ca="1" si="18"/>
        <v>1.1393127169124977</v>
      </c>
      <c r="CP20">
        <f t="shared" ca="1" si="18"/>
        <v>-0.22694027153766766</v>
      </c>
      <c r="CQ20">
        <f t="shared" ca="1" si="18"/>
        <v>1.9341797960821323</v>
      </c>
      <c r="CR20">
        <f t="shared" ca="1" si="19"/>
        <v>-0.91430648773441947</v>
      </c>
      <c r="CS20">
        <f t="shared" ca="1" si="19"/>
        <v>0.33560771577474069</v>
      </c>
      <c r="CT20">
        <f t="shared" ca="1" si="19"/>
        <v>1.1221303726671807</v>
      </c>
      <c r="CU20">
        <f t="shared" ca="1" si="19"/>
        <v>-0.86055711894397413</v>
      </c>
      <c r="CV20">
        <f t="shared" ca="1" si="19"/>
        <v>-0.47420923049280705</v>
      </c>
      <c r="CW20">
        <f t="shared" ca="1" si="19"/>
        <v>-0.96179608959648211</v>
      </c>
      <c r="CX20">
        <f t="shared" ca="1" si="19"/>
        <v>-0.6398432749378693</v>
      </c>
      <c r="CY20">
        <f t="shared" ca="1" si="19"/>
        <v>-0.2294386545558007</v>
      </c>
      <c r="CZ20">
        <f t="shared" ca="1" si="19"/>
        <v>-0.35498334867979725</v>
      </c>
      <c r="DA20">
        <f t="shared" ca="1" si="19"/>
        <v>-0.64823747731860959</v>
      </c>
    </row>
    <row r="21" spans="5:105" x14ac:dyDescent="0.25">
      <c r="E21">
        <f>S_plus!L21</f>
        <v>0.19000000000000003</v>
      </c>
      <c r="F21">
        <f t="shared" ca="1" si="10"/>
        <v>-0.46294112312024865</v>
      </c>
      <c r="G21">
        <f t="shared" ca="1" si="10"/>
        <v>0.53971453079861398</v>
      </c>
      <c r="H21">
        <f t="shared" ca="1" si="10"/>
        <v>1.1237899072615283</v>
      </c>
      <c r="I21">
        <f t="shared" ca="1" si="10"/>
        <v>0.6719918681697673</v>
      </c>
      <c r="J21">
        <f t="shared" ca="1" si="10"/>
        <v>7.741393314027018E-3</v>
      </c>
      <c r="K21">
        <f t="shared" ca="1" si="10"/>
        <v>0.12448973134694424</v>
      </c>
      <c r="L21">
        <f t="shared" ca="1" si="10"/>
        <v>0.51788448982945967</v>
      </c>
      <c r="M21">
        <f t="shared" ca="1" si="10"/>
        <v>-1.6578289606060312</v>
      </c>
      <c r="N21">
        <f t="shared" ca="1" si="10"/>
        <v>0.24527068363832502</v>
      </c>
      <c r="O21">
        <f t="shared" ca="1" si="10"/>
        <v>-0.77523518456135798</v>
      </c>
      <c r="P21">
        <f t="shared" ca="1" si="11"/>
        <v>-3.6066102472271128E-2</v>
      </c>
      <c r="Q21">
        <f t="shared" ca="1" si="11"/>
        <v>-1.0750081827781965</v>
      </c>
      <c r="R21">
        <f t="shared" ca="1" si="11"/>
        <v>7.39885645599902E-2</v>
      </c>
      <c r="S21">
        <f t="shared" ca="1" si="11"/>
        <v>1.0258282448246536</v>
      </c>
      <c r="T21">
        <f t="shared" ca="1" si="11"/>
        <v>1.034947190046716</v>
      </c>
      <c r="U21">
        <f t="shared" ca="1" si="11"/>
        <v>0.48384875285678963</v>
      </c>
      <c r="V21">
        <f t="shared" ca="1" si="11"/>
        <v>1.0096660451465871</v>
      </c>
      <c r="W21">
        <f t="shared" ca="1" si="11"/>
        <v>-0.30447168613081388</v>
      </c>
      <c r="X21">
        <f t="shared" ca="1" si="11"/>
        <v>-0.14143449744325426</v>
      </c>
      <c r="Y21">
        <f t="shared" ca="1" si="11"/>
        <v>-1.0331791415390779</v>
      </c>
      <c r="Z21">
        <f t="shared" ca="1" si="12"/>
        <v>-0.48483769447206493</v>
      </c>
      <c r="AA21">
        <f t="shared" ca="1" si="12"/>
        <v>0.78437849438701801</v>
      </c>
      <c r="AB21">
        <f t="shared" ca="1" si="12"/>
        <v>-0.27442759319120902</v>
      </c>
      <c r="AC21">
        <f t="shared" ca="1" si="12"/>
        <v>1.7752252285161387</v>
      </c>
      <c r="AD21">
        <f t="shared" ca="1" si="12"/>
        <v>-7.8631973014972548E-3</v>
      </c>
      <c r="AE21">
        <f t="shared" ca="1" si="12"/>
        <v>0.44708424963192789</v>
      </c>
      <c r="AF21">
        <f t="shared" ca="1" si="12"/>
        <v>0.78963442982319398</v>
      </c>
      <c r="AG21">
        <f t="shared" ca="1" si="12"/>
        <v>0.83368349332413838</v>
      </c>
      <c r="AH21">
        <f t="shared" ca="1" si="12"/>
        <v>0.44541427525215571</v>
      </c>
      <c r="AI21">
        <f t="shared" ca="1" si="12"/>
        <v>0.28538637150965512</v>
      </c>
      <c r="AJ21">
        <f t="shared" ca="1" si="13"/>
        <v>0.157618265714038</v>
      </c>
      <c r="AK21">
        <f t="shared" ca="1" si="13"/>
        <v>0.27429353210066759</v>
      </c>
      <c r="AL21">
        <f t="shared" ca="1" si="13"/>
        <v>-8.1835039130954454E-2</v>
      </c>
      <c r="AM21">
        <f t="shared" ca="1" si="13"/>
        <v>0.26313569621265009</v>
      </c>
      <c r="AN21">
        <f t="shared" ca="1" si="13"/>
        <v>-0.65319510883562981</v>
      </c>
      <c r="AO21">
        <f t="shared" ca="1" si="13"/>
        <v>1.1354276955475062</v>
      </c>
      <c r="AP21">
        <f t="shared" ca="1" si="13"/>
        <v>0.46552006941985274</v>
      </c>
      <c r="AQ21">
        <f t="shared" ca="1" si="13"/>
        <v>-0.62696171489733465</v>
      </c>
      <c r="AR21">
        <f t="shared" ca="1" si="13"/>
        <v>0.63821260871573093</v>
      </c>
      <c r="AS21">
        <f t="shared" ca="1" si="13"/>
        <v>-1.7546774169473143</v>
      </c>
      <c r="AT21">
        <f t="shared" ca="1" si="14"/>
        <v>0.55610577915825821</v>
      </c>
      <c r="AU21">
        <f t="shared" ca="1" si="14"/>
        <v>1.305881509743023</v>
      </c>
      <c r="AV21">
        <f t="shared" ca="1" si="14"/>
        <v>-0.24963882519663974</v>
      </c>
      <c r="AW21">
        <f t="shared" ca="1" si="14"/>
        <v>0.90132029072148467</v>
      </c>
      <c r="AX21">
        <f t="shared" ca="1" si="14"/>
        <v>-0.14264896158650739</v>
      </c>
      <c r="AY21">
        <f t="shared" ca="1" si="14"/>
        <v>1.590128766861481</v>
      </c>
      <c r="AZ21">
        <f t="shared" ca="1" si="14"/>
        <v>-1.1462352440815751</v>
      </c>
      <c r="BA21">
        <f t="shared" ca="1" si="14"/>
        <v>0.35120864492659376</v>
      </c>
      <c r="BB21">
        <f t="shared" ca="1" si="14"/>
        <v>-0.99957661969540545</v>
      </c>
      <c r="BC21">
        <f t="shared" ca="1" si="14"/>
        <v>4.9078297199507799E-2</v>
      </c>
      <c r="BD21">
        <f t="shared" ca="1" si="15"/>
        <v>-1.6594448756559108</v>
      </c>
      <c r="BE21">
        <f t="shared" ca="1" si="15"/>
        <v>-0.64657873489711482</v>
      </c>
      <c r="BF21">
        <f t="shared" ca="1" si="15"/>
        <v>0.15095601842840806</v>
      </c>
      <c r="BG21">
        <f t="shared" ca="1" si="15"/>
        <v>-0.10541540935125261</v>
      </c>
      <c r="BH21">
        <f t="shared" ca="1" si="15"/>
        <v>2.035968369266572</v>
      </c>
      <c r="BI21">
        <f t="shared" ca="1" si="15"/>
        <v>0.56026799649265779</v>
      </c>
      <c r="BJ21">
        <f t="shared" ca="1" si="15"/>
        <v>-0.79038457824914332</v>
      </c>
      <c r="BK21">
        <f t="shared" ca="1" si="15"/>
        <v>-0.89391538914816582</v>
      </c>
      <c r="BL21">
        <f t="shared" ca="1" si="15"/>
        <v>0.12418260335075154</v>
      </c>
      <c r="BM21">
        <f t="shared" ca="1" si="15"/>
        <v>9.8074194072777052E-2</v>
      </c>
      <c r="BN21">
        <f t="shared" ca="1" si="16"/>
        <v>-0.11855450613554601</v>
      </c>
      <c r="BO21">
        <f t="shared" ca="1" si="16"/>
        <v>0.22501851544144075</v>
      </c>
      <c r="BP21">
        <f t="shared" ca="1" si="16"/>
        <v>-2.0893671802478764</v>
      </c>
      <c r="BQ21">
        <f t="shared" ca="1" si="16"/>
        <v>1.4727037580759774</v>
      </c>
      <c r="BR21">
        <f t="shared" ca="1" si="16"/>
        <v>-0.88996321172393056</v>
      </c>
      <c r="BS21">
        <f t="shared" ca="1" si="16"/>
        <v>0.99035562333370308</v>
      </c>
      <c r="BT21">
        <f t="shared" ca="1" si="16"/>
        <v>0.96802490034742683</v>
      </c>
      <c r="BU21">
        <f t="shared" ca="1" si="16"/>
        <v>2.1774049630676009</v>
      </c>
      <c r="BV21">
        <f t="shared" ca="1" si="16"/>
        <v>0.75820895920823173</v>
      </c>
      <c r="BW21">
        <f t="shared" ca="1" si="16"/>
        <v>-1.5737226885551621</v>
      </c>
      <c r="BX21">
        <f t="shared" ca="1" si="17"/>
        <v>-1.0984783821343411</v>
      </c>
      <c r="BY21">
        <f t="shared" ca="1" si="17"/>
        <v>0.6434448474892297</v>
      </c>
      <c r="BZ21">
        <f t="shared" ca="1" si="17"/>
        <v>1.2699453744148815E-2</v>
      </c>
      <c r="CA21">
        <f t="shared" ca="1" si="17"/>
        <v>1.1583169265377806</v>
      </c>
      <c r="CB21">
        <f t="shared" ca="1" si="17"/>
        <v>-1.4479916615301218</v>
      </c>
      <c r="CC21">
        <f t="shared" ca="1" si="17"/>
        <v>0.1450290433666431</v>
      </c>
      <c r="CD21">
        <f t="shared" ca="1" si="17"/>
        <v>-0.99717842257128364</v>
      </c>
      <c r="CE21">
        <f t="shared" ca="1" si="17"/>
        <v>0.32940629667720872</v>
      </c>
      <c r="CF21">
        <f t="shared" ca="1" si="17"/>
        <v>1.3017206601920652</v>
      </c>
      <c r="CG21">
        <f t="shared" ca="1" si="17"/>
        <v>0.2697834226369944</v>
      </c>
      <c r="CH21">
        <f t="shared" ca="1" si="18"/>
        <v>0.17341996348906719</v>
      </c>
      <c r="CI21">
        <f t="shared" ca="1" si="18"/>
        <v>-0.14755709599484021</v>
      </c>
      <c r="CJ21">
        <f t="shared" ca="1" si="18"/>
        <v>-0.30969791549282238</v>
      </c>
      <c r="CK21">
        <f t="shared" ca="1" si="18"/>
        <v>-0.90851547216522832</v>
      </c>
      <c r="CL21">
        <f t="shared" ca="1" si="18"/>
        <v>-0.79389333116840832</v>
      </c>
      <c r="CM21">
        <f t="shared" ca="1" si="18"/>
        <v>0.24115765619183993</v>
      </c>
      <c r="CN21">
        <f t="shared" ca="1" si="18"/>
        <v>0.72800783376484335</v>
      </c>
      <c r="CO21">
        <f t="shared" ca="1" si="18"/>
        <v>1.8271780842527869E-3</v>
      </c>
      <c r="CP21">
        <f t="shared" ca="1" si="18"/>
        <v>0.25104897067454424</v>
      </c>
      <c r="CQ21">
        <f t="shared" ca="1" si="18"/>
        <v>-0.87531543874262241</v>
      </c>
      <c r="CR21">
        <f t="shared" ca="1" si="19"/>
        <v>0.45966737188524975</v>
      </c>
      <c r="CS21">
        <f t="shared" ca="1" si="19"/>
        <v>-0.6004485696811811</v>
      </c>
      <c r="CT21">
        <f t="shared" ca="1" si="19"/>
        <v>0.76007568602582953</v>
      </c>
      <c r="CU21">
        <f t="shared" ca="1" si="19"/>
        <v>5.0782561385744945E-3</v>
      </c>
      <c r="CV21">
        <f t="shared" ca="1" si="19"/>
        <v>-0.16100282850553377</v>
      </c>
      <c r="CW21">
        <f t="shared" ca="1" si="19"/>
        <v>0.55672564088688392</v>
      </c>
      <c r="CX21">
        <f t="shared" ca="1" si="19"/>
        <v>-0.57721123973635868</v>
      </c>
      <c r="CY21">
        <f t="shared" ca="1" si="19"/>
        <v>8.0686068261173707E-2</v>
      </c>
      <c r="CZ21">
        <f t="shared" ca="1" si="19"/>
        <v>1.6236058246179474</v>
      </c>
      <c r="DA21">
        <f t="shared" ca="1" si="19"/>
        <v>-0.69564203212842313</v>
      </c>
    </row>
    <row r="22" spans="5:105" x14ac:dyDescent="0.25">
      <c r="E22">
        <f>S_plus!L22</f>
        <v>0.20000000000000004</v>
      </c>
      <c r="F22">
        <f t="shared" ca="1" si="10"/>
        <v>1.7370333155341704</v>
      </c>
      <c r="G22">
        <f t="shared" ca="1" si="10"/>
        <v>1.2951880342872728</v>
      </c>
      <c r="H22">
        <f t="shared" ca="1" si="10"/>
        <v>0.96393179964295661</v>
      </c>
      <c r="I22">
        <f t="shared" ca="1" si="10"/>
        <v>-1.024494084203893</v>
      </c>
      <c r="J22">
        <f t="shared" ca="1" si="10"/>
        <v>-0.82993078441814871</v>
      </c>
      <c r="K22">
        <f t="shared" ca="1" si="10"/>
        <v>0.16847530623485471</v>
      </c>
      <c r="L22">
        <f t="shared" ca="1" si="10"/>
        <v>-1.3504670144195809</v>
      </c>
      <c r="M22">
        <f t="shared" ca="1" si="10"/>
        <v>0.82981471265194418</v>
      </c>
      <c r="N22">
        <f t="shared" ca="1" si="10"/>
        <v>1.3466862686367631</v>
      </c>
      <c r="O22">
        <f t="shared" ca="1" si="10"/>
        <v>-1.5095206089620572</v>
      </c>
      <c r="P22">
        <f t="shared" ca="1" si="11"/>
        <v>2.1569331259674289</v>
      </c>
      <c r="Q22">
        <f t="shared" ca="1" si="11"/>
        <v>-0.5597549028485499</v>
      </c>
      <c r="R22">
        <f t="shared" ca="1" si="11"/>
        <v>1.2632897180131588</v>
      </c>
      <c r="S22">
        <f t="shared" ca="1" si="11"/>
        <v>-0.73757494896204379</v>
      </c>
      <c r="T22">
        <f t="shared" ca="1" si="11"/>
        <v>-1.343537380057062</v>
      </c>
      <c r="U22">
        <f t="shared" ca="1" si="11"/>
        <v>-0.54557553719816165</v>
      </c>
      <c r="V22">
        <f t="shared" ca="1" si="11"/>
        <v>0.82480484847886359</v>
      </c>
      <c r="W22">
        <f t="shared" ca="1" si="11"/>
        <v>-0.45699943345520522</v>
      </c>
      <c r="X22">
        <f t="shared" ca="1" si="11"/>
        <v>-0.30668422485335084</v>
      </c>
      <c r="Y22">
        <f t="shared" ca="1" si="11"/>
        <v>1.2242284173271574</v>
      </c>
      <c r="Z22">
        <f t="shared" ca="1" si="12"/>
        <v>-1.4586548658342804</v>
      </c>
      <c r="AA22">
        <f t="shared" ca="1" si="12"/>
        <v>-1.5133995581532438</v>
      </c>
      <c r="AB22">
        <f t="shared" ca="1" si="12"/>
        <v>-0.14163315215542305</v>
      </c>
      <c r="AC22">
        <f t="shared" ca="1" si="12"/>
        <v>0.58347829056485623</v>
      </c>
      <c r="AD22">
        <f t="shared" ca="1" si="12"/>
        <v>0.13152027374155301</v>
      </c>
      <c r="AE22">
        <f t="shared" ca="1" si="12"/>
        <v>-0.55323693874628077</v>
      </c>
      <c r="AF22">
        <f t="shared" ca="1" si="12"/>
        <v>0.23012844718271072</v>
      </c>
      <c r="AG22">
        <f t="shared" ca="1" si="12"/>
        <v>0.98049251951628391</v>
      </c>
      <c r="AH22">
        <f t="shared" ca="1" si="12"/>
        <v>-1.6775192367759755</v>
      </c>
      <c r="AI22">
        <f t="shared" ca="1" si="12"/>
        <v>1.1394456316613124</v>
      </c>
      <c r="AJ22">
        <f t="shared" ca="1" si="13"/>
        <v>-1.9323969581511615</v>
      </c>
      <c r="AK22">
        <f t="shared" ca="1" si="13"/>
        <v>-8.9115230671154941E-2</v>
      </c>
      <c r="AL22">
        <f t="shared" ca="1" si="13"/>
        <v>-0.60288858868510942</v>
      </c>
      <c r="AM22">
        <f t="shared" ca="1" si="13"/>
        <v>-0.49002931577447706</v>
      </c>
      <c r="AN22">
        <f t="shared" ca="1" si="13"/>
        <v>0.48443197060145438</v>
      </c>
      <c r="AO22">
        <f t="shared" ca="1" si="13"/>
        <v>3.3337575158503246E-2</v>
      </c>
      <c r="AP22">
        <f t="shared" ca="1" si="13"/>
        <v>-1.1303704886083599</v>
      </c>
      <c r="AQ22">
        <f t="shared" ca="1" si="13"/>
        <v>-1.0911695827235366</v>
      </c>
      <c r="AR22">
        <f t="shared" ca="1" si="13"/>
        <v>1.2082905665953974</v>
      </c>
      <c r="AS22">
        <f t="shared" ca="1" si="13"/>
        <v>-0.20968126140969287</v>
      </c>
      <c r="AT22">
        <f t="shared" ca="1" si="14"/>
        <v>-0.34909571230268593</v>
      </c>
      <c r="AU22">
        <f t="shared" ca="1" si="14"/>
        <v>1.3225482701942555</v>
      </c>
      <c r="AV22">
        <f t="shared" ca="1" si="14"/>
        <v>-0.16790640872138576</v>
      </c>
      <c r="AW22">
        <f t="shared" ca="1" si="14"/>
        <v>0.29408852541934638</v>
      </c>
      <c r="AX22">
        <f t="shared" ca="1" si="14"/>
        <v>3.7478612963526198E-2</v>
      </c>
      <c r="AY22">
        <f t="shared" ca="1" si="14"/>
        <v>0.93803114379113106</v>
      </c>
      <c r="AZ22">
        <f t="shared" ca="1" si="14"/>
        <v>0.12870636211558184</v>
      </c>
      <c r="BA22">
        <f t="shared" ca="1" si="14"/>
        <v>3.8781145845702789E-2</v>
      </c>
      <c r="BB22">
        <f t="shared" ca="1" si="14"/>
        <v>0.42554723628406899</v>
      </c>
      <c r="BC22">
        <f t="shared" ca="1" si="14"/>
        <v>-0.13415073857557044</v>
      </c>
      <c r="BD22">
        <f t="shared" ca="1" si="15"/>
        <v>-0.98125752268716959</v>
      </c>
      <c r="BE22">
        <f t="shared" ca="1" si="15"/>
        <v>-2.4882457278688235</v>
      </c>
      <c r="BF22">
        <f t="shared" ca="1" si="15"/>
        <v>0.54355451874141913</v>
      </c>
      <c r="BG22">
        <f t="shared" ca="1" si="15"/>
        <v>-0.97546869542926529</v>
      </c>
      <c r="BH22">
        <f t="shared" ca="1" si="15"/>
        <v>-3.4552885738159707</v>
      </c>
      <c r="BI22">
        <f t="shared" ca="1" si="15"/>
        <v>0.84168040762442831</v>
      </c>
      <c r="BJ22">
        <f t="shared" ca="1" si="15"/>
        <v>0.83212564755789209</v>
      </c>
      <c r="BK22">
        <f t="shared" ca="1" si="15"/>
        <v>0.51106566975528489</v>
      </c>
      <c r="BL22">
        <f t="shared" ca="1" si="15"/>
        <v>-0.83059120200187042</v>
      </c>
      <c r="BM22">
        <f t="shared" ca="1" si="15"/>
        <v>0.10715775977601545</v>
      </c>
      <c r="BN22">
        <f t="shared" ca="1" si="16"/>
        <v>0.8825083797921619</v>
      </c>
      <c r="BO22">
        <f t="shared" ca="1" si="16"/>
        <v>-0.30325451777641826</v>
      </c>
      <c r="BP22">
        <f t="shared" ca="1" si="16"/>
        <v>0.60568802626621954</v>
      </c>
      <c r="BQ22">
        <f t="shared" ca="1" si="16"/>
        <v>1.0052349515530534</v>
      </c>
      <c r="BR22">
        <f t="shared" ca="1" si="16"/>
        <v>-2.1153657383189275</v>
      </c>
      <c r="BS22">
        <f t="shared" ca="1" si="16"/>
        <v>1.0609084830741231</v>
      </c>
      <c r="BT22">
        <f t="shared" ca="1" si="16"/>
        <v>0.40473505480297323</v>
      </c>
      <c r="BU22">
        <f t="shared" ca="1" si="16"/>
        <v>0.46977802175617239</v>
      </c>
      <c r="BV22">
        <f t="shared" ca="1" si="16"/>
        <v>-0.67096456132807247</v>
      </c>
      <c r="BW22">
        <f t="shared" ca="1" si="16"/>
        <v>-1.7156668721099637</v>
      </c>
      <c r="BX22">
        <f t="shared" ca="1" si="17"/>
        <v>2.4565634300960397</v>
      </c>
      <c r="BY22">
        <f t="shared" ca="1" si="17"/>
        <v>-0.64089264005229007</v>
      </c>
      <c r="BZ22">
        <f t="shared" ca="1" si="17"/>
        <v>-2.3719235715145959</v>
      </c>
      <c r="CA22">
        <f t="shared" ca="1" si="17"/>
        <v>-0.12651721228808738</v>
      </c>
      <c r="CB22">
        <f t="shared" ca="1" si="17"/>
        <v>1.5596259703252779</v>
      </c>
      <c r="CC22">
        <f t="shared" ca="1" si="17"/>
        <v>1.7029954348569907</v>
      </c>
      <c r="CD22">
        <f t="shared" ca="1" si="17"/>
        <v>-1.5434284455470453</v>
      </c>
      <c r="CE22">
        <f t="shared" ca="1" si="17"/>
        <v>-0.43857076766215169</v>
      </c>
      <c r="CF22">
        <f t="shared" ca="1" si="17"/>
        <v>0.22259924945825474</v>
      </c>
      <c r="CG22">
        <f t="shared" ca="1" si="17"/>
        <v>0.89480481214059804</v>
      </c>
      <c r="CH22">
        <f t="shared" ca="1" si="18"/>
        <v>7.627136505649966E-2</v>
      </c>
      <c r="CI22">
        <f t="shared" ca="1" si="18"/>
        <v>-0.34328142829487396</v>
      </c>
      <c r="CJ22">
        <f t="shared" ca="1" si="18"/>
        <v>-2.6766616537678083E-2</v>
      </c>
      <c r="CK22">
        <f t="shared" ca="1" si="18"/>
        <v>-0.29962829144010222</v>
      </c>
      <c r="CL22">
        <f t="shared" ca="1" si="18"/>
        <v>0.2013268290663254</v>
      </c>
      <c r="CM22">
        <f t="shared" ca="1" si="18"/>
        <v>0.91826459219778667</v>
      </c>
      <c r="CN22">
        <f t="shared" ca="1" si="18"/>
        <v>0.6162076481394142</v>
      </c>
      <c r="CO22">
        <f t="shared" ca="1" si="18"/>
        <v>-0.92041414894095586</v>
      </c>
      <c r="CP22">
        <f t="shared" ca="1" si="18"/>
        <v>-3.0782006357885697E-2</v>
      </c>
      <c r="CQ22">
        <f t="shared" ca="1" si="18"/>
        <v>-0.20840331675014265</v>
      </c>
      <c r="CR22">
        <f t="shared" ca="1" si="19"/>
        <v>-1.8172435255048767</v>
      </c>
      <c r="CS22">
        <f t="shared" ca="1" si="19"/>
        <v>-2.4905827245699865</v>
      </c>
      <c r="CT22">
        <f t="shared" ca="1" si="19"/>
        <v>0.77809427212072002</v>
      </c>
      <c r="CU22">
        <f t="shared" ca="1" si="19"/>
        <v>2.7537458714171206</v>
      </c>
      <c r="CV22">
        <f t="shared" ca="1" si="19"/>
        <v>-1.4109279224699289</v>
      </c>
      <c r="CW22">
        <f t="shared" ca="1" si="19"/>
        <v>1.7099368420551582</v>
      </c>
      <c r="CX22">
        <f t="shared" ca="1" si="19"/>
        <v>-1.5265118572327936</v>
      </c>
      <c r="CY22">
        <f t="shared" ca="1" si="19"/>
        <v>-0.48474860561800803</v>
      </c>
      <c r="CZ22">
        <f t="shared" ca="1" si="19"/>
        <v>0.10290592373923131</v>
      </c>
      <c r="DA22">
        <f t="shared" ca="1" si="19"/>
        <v>-0.51034138875480661</v>
      </c>
    </row>
    <row r="23" spans="5:105" x14ac:dyDescent="0.25">
      <c r="E23">
        <f>S_plus!L23</f>
        <v>0.21000000000000005</v>
      </c>
      <c r="F23">
        <f t="shared" ref="F23:O32" ca="1" si="20">_xlfn.NORM.S.INV(RAND())</f>
        <v>0.6566969031564962</v>
      </c>
      <c r="G23">
        <f t="shared" ca="1" si="20"/>
        <v>-0.53978546846091058</v>
      </c>
      <c r="H23">
        <f t="shared" ca="1" si="20"/>
        <v>-0.83923080023861252</v>
      </c>
      <c r="I23">
        <f t="shared" ca="1" si="20"/>
        <v>-2.2456521854092428</v>
      </c>
      <c r="J23">
        <f t="shared" ca="1" si="20"/>
        <v>0.3843120869720299</v>
      </c>
      <c r="K23">
        <f t="shared" ca="1" si="20"/>
        <v>0.58713484094153556</v>
      </c>
      <c r="L23">
        <f t="shared" ca="1" si="20"/>
        <v>5.9722416661070227E-2</v>
      </c>
      <c r="M23">
        <f t="shared" ca="1" si="20"/>
        <v>0.86166094027904827</v>
      </c>
      <c r="N23">
        <f t="shared" ca="1" si="20"/>
        <v>-0.1773612020534828</v>
      </c>
      <c r="O23">
        <f t="shared" ca="1" si="20"/>
        <v>-0.18954275807891069</v>
      </c>
      <c r="P23">
        <f t="shared" ref="P23:Y32" ca="1" si="21">_xlfn.NORM.S.INV(RAND())</f>
        <v>-0.53788278181612814</v>
      </c>
      <c r="Q23">
        <f t="shared" ca="1" si="21"/>
        <v>0.10970925405808506</v>
      </c>
      <c r="R23">
        <f t="shared" ca="1" si="21"/>
        <v>-0.59703435750036138</v>
      </c>
      <c r="S23">
        <f t="shared" ca="1" si="21"/>
        <v>-0.54883356327170096</v>
      </c>
      <c r="T23">
        <f t="shared" ca="1" si="21"/>
        <v>9.7974869707498045E-3</v>
      </c>
      <c r="U23">
        <f t="shared" ca="1" si="21"/>
        <v>-1.0731115430399654</v>
      </c>
      <c r="V23">
        <f t="shared" ca="1" si="21"/>
        <v>-0.33799832159801207</v>
      </c>
      <c r="W23">
        <f t="shared" ca="1" si="21"/>
        <v>0.62932562092931255</v>
      </c>
      <c r="X23">
        <f t="shared" ca="1" si="21"/>
        <v>1.7307900745868416</v>
      </c>
      <c r="Y23">
        <f t="shared" ca="1" si="21"/>
        <v>-1.157046725978067</v>
      </c>
      <c r="Z23">
        <f t="shared" ref="Z23:AI32" ca="1" si="22">_xlfn.NORM.S.INV(RAND())</f>
        <v>1.0467938929755716</v>
      </c>
      <c r="AA23">
        <f t="shared" ca="1" si="22"/>
        <v>2.6902510778951814E-2</v>
      </c>
      <c r="AB23">
        <f t="shared" ca="1" si="22"/>
        <v>-0.8607859505884804</v>
      </c>
      <c r="AC23">
        <f t="shared" ca="1" si="22"/>
        <v>0.25163535202374743</v>
      </c>
      <c r="AD23">
        <f t="shared" ca="1" si="22"/>
        <v>-0.72089958746372707</v>
      </c>
      <c r="AE23">
        <f t="shared" ca="1" si="22"/>
        <v>7.2524772255870118E-2</v>
      </c>
      <c r="AF23">
        <f t="shared" ca="1" si="22"/>
        <v>-0.36321270889767382</v>
      </c>
      <c r="AG23">
        <f t="shared" ca="1" si="22"/>
        <v>0.39825764308070888</v>
      </c>
      <c r="AH23">
        <f t="shared" ca="1" si="22"/>
        <v>1.9194039369911313</v>
      </c>
      <c r="AI23">
        <f t="shared" ca="1" si="22"/>
        <v>-0.5145844281530576</v>
      </c>
      <c r="AJ23">
        <f t="shared" ref="AJ23:AS32" ca="1" si="23">_xlfn.NORM.S.INV(RAND())</f>
        <v>-1.3921487242309474</v>
      </c>
      <c r="AK23">
        <f t="shared" ca="1" si="23"/>
        <v>-0.78926083218239085</v>
      </c>
      <c r="AL23">
        <f t="shared" ca="1" si="23"/>
        <v>0.44616148793826643</v>
      </c>
      <c r="AM23">
        <f t="shared" ca="1" si="23"/>
        <v>0.81397908963101961</v>
      </c>
      <c r="AN23">
        <f t="shared" ca="1" si="23"/>
        <v>-0.77308241761164531</v>
      </c>
      <c r="AO23">
        <f t="shared" ca="1" si="23"/>
        <v>-0.88306951719243398</v>
      </c>
      <c r="AP23">
        <f t="shared" ca="1" si="23"/>
        <v>-0.18301852631394835</v>
      </c>
      <c r="AQ23">
        <f t="shared" ca="1" si="23"/>
        <v>0.59443548027847615</v>
      </c>
      <c r="AR23">
        <f t="shared" ca="1" si="23"/>
        <v>-0.30839604780203894</v>
      </c>
      <c r="AS23">
        <f t="shared" ca="1" si="23"/>
        <v>-0.99044125101776481</v>
      </c>
      <c r="AT23">
        <f t="shared" ref="AT23:BC32" ca="1" si="24">_xlfn.NORM.S.INV(RAND())</f>
        <v>-1.7628952589951068</v>
      </c>
      <c r="AU23">
        <f t="shared" ca="1" si="24"/>
        <v>-1.0272943230774625</v>
      </c>
      <c r="AV23">
        <f t="shared" ca="1" si="24"/>
        <v>-0.55393326344704297</v>
      </c>
      <c r="AW23">
        <f t="shared" ca="1" si="24"/>
        <v>-1.93286056311169</v>
      </c>
      <c r="AX23">
        <f t="shared" ca="1" si="24"/>
        <v>1.5501265877623192</v>
      </c>
      <c r="AY23">
        <f t="shared" ca="1" si="24"/>
        <v>-0.89296290658567135</v>
      </c>
      <c r="AZ23">
        <f t="shared" ca="1" si="24"/>
        <v>0.85876210694498123</v>
      </c>
      <c r="BA23">
        <f t="shared" ca="1" si="24"/>
        <v>7.3944536647442244E-2</v>
      </c>
      <c r="BB23">
        <f t="shared" ca="1" si="24"/>
        <v>-0.45725829656504197</v>
      </c>
      <c r="BC23">
        <f t="shared" ca="1" si="24"/>
        <v>0.28299239816149424</v>
      </c>
      <c r="BD23">
        <f t="shared" ref="BD23:BM32" ca="1" si="25">_xlfn.NORM.S.INV(RAND())</f>
        <v>0.713922899036603</v>
      </c>
      <c r="BE23">
        <f t="shared" ca="1" si="25"/>
        <v>1.707032163035358</v>
      </c>
      <c r="BF23">
        <f t="shared" ca="1" si="25"/>
        <v>-0.94168979267840658</v>
      </c>
      <c r="BG23">
        <f t="shared" ca="1" si="25"/>
        <v>0.35578390625743872</v>
      </c>
      <c r="BH23">
        <f t="shared" ca="1" si="25"/>
        <v>8.6064278627490554E-2</v>
      </c>
      <c r="BI23">
        <f t="shared" ca="1" si="25"/>
        <v>0.8567137362918763</v>
      </c>
      <c r="BJ23">
        <f t="shared" ca="1" si="25"/>
        <v>-1.1511940129856659</v>
      </c>
      <c r="BK23">
        <f t="shared" ca="1" si="25"/>
        <v>-0.78415737983263845</v>
      </c>
      <c r="BL23">
        <f t="shared" ca="1" si="25"/>
        <v>-0.9731375865130748</v>
      </c>
      <c r="BM23">
        <f t="shared" ca="1" si="25"/>
        <v>-2.6869272259890473</v>
      </c>
      <c r="BN23">
        <f t="shared" ref="BN23:BW32" ca="1" si="26">_xlfn.NORM.S.INV(RAND())</f>
        <v>0.84493880660654308</v>
      </c>
      <c r="BO23">
        <f t="shared" ca="1" si="26"/>
        <v>-1.2780139231265473</v>
      </c>
      <c r="BP23">
        <f t="shared" ca="1" si="26"/>
        <v>0.39156951306008764</v>
      </c>
      <c r="BQ23">
        <f t="shared" ca="1" si="26"/>
        <v>-0.51231206651054373</v>
      </c>
      <c r="BR23">
        <f t="shared" ca="1" si="26"/>
        <v>-0.1229968184749728</v>
      </c>
      <c r="BS23">
        <f t="shared" ca="1" si="26"/>
        <v>-1.6018984608570903</v>
      </c>
      <c r="BT23">
        <f t="shared" ca="1" si="26"/>
        <v>1.5135056502179514</v>
      </c>
      <c r="BU23">
        <f t="shared" ca="1" si="26"/>
        <v>0.31873195162676526</v>
      </c>
      <c r="BV23">
        <f t="shared" ca="1" si="26"/>
        <v>-0.12345721668736009</v>
      </c>
      <c r="BW23">
        <f t="shared" ca="1" si="26"/>
        <v>0.80355152513393957</v>
      </c>
      <c r="BX23">
        <f t="shared" ref="BX23:CG32" ca="1" si="27">_xlfn.NORM.S.INV(RAND())</f>
        <v>0.13342730991993229</v>
      </c>
      <c r="BY23">
        <f t="shared" ca="1" si="27"/>
        <v>-1.0937077636256425</v>
      </c>
      <c r="BZ23">
        <f t="shared" ca="1" si="27"/>
        <v>0.92963279489444106</v>
      </c>
      <c r="CA23">
        <f t="shared" ca="1" si="27"/>
        <v>-0.72000398867101323</v>
      </c>
      <c r="CB23">
        <f t="shared" ca="1" si="27"/>
        <v>-1.5954556498565167E-2</v>
      </c>
      <c r="CC23">
        <f t="shared" ca="1" si="27"/>
        <v>-0.56822765292272459</v>
      </c>
      <c r="CD23">
        <f t="shared" ca="1" si="27"/>
        <v>-2.9337302780849964E-2</v>
      </c>
      <c r="CE23">
        <f t="shared" ca="1" si="27"/>
        <v>0.74884264755023222</v>
      </c>
      <c r="CF23">
        <f t="shared" ca="1" si="27"/>
        <v>-5.6782028262938433E-2</v>
      </c>
      <c r="CG23">
        <f t="shared" ca="1" si="27"/>
        <v>0.33280371551070759</v>
      </c>
      <c r="CH23">
        <f t="shared" ref="CH23:CQ32" ca="1" si="28">_xlfn.NORM.S.INV(RAND())</f>
        <v>-0.31671535001925194</v>
      </c>
      <c r="CI23">
        <f t="shared" ca="1" si="28"/>
        <v>-1.1880590621452698</v>
      </c>
      <c r="CJ23">
        <f t="shared" ca="1" si="28"/>
        <v>-6.5404218606483497E-3</v>
      </c>
      <c r="CK23">
        <f t="shared" ca="1" si="28"/>
        <v>-0.32726106076254485</v>
      </c>
      <c r="CL23">
        <f t="shared" ca="1" si="28"/>
        <v>0.84236664410474127</v>
      </c>
      <c r="CM23">
        <f t="shared" ca="1" si="28"/>
        <v>0.18087736550369565</v>
      </c>
      <c r="CN23">
        <f t="shared" ca="1" si="28"/>
        <v>-0.12608953493374911</v>
      </c>
      <c r="CO23">
        <f t="shared" ca="1" si="28"/>
        <v>0.65159399836000287</v>
      </c>
      <c r="CP23">
        <f t="shared" ca="1" si="28"/>
        <v>0.53777374373997422</v>
      </c>
      <c r="CQ23">
        <f t="shared" ca="1" si="28"/>
        <v>1.0262961245852198</v>
      </c>
      <c r="CR23">
        <f t="shared" ref="CR23:DA32" ca="1" si="29">_xlfn.NORM.S.INV(RAND())</f>
        <v>-0.76688075949176937</v>
      </c>
      <c r="CS23">
        <f t="shared" ca="1" si="29"/>
        <v>-2.2455497563923799</v>
      </c>
      <c r="CT23">
        <f t="shared" ca="1" si="29"/>
        <v>0.34457955246905025</v>
      </c>
      <c r="CU23">
        <f t="shared" ca="1" si="29"/>
        <v>-0.50524804535903023</v>
      </c>
      <c r="CV23">
        <f t="shared" ca="1" si="29"/>
        <v>-0.2814743247282589</v>
      </c>
      <c r="CW23">
        <f t="shared" ca="1" si="29"/>
        <v>3.015258157765045E-2</v>
      </c>
      <c r="CX23">
        <f t="shared" ca="1" si="29"/>
        <v>-0.57743626313715302</v>
      </c>
      <c r="CY23">
        <f t="shared" ca="1" si="29"/>
        <v>-1.4295017397962038</v>
      </c>
      <c r="CZ23">
        <f t="shared" ca="1" si="29"/>
        <v>0.70430623883707522</v>
      </c>
      <c r="DA23">
        <f t="shared" ca="1" si="29"/>
        <v>0.94098651024273605</v>
      </c>
    </row>
    <row r="24" spans="5:105" x14ac:dyDescent="0.25">
      <c r="E24">
        <f>S_plus!L24</f>
        <v>0.22000000000000006</v>
      </c>
      <c r="F24">
        <f t="shared" ca="1" si="20"/>
        <v>-2.0384358673575041E-2</v>
      </c>
      <c r="G24">
        <f t="shared" ca="1" si="20"/>
        <v>1.4118103502249497</v>
      </c>
      <c r="H24">
        <f t="shared" ca="1" si="20"/>
        <v>-0.1172032387520807</v>
      </c>
      <c r="I24">
        <f t="shared" ca="1" si="20"/>
        <v>0.44593938817142359</v>
      </c>
      <c r="J24">
        <f t="shared" ca="1" si="20"/>
        <v>-0.38405891863654518</v>
      </c>
      <c r="K24">
        <f t="shared" ca="1" si="20"/>
        <v>0.94596710804726469</v>
      </c>
      <c r="L24">
        <f t="shared" ca="1" si="20"/>
        <v>-1.4367888284878363</v>
      </c>
      <c r="M24">
        <f t="shared" ca="1" si="20"/>
        <v>0.13231638540821389</v>
      </c>
      <c r="N24">
        <f t="shared" ca="1" si="20"/>
        <v>-0.93036770851471007</v>
      </c>
      <c r="O24">
        <f t="shared" ca="1" si="20"/>
        <v>0.54696725031910609</v>
      </c>
      <c r="P24">
        <f t="shared" ca="1" si="21"/>
        <v>8.176495771983705E-2</v>
      </c>
      <c r="Q24">
        <f t="shared" ca="1" si="21"/>
        <v>0.20957344285527704</v>
      </c>
      <c r="R24">
        <f t="shared" ca="1" si="21"/>
        <v>-0.81603184991589639</v>
      </c>
      <c r="S24">
        <f t="shared" ca="1" si="21"/>
        <v>1.1278705803032594E-2</v>
      </c>
      <c r="T24">
        <f t="shared" ca="1" si="21"/>
        <v>-0.69432182017005684</v>
      </c>
      <c r="U24">
        <f t="shared" ca="1" si="21"/>
        <v>-1.0090554571837698</v>
      </c>
      <c r="V24">
        <f t="shared" ca="1" si="21"/>
        <v>0.64665908331594879</v>
      </c>
      <c r="W24">
        <f t="shared" ca="1" si="21"/>
        <v>0.44791362901972998</v>
      </c>
      <c r="X24">
        <f t="shared" ca="1" si="21"/>
        <v>-0.68053195645141851</v>
      </c>
      <c r="Y24">
        <f t="shared" ca="1" si="21"/>
        <v>-0.10925757791817724</v>
      </c>
      <c r="Z24">
        <f t="shared" ca="1" si="22"/>
        <v>0.72652760159498353</v>
      </c>
      <c r="AA24">
        <f t="shared" ca="1" si="22"/>
        <v>-0.35661502296782538</v>
      </c>
      <c r="AB24">
        <f t="shared" ca="1" si="22"/>
        <v>-0.23302468400909632</v>
      </c>
      <c r="AC24">
        <f t="shared" ca="1" si="22"/>
        <v>0.56747108566961768</v>
      </c>
      <c r="AD24">
        <f t="shared" ca="1" si="22"/>
        <v>-0.44818752321234223</v>
      </c>
      <c r="AE24">
        <f t="shared" ca="1" si="22"/>
        <v>-0.60559964409729561</v>
      </c>
      <c r="AF24">
        <f t="shared" ca="1" si="22"/>
        <v>-0.51611716130016627</v>
      </c>
      <c r="AG24">
        <f t="shared" ca="1" si="22"/>
        <v>1.2544508119627402</v>
      </c>
      <c r="AH24">
        <f t="shared" ca="1" si="22"/>
        <v>-0.76997817004660796</v>
      </c>
      <c r="AI24">
        <f t="shared" ca="1" si="22"/>
        <v>-1.679826789739497</v>
      </c>
      <c r="AJ24">
        <f t="shared" ca="1" si="23"/>
        <v>0.22675910056612164</v>
      </c>
      <c r="AK24">
        <f t="shared" ca="1" si="23"/>
        <v>-0.52462593781986233</v>
      </c>
      <c r="AL24">
        <f t="shared" ca="1" si="23"/>
        <v>-0.99128977189549605</v>
      </c>
      <c r="AM24">
        <f t="shared" ca="1" si="23"/>
        <v>-0.1900771877616512</v>
      </c>
      <c r="AN24">
        <f t="shared" ca="1" si="23"/>
        <v>0.49849014948485698</v>
      </c>
      <c r="AO24">
        <f t="shared" ca="1" si="23"/>
        <v>1.3549499059768519</v>
      </c>
      <c r="AP24">
        <f t="shared" ca="1" si="23"/>
        <v>3.8623267178704526E-2</v>
      </c>
      <c r="AQ24">
        <f t="shared" ca="1" si="23"/>
        <v>-2.022633388459556</v>
      </c>
      <c r="AR24">
        <f t="shared" ca="1" si="23"/>
        <v>4.1265390820481557E-2</v>
      </c>
      <c r="AS24">
        <f t="shared" ca="1" si="23"/>
        <v>-2.2414688999186763</v>
      </c>
      <c r="AT24">
        <f t="shared" ca="1" si="24"/>
        <v>-1.0106473964813478</v>
      </c>
      <c r="AU24">
        <f t="shared" ca="1" si="24"/>
        <v>0.95146238822024709</v>
      </c>
      <c r="AV24">
        <f t="shared" ca="1" si="24"/>
        <v>0.52837045183940623</v>
      </c>
      <c r="AW24">
        <f t="shared" ca="1" si="24"/>
        <v>0.79018464069973871</v>
      </c>
      <c r="AX24">
        <f t="shared" ca="1" si="24"/>
        <v>0.35939322702134519</v>
      </c>
      <c r="AY24">
        <f t="shared" ca="1" si="24"/>
        <v>2.1897039065776958</v>
      </c>
      <c r="AZ24">
        <f t="shared" ca="1" si="24"/>
        <v>-0.8723080199399762</v>
      </c>
      <c r="BA24">
        <f t="shared" ca="1" si="24"/>
        <v>0.14177440287936932</v>
      </c>
      <c r="BB24">
        <f t="shared" ca="1" si="24"/>
        <v>1.1424925423408281</v>
      </c>
      <c r="BC24">
        <f t="shared" ca="1" si="24"/>
        <v>0.79488861814806955</v>
      </c>
      <c r="BD24">
        <f t="shared" ca="1" si="25"/>
        <v>-0.38796521541946688</v>
      </c>
      <c r="BE24">
        <f t="shared" ca="1" si="25"/>
        <v>-0.97850488697981886</v>
      </c>
      <c r="BF24">
        <f t="shared" ca="1" si="25"/>
        <v>0.35470644471099427</v>
      </c>
      <c r="BG24">
        <f t="shared" ca="1" si="25"/>
        <v>0.28870095797902207</v>
      </c>
      <c r="BH24">
        <f t="shared" ca="1" si="25"/>
        <v>-0.83885777069884937</v>
      </c>
      <c r="BI24">
        <f t="shared" ca="1" si="25"/>
        <v>1.0890119135828862</v>
      </c>
      <c r="BJ24">
        <f t="shared" ca="1" si="25"/>
        <v>-1.1204557862219846</v>
      </c>
      <c r="BK24">
        <f t="shared" ca="1" si="25"/>
        <v>-0.99120549464156293</v>
      </c>
      <c r="BL24">
        <f t="shared" ca="1" si="25"/>
        <v>5.0261195716443025E-2</v>
      </c>
      <c r="BM24">
        <f t="shared" ca="1" si="25"/>
        <v>-0.68431759480998156</v>
      </c>
      <c r="BN24">
        <f t="shared" ca="1" si="26"/>
        <v>1.2608872639889939</v>
      </c>
      <c r="BO24">
        <f t="shared" ca="1" si="26"/>
        <v>-0.38763650718921117</v>
      </c>
      <c r="BP24">
        <f t="shared" ca="1" si="26"/>
        <v>0.10450929154359696</v>
      </c>
      <c r="BQ24">
        <f t="shared" ca="1" si="26"/>
        <v>0.49901999217570048</v>
      </c>
      <c r="BR24">
        <f t="shared" ca="1" si="26"/>
        <v>0.21254216122568931</v>
      </c>
      <c r="BS24">
        <f t="shared" ca="1" si="26"/>
        <v>-0.17834445881454555</v>
      </c>
      <c r="BT24">
        <f t="shared" ca="1" si="26"/>
        <v>-0.55495915735541557</v>
      </c>
      <c r="BU24">
        <f t="shared" ca="1" si="26"/>
        <v>2.2949368209549252</v>
      </c>
      <c r="BV24">
        <f t="shared" ca="1" si="26"/>
        <v>-1.6117865970559493</v>
      </c>
      <c r="BW24">
        <f t="shared" ca="1" si="26"/>
        <v>-0.99443720375585087</v>
      </c>
      <c r="BX24">
        <f t="shared" ca="1" si="27"/>
        <v>-1.943649156773573</v>
      </c>
      <c r="BY24">
        <f t="shared" ca="1" si="27"/>
        <v>-0.98005804922910877</v>
      </c>
      <c r="BZ24">
        <f t="shared" ca="1" si="27"/>
        <v>0.52061766736632509</v>
      </c>
      <c r="CA24">
        <f t="shared" ca="1" si="27"/>
        <v>0.78366003488990688</v>
      </c>
      <c r="CB24">
        <f t="shared" ca="1" si="27"/>
        <v>1.8856887775034554</v>
      </c>
      <c r="CC24">
        <f t="shared" ca="1" si="27"/>
        <v>-1.3290729885335506</v>
      </c>
      <c r="CD24">
        <f t="shared" ca="1" si="27"/>
        <v>2.0657732038877255</v>
      </c>
      <c r="CE24">
        <f t="shared" ca="1" si="27"/>
        <v>1.2834825494474291</v>
      </c>
      <c r="CF24">
        <f t="shared" ca="1" si="27"/>
        <v>-0.89397758829373331</v>
      </c>
      <c r="CG24">
        <f t="shared" ca="1" si="27"/>
        <v>1.4826326688703535</v>
      </c>
      <c r="CH24">
        <f t="shared" ca="1" si="28"/>
        <v>6.746280734781096E-2</v>
      </c>
      <c r="CI24">
        <f t="shared" ca="1" si="28"/>
        <v>1.9543318960384344</v>
      </c>
      <c r="CJ24">
        <f t="shared" ca="1" si="28"/>
        <v>1.3179691254826584</v>
      </c>
      <c r="CK24">
        <f t="shared" ca="1" si="28"/>
        <v>-0.94490512430603757</v>
      </c>
      <c r="CL24">
        <f t="shared" ca="1" si="28"/>
        <v>4.8905010559886865E-2</v>
      </c>
      <c r="CM24">
        <f t="shared" ca="1" si="28"/>
        <v>-0.99882205942704594</v>
      </c>
      <c r="CN24">
        <f t="shared" ca="1" si="28"/>
        <v>0.23141867504063934</v>
      </c>
      <c r="CO24">
        <f t="shared" ca="1" si="28"/>
        <v>0.37031478713136318</v>
      </c>
      <c r="CP24">
        <f t="shared" ca="1" si="28"/>
        <v>0.9708614351409216</v>
      </c>
      <c r="CQ24">
        <f t="shared" ca="1" si="28"/>
        <v>-0.7244929486363676</v>
      </c>
      <c r="CR24">
        <f t="shared" ca="1" si="29"/>
        <v>0.23210078816817226</v>
      </c>
      <c r="CS24">
        <f t="shared" ca="1" si="29"/>
        <v>0.17813279633518384</v>
      </c>
      <c r="CT24">
        <f t="shared" ca="1" si="29"/>
        <v>-1.5653446066704542</v>
      </c>
      <c r="CU24">
        <f t="shared" ca="1" si="29"/>
        <v>-0.8264895695653488</v>
      </c>
      <c r="CV24">
        <f t="shared" ca="1" si="29"/>
        <v>1.2698712994971768</v>
      </c>
      <c r="CW24">
        <f t="shared" ca="1" si="29"/>
        <v>1.4912944104449284</v>
      </c>
      <c r="CX24">
        <f t="shared" ca="1" si="29"/>
        <v>-7.2265453582805075E-2</v>
      </c>
      <c r="CY24">
        <f t="shared" ca="1" si="29"/>
        <v>2.829306754521498</v>
      </c>
      <c r="CZ24">
        <f t="shared" ca="1" si="29"/>
        <v>0.71848766502258077</v>
      </c>
      <c r="DA24">
        <f t="shared" ca="1" si="29"/>
        <v>-0.12748330446757083</v>
      </c>
    </row>
    <row r="25" spans="5:105" x14ac:dyDescent="0.25">
      <c r="E25">
        <f>S_plus!L25</f>
        <v>0.23000000000000007</v>
      </c>
      <c r="F25">
        <f t="shared" ca="1" si="20"/>
        <v>-7.863166929976774E-2</v>
      </c>
      <c r="G25">
        <f t="shared" ca="1" si="20"/>
        <v>1.764925881445301</v>
      </c>
      <c r="H25">
        <f t="shared" ca="1" si="20"/>
        <v>0.17722627461782867</v>
      </c>
      <c r="I25">
        <f t="shared" ca="1" si="20"/>
        <v>-1.3492997412118313</v>
      </c>
      <c r="J25">
        <f t="shared" ca="1" si="20"/>
        <v>0.10104655062472563</v>
      </c>
      <c r="K25">
        <f t="shared" ca="1" si="20"/>
        <v>-0.41367736981607728</v>
      </c>
      <c r="L25">
        <f t="shared" ca="1" si="20"/>
        <v>-0.30314314710228912</v>
      </c>
      <c r="M25">
        <f t="shared" ca="1" si="20"/>
        <v>0.44823738199818658</v>
      </c>
      <c r="N25">
        <f t="shared" ca="1" si="20"/>
        <v>0.29345845896538819</v>
      </c>
      <c r="O25">
        <f t="shared" ca="1" si="20"/>
        <v>-0.15503260787355605</v>
      </c>
      <c r="P25">
        <f t="shared" ca="1" si="21"/>
        <v>-0.43823048302755169</v>
      </c>
      <c r="Q25">
        <f t="shared" ca="1" si="21"/>
        <v>-1.2426289043403718</v>
      </c>
      <c r="R25">
        <f t="shared" ca="1" si="21"/>
        <v>0.61031374555478013</v>
      </c>
      <c r="S25">
        <f t="shared" ca="1" si="21"/>
        <v>-0.67476181299492843</v>
      </c>
      <c r="T25">
        <f t="shared" ca="1" si="21"/>
        <v>0.72922659641977938</v>
      </c>
      <c r="U25">
        <f t="shared" ca="1" si="21"/>
        <v>-1.1614326957998495</v>
      </c>
      <c r="V25">
        <f t="shared" ca="1" si="21"/>
        <v>-0.23419166773067165</v>
      </c>
      <c r="W25">
        <f t="shared" ca="1" si="21"/>
        <v>-1.0204116070297453</v>
      </c>
      <c r="X25">
        <f t="shared" ca="1" si="21"/>
        <v>0.14131077144492729</v>
      </c>
      <c r="Y25">
        <f t="shared" ca="1" si="21"/>
        <v>-2.3224133085460386</v>
      </c>
      <c r="Z25">
        <f t="shared" ca="1" si="22"/>
        <v>1.4336515391724431</v>
      </c>
      <c r="AA25">
        <f t="shared" ca="1" si="22"/>
        <v>-0.12224858355795643</v>
      </c>
      <c r="AB25">
        <f t="shared" ca="1" si="22"/>
        <v>-1.057111100110125</v>
      </c>
      <c r="AC25">
        <f t="shared" ca="1" si="22"/>
        <v>-0.62553842235131751</v>
      </c>
      <c r="AD25">
        <f t="shared" ca="1" si="22"/>
        <v>-0.89523103075363308</v>
      </c>
      <c r="AE25">
        <f t="shared" ca="1" si="22"/>
        <v>0.5242282166037262</v>
      </c>
      <c r="AF25">
        <f t="shared" ca="1" si="22"/>
        <v>0.66003312680062398</v>
      </c>
      <c r="AG25">
        <f t="shared" ca="1" si="22"/>
        <v>0.16604859469956099</v>
      </c>
      <c r="AH25">
        <f t="shared" ca="1" si="22"/>
        <v>-0.8484513445994486</v>
      </c>
      <c r="AI25">
        <f t="shared" ca="1" si="22"/>
        <v>0.11271662393074265</v>
      </c>
      <c r="AJ25">
        <f t="shared" ca="1" si="23"/>
        <v>-0.74984036510149699</v>
      </c>
      <c r="AK25">
        <f t="shared" ca="1" si="23"/>
        <v>-0.81342874931816234</v>
      </c>
      <c r="AL25">
        <f t="shared" ca="1" si="23"/>
        <v>-1.1190733200116065</v>
      </c>
      <c r="AM25">
        <f t="shared" ca="1" si="23"/>
        <v>0.8443008013309623</v>
      </c>
      <c r="AN25">
        <f t="shared" ca="1" si="23"/>
        <v>-5.2115315093961757E-2</v>
      </c>
      <c r="AO25">
        <f t="shared" ca="1" si="23"/>
        <v>0.60466191146336978</v>
      </c>
      <c r="AP25">
        <f t="shared" ca="1" si="23"/>
        <v>0.10894338853825325</v>
      </c>
      <c r="AQ25">
        <f t="shared" ca="1" si="23"/>
        <v>0.94469650949145212</v>
      </c>
      <c r="AR25">
        <f t="shared" ca="1" si="23"/>
        <v>-0.69380614412812158</v>
      </c>
      <c r="AS25">
        <f t="shared" ca="1" si="23"/>
        <v>0.32563342094249598</v>
      </c>
      <c r="AT25">
        <f t="shared" ca="1" si="24"/>
        <v>-0.36805588372307035</v>
      </c>
      <c r="AU25">
        <f t="shared" ca="1" si="24"/>
        <v>-0.36749483793093696</v>
      </c>
      <c r="AV25">
        <f t="shared" ca="1" si="24"/>
        <v>-0.75219915922592873</v>
      </c>
      <c r="AW25">
        <f t="shared" ca="1" si="24"/>
        <v>1.397672972681856</v>
      </c>
      <c r="AX25">
        <f t="shared" ca="1" si="24"/>
        <v>-0.24793389693764845</v>
      </c>
      <c r="AY25">
        <f t="shared" ca="1" si="24"/>
        <v>0.72787626587029564</v>
      </c>
      <c r="AZ25">
        <f t="shared" ca="1" si="24"/>
        <v>-0.11025842579674547</v>
      </c>
      <c r="BA25">
        <f t="shared" ca="1" si="24"/>
        <v>0.65559335188952528</v>
      </c>
      <c r="BB25">
        <f t="shared" ca="1" si="24"/>
        <v>0.18948733271595164</v>
      </c>
      <c r="BC25">
        <f t="shared" ca="1" si="24"/>
        <v>0.97689059242799559</v>
      </c>
      <c r="BD25">
        <f t="shared" ca="1" si="25"/>
        <v>0.38996764897466596</v>
      </c>
      <c r="BE25">
        <f t="shared" ca="1" si="25"/>
        <v>-0.58947497754864653</v>
      </c>
      <c r="BF25">
        <f t="shared" ca="1" si="25"/>
        <v>0.90791130280772192</v>
      </c>
      <c r="BG25">
        <f t="shared" ca="1" si="25"/>
        <v>-5.6795185059647958E-2</v>
      </c>
      <c r="BH25">
        <f t="shared" ca="1" si="25"/>
        <v>-1.0357252391848084</v>
      </c>
      <c r="BI25">
        <f t="shared" ca="1" si="25"/>
        <v>-1.0227906173511481</v>
      </c>
      <c r="BJ25">
        <f t="shared" ca="1" si="25"/>
        <v>-0.35182587736363652</v>
      </c>
      <c r="BK25">
        <f t="shared" ca="1" si="25"/>
        <v>0.64998313721218004</v>
      </c>
      <c r="BL25">
        <f t="shared" ca="1" si="25"/>
        <v>0.56596472755185923</v>
      </c>
      <c r="BM25">
        <f t="shared" ca="1" si="25"/>
        <v>0.68435887381362737</v>
      </c>
      <c r="BN25">
        <f t="shared" ca="1" si="26"/>
        <v>5.6665568488999535E-3</v>
      </c>
      <c r="BO25">
        <f t="shared" ca="1" si="26"/>
        <v>-0.68192899285049235</v>
      </c>
      <c r="BP25">
        <f t="shared" ca="1" si="26"/>
        <v>-0.22345300853455211</v>
      </c>
      <c r="BQ25">
        <f t="shared" ca="1" si="26"/>
        <v>0.87292531865278189</v>
      </c>
      <c r="BR25">
        <f t="shared" ca="1" si="26"/>
        <v>1.3898305660369559</v>
      </c>
      <c r="BS25">
        <f t="shared" ca="1" si="26"/>
        <v>-1.0777264760113319</v>
      </c>
      <c r="BT25">
        <f t="shared" ca="1" si="26"/>
        <v>1.6331398889600914</v>
      </c>
      <c r="BU25">
        <f t="shared" ca="1" si="26"/>
        <v>-1.0261143847211076</v>
      </c>
      <c r="BV25">
        <f t="shared" ca="1" si="26"/>
        <v>0.36787144089374541</v>
      </c>
      <c r="BW25">
        <f t="shared" ca="1" si="26"/>
        <v>0.92332890516013899</v>
      </c>
      <c r="BX25">
        <f t="shared" ca="1" si="27"/>
        <v>-0.38534333427673417</v>
      </c>
      <c r="BY25">
        <f t="shared" ca="1" si="27"/>
        <v>-0.28600640995576232</v>
      </c>
      <c r="BZ25">
        <f t="shared" ca="1" si="27"/>
        <v>6.4842456854472666E-2</v>
      </c>
      <c r="CA25">
        <f t="shared" ca="1" si="27"/>
        <v>-0.50928822570733479</v>
      </c>
      <c r="CB25">
        <f t="shared" ca="1" si="27"/>
        <v>0.46071934006121457</v>
      </c>
      <c r="CC25">
        <f t="shared" ca="1" si="27"/>
        <v>0.40860657753743101</v>
      </c>
      <c r="CD25">
        <f t="shared" ca="1" si="27"/>
        <v>0.20210809388084941</v>
      </c>
      <c r="CE25">
        <f t="shared" ca="1" si="27"/>
        <v>0.20395194807290976</v>
      </c>
      <c r="CF25">
        <f t="shared" ca="1" si="27"/>
        <v>0.79941915768274951</v>
      </c>
      <c r="CG25">
        <f t="shared" ca="1" si="27"/>
        <v>-0.95769406626913089</v>
      </c>
      <c r="CH25">
        <f t="shared" ca="1" si="28"/>
        <v>-0.65101989362923007</v>
      </c>
      <c r="CI25">
        <f t="shared" ca="1" si="28"/>
        <v>-0.22156378758914652</v>
      </c>
      <c r="CJ25">
        <f t="shared" ca="1" si="28"/>
        <v>0.2966551990171255</v>
      </c>
      <c r="CK25">
        <f t="shared" ca="1" si="28"/>
        <v>0.4476717973904718</v>
      </c>
      <c r="CL25">
        <f t="shared" ca="1" si="28"/>
        <v>-1.8840185860823506</v>
      </c>
      <c r="CM25">
        <f t="shared" ca="1" si="28"/>
        <v>0.13452021551126778</v>
      </c>
      <c r="CN25">
        <f t="shared" ca="1" si="28"/>
        <v>1.1074850441856254</v>
      </c>
      <c r="CO25">
        <f t="shared" ca="1" si="28"/>
        <v>0.31099734764775516</v>
      </c>
      <c r="CP25">
        <f t="shared" ca="1" si="28"/>
        <v>-0.70406884824612292</v>
      </c>
      <c r="CQ25">
        <f t="shared" ca="1" si="28"/>
        <v>1.001895965412636</v>
      </c>
      <c r="CR25">
        <f t="shared" ca="1" si="29"/>
        <v>-1.4174648816531057</v>
      </c>
      <c r="CS25">
        <f t="shared" ca="1" si="29"/>
        <v>-1.1869170028588829</v>
      </c>
      <c r="CT25">
        <f t="shared" ca="1" si="29"/>
        <v>2.8293180728948135</v>
      </c>
      <c r="CU25">
        <f t="shared" ca="1" si="29"/>
        <v>0.5122081644889418</v>
      </c>
      <c r="CV25">
        <f t="shared" ca="1" si="29"/>
        <v>-3.2185415157286699E-2</v>
      </c>
      <c r="CW25">
        <f t="shared" ca="1" si="29"/>
        <v>-1.1416278757510483</v>
      </c>
      <c r="CX25">
        <f t="shared" ca="1" si="29"/>
        <v>2.1704302746346983E-3</v>
      </c>
      <c r="CY25">
        <f t="shared" ca="1" si="29"/>
        <v>2.2993179949129594</v>
      </c>
      <c r="CZ25">
        <f t="shared" ca="1" si="29"/>
        <v>-1.2212330951043802</v>
      </c>
      <c r="DA25">
        <f t="shared" ca="1" si="29"/>
        <v>-1.223354267687687</v>
      </c>
    </row>
    <row r="26" spans="5:105" x14ac:dyDescent="0.25">
      <c r="E26">
        <f>S_plus!L26</f>
        <v>0.24000000000000007</v>
      </c>
      <c r="F26">
        <f t="shared" ca="1" si="20"/>
        <v>1.5393851050336167</v>
      </c>
      <c r="G26">
        <f t="shared" ca="1" si="20"/>
        <v>4.1482564894073995E-2</v>
      </c>
      <c r="H26">
        <f t="shared" ca="1" si="20"/>
        <v>-2.4299138433112093</v>
      </c>
      <c r="I26">
        <f t="shared" ca="1" si="20"/>
        <v>-0.52117880580337828</v>
      </c>
      <c r="J26">
        <f t="shared" ca="1" si="20"/>
        <v>0.15862041765824841</v>
      </c>
      <c r="K26">
        <f t="shared" ca="1" si="20"/>
        <v>0.57675051765527063</v>
      </c>
      <c r="L26">
        <f t="shared" ca="1" si="20"/>
        <v>-0.42658406775623925</v>
      </c>
      <c r="M26">
        <f t="shared" ca="1" si="20"/>
        <v>-0.13304591407950028</v>
      </c>
      <c r="N26">
        <f t="shared" ca="1" si="20"/>
        <v>-0.2097981041687014</v>
      </c>
      <c r="O26">
        <f t="shared" ca="1" si="20"/>
        <v>0.8101435987382305</v>
      </c>
      <c r="P26">
        <f t="shared" ca="1" si="21"/>
        <v>0.76997953724512447</v>
      </c>
      <c r="Q26">
        <f t="shared" ca="1" si="21"/>
        <v>0.68834081686678728</v>
      </c>
      <c r="R26">
        <f t="shared" ca="1" si="21"/>
        <v>-2.2957789343463344</v>
      </c>
      <c r="S26">
        <f t="shared" ca="1" si="21"/>
        <v>1.3550112353462223</v>
      </c>
      <c r="T26">
        <f t="shared" ca="1" si="21"/>
        <v>-3.4746664399735866E-2</v>
      </c>
      <c r="U26">
        <f t="shared" ca="1" si="21"/>
        <v>-1.5978486456822025</v>
      </c>
      <c r="V26">
        <f t="shared" ca="1" si="21"/>
        <v>-1.2031940539351473</v>
      </c>
      <c r="W26">
        <f t="shared" ca="1" si="21"/>
        <v>2.1142278195391824</v>
      </c>
      <c r="X26">
        <f t="shared" ca="1" si="21"/>
        <v>1.3998159854076841</v>
      </c>
      <c r="Y26">
        <f t="shared" ca="1" si="21"/>
        <v>2.2766581517912245E-3</v>
      </c>
      <c r="Z26">
        <f t="shared" ca="1" si="22"/>
        <v>0.88389585741173171</v>
      </c>
      <c r="AA26">
        <f t="shared" ca="1" si="22"/>
        <v>-3.6242298592304776</v>
      </c>
      <c r="AB26">
        <f t="shared" ca="1" si="22"/>
        <v>-0.48002031537798545</v>
      </c>
      <c r="AC26">
        <f t="shared" ca="1" si="22"/>
        <v>1.0701244439871367</v>
      </c>
      <c r="AD26">
        <f t="shared" ca="1" si="22"/>
        <v>-1.67478253105249</v>
      </c>
      <c r="AE26">
        <f t="shared" ca="1" si="22"/>
        <v>0.86134317531261484</v>
      </c>
      <c r="AF26">
        <f t="shared" ca="1" si="22"/>
        <v>-1.4428213538895218</v>
      </c>
      <c r="AG26">
        <f t="shared" ca="1" si="22"/>
        <v>0.3730262241142368</v>
      </c>
      <c r="AH26">
        <f t="shared" ca="1" si="22"/>
        <v>0.37889829010949394</v>
      </c>
      <c r="AI26">
        <f t="shared" ca="1" si="22"/>
        <v>0.72380330482865463</v>
      </c>
      <c r="AJ26">
        <f t="shared" ca="1" si="23"/>
        <v>-0.25319229580656477</v>
      </c>
      <c r="AK26">
        <f t="shared" ca="1" si="23"/>
        <v>-0.82678417537134696</v>
      </c>
      <c r="AL26">
        <f t="shared" ca="1" si="23"/>
        <v>1.0173542834887859</v>
      </c>
      <c r="AM26">
        <f t="shared" ca="1" si="23"/>
        <v>-0.54637181771367815</v>
      </c>
      <c r="AN26">
        <f t="shared" ca="1" si="23"/>
        <v>-0.29117287793053381</v>
      </c>
      <c r="AO26">
        <f t="shared" ca="1" si="23"/>
        <v>-1.6651036301821061</v>
      </c>
      <c r="AP26">
        <f t="shared" ca="1" si="23"/>
        <v>-0.19477769102975587</v>
      </c>
      <c r="AQ26">
        <f t="shared" ca="1" si="23"/>
        <v>0.40994792094041621</v>
      </c>
      <c r="AR26">
        <f t="shared" ca="1" si="23"/>
        <v>-0.86388258095365578</v>
      </c>
      <c r="AS26">
        <f t="shared" ca="1" si="23"/>
        <v>0.5846196426924769</v>
      </c>
      <c r="AT26">
        <f t="shared" ca="1" si="24"/>
        <v>2.1873052321993285</v>
      </c>
      <c r="AU26">
        <f t="shared" ca="1" si="24"/>
        <v>-2.2132923088168415</v>
      </c>
      <c r="AV26">
        <f t="shared" ca="1" si="24"/>
        <v>1.244902995665458</v>
      </c>
      <c r="AW26">
        <f t="shared" ca="1" si="24"/>
        <v>-0.54408146962047899</v>
      </c>
      <c r="AX26">
        <f t="shared" ca="1" si="24"/>
        <v>-7.5180637644071263E-2</v>
      </c>
      <c r="AY26">
        <f t="shared" ca="1" si="24"/>
        <v>4.9656542688582758E-2</v>
      </c>
      <c r="AZ26">
        <f t="shared" ca="1" si="24"/>
        <v>1.3574013232914859</v>
      </c>
      <c r="BA26">
        <f t="shared" ca="1" si="24"/>
        <v>-0.78342639418700766</v>
      </c>
      <c r="BB26">
        <f t="shared" ca="1" si="24"/>
        <v>1.0034233690507668</v>
      </c>
      <c r="BC26">
        <f t="shared" ca="1" si="24"/>
        <v>-0.87930336073372584</v>
      </c>
      <c r="BD26">
        <f t="shared" ca="1" si="25"/>
        <v>2.443344193415367</v>
      </c>
      <c r="BE26">
        <f t="shared" ca="1" si="25"/>
        <v>-0.20731667279967861</v>
      </c>
      <c r="BF26">
        <f t="shared" ca="1" si="25"/>
        <v>-1.6164369214290402</v>
      </c>
      <c r="BG26">
        <f t="shared" ca="1" si="25"/>
        <v>1.0780133589158347</v>
      </c>
      <c r="BH26">
        <f t="shared" ca="1" si="25"/>
        <v>0.61750169578082192</v>
      </c>
      <c r="BI26">
        <f t="shared" ca="1" si="25"/>
        <v>0.15659101010159837</v>
      </c>
      <c r="BJ26">
        <f t="shared" ca="1" si="25"/>
        <v>-0.79707676974168062</v>
      </c>
      <c r="BK26">
        <f t="shared" ca="1" si="25"/>
        <v>-0.49132298956190218</v>
      </c>
      <c r="BL26">
        <f t="shared" ca="1" si="25"/>
        <v>-0.81639248388936725</v>
      </c>
      <c r="BM26">
        <f t="shared" ca="1" si="25"/>
        <v>-0.81449663642171211</v>
      </c>
      <c r="BN26">
        <f t="shared" ca="1" si="26"/>
        <v>-0.80247473146381987</v>
      </c>
      <c r="BO26">
        <f t="shared" ca="1" si="26"/>
        <v>-1.0452794779688614</v>
      </c>
      <c r="BP26">
        <f t="shared" ca="1" si="26"/>
        <v>0.38727343485382032</v>
      </c>
      <c r="BQ26">
        <f t="shared" ca="1" si="26"/>
        <v>2.3364440854034743</v>
      </c>
      <c r="BR26">
        <f t="shared" ca="1" si="26"/>
        <v>-1.0445104626407526</v>
      </c>
      <c r="BS26">
        <f t="shared" ca="1" si="26"/>
        <v>-2.2148807898314096</v>
      </c>
      <c r="BT26">
        <f t="shared" ca="1" si="26"/>
        <v>0.76924044192855479</v>
      </c>
      <c r="BU26">
        <f t="shared" ca="1" si="26"/>
        <v>-0.43096522387378822</v>
      </c>
      <c r="BV26">
        <f t="shared" ca="1" si="26"/>
        <v>0.23281035083053869</v>
      </c>
      <c r="BW26">
        <f t="shared" ca="1" si="26"/>
        <v>-0.51341859195291728</v>
      </c>
      <c r="BX26">
        <f t="shared" ca="1" si="27"/>
        <v>-1.4512935767042605</v>
      </c>
      <c r="BY26">
        <f t="shared" ca="1" si="27"/>
        <v>6.0665927357263644E-2</v>
      </c>
      <c r="BZ26">
        <f t="shared" ca="1" si="27"/>
        <v>0.20813439728821165</v>
      </c>
      <c r="CA26">
        <f t="shared" ca="1" si="27"/>
        <v>0.42511139966759776</v>
      </c>
      <c r="CB26">
        <f t="shared" ca="1" si="27"/>
        <v>0.17979960331206238</v>
      </c>
      <c r="CC26">
        <f t="shared" ca="1" si="27"/>
        <v>3.7776262479943021E-2</v>
      </c>
      <c r="CD26">
        <f t="shared" ca="1" si="27"/>
        <v>-1.1303557024662223</v>
      </c>
      <c r="CE26">
        <f t="shared" ca="1" si="27"/>
        <v>-2.9671713524596056E-2</v>
      </c>
      <c r="CF26">
        <f t="shared" ca="1" si="27"/>
        <v>0.37872505566953274</v>
      </c>
      <c r="CG26">
        <f t="shared" ca="1" si="27"/>
        <v>-1.5549497588910741</v>
      </c>
      <c r="CH26">
        <f t="shared" ca="1" si="28"/>
        <v>-1.3885301442846876</v>
      </c>
      <c r="CI26">
        <f t="shared" ca="1" si="28"/>
        <v>0.91303235171145647</v>
      </c>
      <c r="CJ26">
        <f t="shared" ca="1" si="28"/>
        <v>-0.31829455945100338</v>
      </c>
      <c r="CK26">
        <f t="shared" ca="1" si="28"/>
        <v>-1.0900476893547648</v>
      </c>
      <c r="CL26">
        <f t="shared" ca="1" si="28"/>
        <v>0.38578475363154646</v>
      </c>
      <c r="CM26">
        <f t="shared" ca="1" si="28"/>
        <v>-0.72884006846175486</v>
      </c>
      <c r="CN26">
        <f t="shared" ca="1" si="28"/>
        <v>0.2297620242992035</v>
      </c>
      <c r="CO26">
        <f t="shared" ca="1" si="28"/>
        <v>-0.93610749780113434</v>
      </c>
      <c r="CP26">
        <f t="shared" ca="1" si="28"/>
        <v>-2.3649752315321442E-2</v>
      </c>
      <c r="CQ26">
        <f t="shared" ca="1" si="28"/>
        <v>0.6471235305414843</v>
      </c>
      <c r="CR26">
        <f t="shared" ca="1" si="29"/>
        <v>0.31558088677032681</v>
      </c>
      <c r="CS26">
        <f t="shared" ca="1" si="29"/>
        <v>0.59153531955002747</v>
      </c>
      <c r="CT26">
        <f t="shared" ca="1" si="29"/>
        <v>-0.71760245428370306</v>
      </c>
      <c r="CU26">
        <f t="shared" ca="1" si="29"/>
        <v>-1.3502583176605423</v>
      </c>
      <c r="CV26">
        <f t="shared" ca="1" si="29"/>
        <v>-0.26802492510270309</v>
      </c>
      <c r="CW26">
        <f t="shared" ca="1" si="29"/>
        <v>0.72860254269201097</v>
      </c>
      <c r="CX26">
        <f t="shared" ca="1" si="29"/>
        <v>-2.0694924822108547</v>
      </c>
      <c r="CY26">
        <f t="shared" ca="1" si="29"/>
        <v>0.30290898419958528</v>
      </c>
      <c r="CZ26">
        <f t="shared" ca="1" si="29"/>
        <v>1.493008643989052</v>
      </c>
      <c r="DA26">
        <f t="shared" ca="1" si="29"/>
        <v>-0.57358469640992182</v>
      </c>
    </row>
    <row r="27" spans="5:105" x14ac:dyDescent="0.25">
      <c r="E27">
        <f>S_plus!L27</f>
        <v>0.25000000000000006</v>
      </c>
      <c r="F27">
        <f t="shared" ca="1" si="20"/>
        <v>-0.66471020927534086</v>
      </c>
      <c r="G27">
        <f t="shared" ca="1" si="20"/>
        <v>-1.0605454190921249</v>
      </c>
      <c r="H27">
        <f t="shared" ca="1" si="20"/>
        <v>-1.0652243658382772</v>
      </c>
      <c r="I27">
        <f t="shared" ca="1" si="20"/>
        <v>1.0509891443177897</v>
      </c>
      <c r="J27">
        <f t="shared" ca="1" si="20"/>
        <v>-0.65547718052549053</v>
      </c>
      <c r="K27">
        <f t="shared" ca="1" si="20"/>
        <v>-0.55699057299328703</v>
      </c>
      <c r="L27">
        <f t="shared" ca="1" si="20"/>
        <v>-1.3481645349131142</v>
      </c>
      <c r="M27">
        <f t="shared" ca="1" si="20"/>
        <v>-1.1336879738902976</v>
      </c>
      <c r="N27">
        <f t="shared" ca="1" si="20"/>
        <v>-0.64301198837821949</v>
      </c>
      <c r="O27">
        <f t="shared" ca="1" si="20"/>
        <v>0.11421964978855785</v>
      </c>
      <c r="P27">
        <f t="shared" ca="1" si="21"/>
        <v>0.74269852167256556</v>
      </c>
      <c r="Q27">
        <f t="shared" ca="1" si="21"/>
        <v>-0.40264578151507219</v>
      </c>
      <c r="R27">
        <f t="shared" ca="1" si="21"/>
        <v>0.29589695596506677</v>
      </c>
      <c r="S27">
        <f t="shared" ca="1" si="21"/>
        <v>-0.58495381660009327</v>
      </c>
      <c r="T27">
        <f t="shared" ca="1" si="21"/>
        <v>3.1014994219807697E-2</v>
      </c>
      <c r="U27">
        <f t="shared" ca="1" si="21"/>
        <v>-1.343713302772882</v>
      </c>
      <c r="V27">
        <f t="shared" ca="1" si="21"/>
        <v>-0.5696132182731668</v>
      </c>
      <c r="W27">
        <f t="shared" ca="1" si="21"/>
        <v>0.87665786133982204</v>
      </c>
      <c r="X27">
        <f t="shared" ca="1" si="21"/>
        <v>-0.51432134385814887</v>
      </c>
      <c r="Y27">
        <f t="shared" ca="1" si="21"/>
        <v>0.62587791254389002</v>
      </c>
      <c r="Z27">
        <f t="shared" ca="1" si="22"/>
        <v>0.17094689487773149</v>
      </c>
      <c r="AA27">
        <f t="shared" ca="1" si="22"/>
        <v>-0.42675221775630889</v>
      </c>
      <c r="AB27">
        <f t="shared" ca="1" si="22"/>
        <v>1.2196613534433645</v>
      </c>
      <c r="AC27">
        <f t="shared" ca="1" si="22"/>
        <v>-0.20424742983979544</v>
      </c>
      <c r="AD27">
        <f t="shared" ca="1" si="22"/>
        <v>0.965855484310575</v>
      </c>
      <c r="AE27">
        <f t="shared" ca="1" si="22"/>
        <v>0.69092566465624927</v>
      </c>
      <c r="AF27">
        <f t="shared" ca="1" si="22"/>
        <v>-0.21070937167180104</v>
      </c>
      <c r="AG27">
        <f t="shared" ca="1" si="22"/>
        <v>-0.45750693271961346</v>
      </c>
      <c r="AH27">
        <f t="shared" ca="1" si="22"/>
        <v>-1.234493604453631</v>
      </c>
      <c r="AI27">
        <f t="shared" ca="1" si="22"/>
        <v>-0.4100725710861356</v>
      </c>
      <c r="AJ27">
        <f t="shared" ca="1" si="23"/>
        <v>-0.24185817655771202</v>
      </c>
      <c r="AK27">
        <f t="shared" ca="1" si="23"/>
        <v>-0.91138700395046768</v>
      </c>
      <c r="AL27">
        <f t="shared" ca="1" si="23"/>
        <v>-0.76994074273448643</v>
      </c>
      <c r="AM27">
        <f t="shared" ca="1" si="23"/>
        <v>0.85885802149727564</v>
      </c>
      <c r="AN27">
        <f t="shared" ca="1" si="23"/>
        <v>2.0052946303796095</v>
      </c>
      <c r="AO27">
        <f t="shared" ca="1" si="23"/>
        <v>-2.4983661471665766</v>
      </c>
      <c r="AP27">
        <f t="shared" ca="1" si="23"/>
        <v>0.37203327398130948</v>
      </c>
      <c r="AQ27">
        <f t="shared" ca="1" si="23"/>
        <v>1.1206421628766725</v>
      </c>
      <c r="AR27">
        <f t="shared" ca="1" si="23"/>
        <v>0.71225261023948139</v>
      </c>
      <c r="AS27">
        <f t="shared" ca="1" si="23"/>
        <v>-0.75429362600603178</v>
      </c>
      <c r="AT27">
        <f t="shared" ca="1" si="24"/>
        <v>0.45238916484661706</v>
      </c>
      <c r="AU27">
        <f t="shared" ca="1" si="24"/>
        <v>-0.79384448447339662</v>
      </c>
      <c r="AV27">
        <f t="shared" ca="1" si="24"/>
        <v>0.34852840860214102</v>
      </c>
      <c r="AW27">
        <f t="shared" ca="1" si="24"/>
        <v>0.56517190051331745</v>
      </c>
      <c r="AX27">
        <f t="shared" ca="1" si="24"/>
        <v>1.3593059231043654</v>
      </c>
      <c r="AY27">
        <f t="shared" ca="1" si="24"/>
        <v>7.5526384823618661E-2</v>
      </c>
      <c r="AZ27">
        <f t="shared" ca="1" si="24"/>
        <v>0.14275877909312246</v>
      </c>
      <c r="BA27">
        <f t="shared" ca="1" si="24"/>
        <v>-0.70781731862110031</v>
      </c>
      <c r="BB27">
        <f t="shared" ca="1" si="24"/>
        <v>0.44317153024029537</v>
      </c>
      <c r="BC27">
        <f t="shared" ca="1" si="24"/>
        <v>8.3108541154464061E-2</v>
      </c>
      <c r="BD27">
        <f t="shared" ca="1" si="25"/>
        <v>1.0226723536733173</v>
      </c>
      <c r="BE27">
        <f t="shared" ca="1" si="25"/>
        <v>1.7964534593965449</v>
      </c>
      <c r="BF27">
        <f t="shared" ca="1" si="25"/>
        <v>-0.77142929812188565</v>
      </c>
      <c r="BG27">
        <f t="shared" ca="1" si="25"/>
        <v>9.6359874389965072E-2</v>
      </c>
      <c r="BH27">
        <f t="shared" ca="1" si="25"/>
        <v>2.1294342985074668E-2</v>
      </c>
      <c r="BI27">
        <f t="shared" ca="1" si="25"/>
        <v>-0.28775342046639762</v>
      </c>
      <c r="BJ27">
        <f t="shared" ca="1" si="25"/>
        <v>0.16832148210101952</v>
      </c>
      <c r="BK27">
        <f t="shared" ca="1" si="25"/>
        <v>-0.50309280589135419</v>
      </c>
      <c r="BL27">
        <f t="shared" ca="1" si="25"/>
        <v>0.65791187310409405</v>
      </c>
      <c r="BM27">
        <f t="shared" ca="1" si="25"/>
        <v>0.33365266944740818</v>
      </c>
      <c r="BN27">
        <f t="shared" ca="1" si="26"/>
        <v>0.74943977752814162</v>
      </c>
      <c r="BO27">
        <f t="shared" ca="1" si="26"/>
        <v>-2.3448732224541104E-2</v>
      </c>
      <c r="BP27">
        <f t="shared" ca="1" si="26"/>
        <v>8.2625286426135883E-2</v>
      </c>
      <c r="BQ27">
        <f t="shared" ca="1" si="26"/>
        <v>2.0854871332487859</v>
      </c>
      <c r="BR27">
        <f t="shared" ca="1" si="26"/>
        <v>1.1955066141127979</v>
      </c>
      <c r="BS27">
        <f t="shared" ca="1" si="26"/>
        <v>0.36556250486159014</v>
      </c>
      <c r="BT27">
        <f t="shared" ca="1" si="26"/>
        <v>0.39760542846187813</v>
      </c>
      <c r="BU27">
        <f t="shared" ca="1" si="26"/>
        <v>-1.3976568401067762</v>
      </c>
      <c r="BV27">
        <f t="shared" ca="1" si="26"/>
        <v>-1.9077867536135609</v>
      </c>
      <c r="BW27">
        <f t="shared" ca="1" si="26"/>
        <v>0.87908521283589902</v>
      </c>
      <c r="BX27">
        <f t="shared" ca="1" si="27"/>
        <v>9.6321565812584071E-3</v>
      </c>
      <c r="BY27">
        <f t="shared" ca="1" si="27"/>
        <v>-0.36408926747427439</v>
      </c>
      <c r="BZ27">
        <f t="shared" ca="1" si="27"/>
        <v>0.20006415417018583</v>
      </c>
      <c r="CA27">
        <f t="shared" ca="1" si="27"/>
        <v>0.19949772712445002</v>
      </c>
      <c r="CB27">
        <f t="shared" ca="1" si="27"/>
        <v>2.096982993322569E-3</v>
      </c>
      <c r="CC27">
        <f t="shared" ca="1" si="27"/>
        <v>-0.52352131998022378</v>
      </c>
      <c r="CD27">
        <f t="shared" ca="1" si="27"/>
        <v>-0.27884410699409595</v>
      </c>
      <c r="CE27">
        <f t="shared" ca="1" si="27"/>
        <v>1.3041093551790126</v>
      </c>
      <c r="CF27">
        <f t="shared" ca="1" si="27"/>
        <v>-0.74393313928903948</v>
      </c>
      <c r="CG27">
        <f t="shared" ca="1" si="27"/>
        <v>1.1140355567479541</v>
      </c>
      <c r="CH27">
        <f t="shared" ca="1" si="28"/>
        <v>-2.503627077423845E-2</v>
      </c>
      <c r="CI27">
        <f t="shared" ca="1" si="28"/>
        <v>1.3364444205116591E-3</v>
      </c>
      <c r="CJ27">
        <f t="shared" ca="1" si="28"/>
        <v>-0.50478414502875835</v>
      </c>
      <c r="CK27">
        <f t="shared" ca="1" si="28"/>
        <v>-1.2852750065618259</v>
      </c>
      <c r="CL27">
        <f t="shared" ca="1" si="28"/>
        <v>-1.0907480172800146</v>
      </c>
      <c r="CM27">
        <f t="shared" ca="1" si="28"/>
        <v>0.13113645870369398</v>
      </c>
      <c r="CN27">
        <f t="shared" ca="1" si="28"/>
        <v>-0.72739314458408577</v>
      </c>
      <c r="CO27">
        <f t="shared" ca="1" si="28"/>
        <v>0.32797952234580074</v>
      </c>
      <c r="CP27">
        <f t="shared" ca="1" si="28"/>
        <v>-0.763043716248759</v>
      </c>
      <c r="CQ27">
        <f t="shared" ca="1" si="28"/>
        <v>-0.1061449891342704</v>
      </c>
      <c r="CR27">
        <f t="shared" ca="1" si="29"/>
        <v>0.7938718332152459</v>
      </c>
      <c r="CS27">
        <f t="shared" ca="1" si="29"/>
        <v>-1.1026904366989054</v>
      </c>
      <c r="CT27">
        <f t="shared" ca="1" si="29"/>
        <v>0.98929877954725731</v>
      </c>
      <c r="CU27">
        <f t="shared" ca="1" si="29"/>
        <v>-1.5944058083647256E-2</v>
      </c>
      <c r="CV27">
        <f t="shared" ca="1" si="29"/>
        <v>-0.61120801797599988</v>
      </c>
      <c r="CW27">
        <f t="shared" ca="1" si="29"/>
        <v>-0.47333082603919324</v>
      </c>
      <c r="CX27">
        <f t="shared" ca="1" si="29"/>
        <v>-1.3938248656346992</v>
      </c>
      <c r="CY27">
        <f t="shared" ca="1" si="29"/>
        <v>1.6786958194657637</v>
      </c>
      <c r="CZ27">
        <f t="shared" ca="1" si="29"/>
        <v>-0.60719421433527354</v>
      </c>
      <c r="DA27">
        <f t="shared" ca="1" si="29"/>
        <v>2.731765446547946</v>
      </c>
    </row>
    <row r="28" spans="5:105" x14ac:dyDescent="0.25">
      <c r="E28">
        <f>S_plus!L28</f>
        <v>0.26000000000000006</v>
      </c>
      <c r="F28">
        <f t="shared" ca="1" si="20"/>
        <v>-0.35683829131712458</v>
      </c>
      <c r="G28">
        <f t="shared" ca="1" si="20"/>
        <v>1.4535758783014434</v>
      </c>
      <c r="H28">
        <f t="shared" ca="1" si="20"/>
        <v>-0.75782749335061295</v>
      </c>
      <c r="I28">
        <f t="shared" ca="1" si="20"/>
        <v>-0.13826136311526921</v>
      </c>
      <c r="J28">
        <f t="shared" ca="1" si="20"/>
        <v>-0.22090029415270993</v>
      </c>
      <c r="K28">
        <f t="shared" ca="1" si="20"/>
        <v>-0.69165131276459091</v>
      </c>
      <c r="L28">
        <f t="shared" ca="1" si="20"/>
        <v>-0.54940758484924701</v>
      </c>
      <c r="M28">
        <f t="shared" ca="1" si="20"/>
        <v>-0.52823029447356673</v>
      </c>
      <c r="N28">
        <f t="shared" ca="1" si="20"/>
        <v>0.78164386305040323</v>
      </c>
      <c r="O28">
        <f t="shared" ca="1" si="20"/>
        <v>0.33906309298247184</v>
      </c>
      <c r="P28">
        <f t="shared" ca="1" si="21"/>
        <v>0.26873388254492991</v>
      </c>
      <c r="Q28">
        <f t="shared" ca="1" si="21"/>
        <v>0.23683055879947079</v>
      </c>
      <c r="R28">
        <f t="shared" ca="1" si="21"/>
        <v>1.4693660382885074</v>
      </c>
      <c r="S28">
        <f t="shared" ca="1" si="21"/>
        <v>-3.7221849136985438E-2</v>
      </c>
      <c r="T28">
        <f t="shared" ca="1" si="21"/>
        <v>-0.25594019208912921</v>
      </c>
      <c r="U28">
        <f t="shared" ca="1" si="21"/>
        <v>0.88064682826144647</v>
      </c>
      <c r="V28">
        <f t="shared" ca="1" si="21"/>
        <v>1.028453399732564</v>
      </c>
      <c r="W28">
        <f t="shared" ca="1" si="21"/>
        <v>8.2669598884519302E-2</v>
      </c>
      <c r="X28">
        <f t="shared" ca="1" si="21"/>
        <v>1.1125970755776822</v>
      </c>
      <c r="Y28">
        <f t="shared" ca="1" si="21"/>
        <v>0.26912844321271701</v>
      </c>
      <c r="Z28">
        <f t="shared" ca="1" si="22"/>
        <v>-0.27585443788388941</v>
      </c>
      <c r="AA28">
        <f t="shared" ca="1" si="22"/>
        <v>1.621114657464471</v>
      </c>
      <c r="AB28">
        <f t="shared" ca="1" si="22"/>
        <v>0.41105200207437015</v>
      </c>
      <c r="AC28">
        <f t="shared" ca="1" si="22"/>
        <v>1.1950482958041675</v>
      </c>
      <c r="AD28">
        <f t="shared" ca="1" si="22"/>
        <v>-0.11439853746432051</v>
      </c>
      <c r="AE28">
        <f t="shared" ca="1" si="22"/>
        <v>0.51248102175801846</v>
      </c>
      <c r="AF28">
        <f t="shared" ca="1" si="22"/>
        <v>1.4631400895695132</v>
      </c>
      <c r="AG28">
        <f t="shared" ca="1" si="22"/>
        <v>-0.37987034526646141</v>
      </c>
      <c r="AH28">
        <f t="shared" ca="1" si="22"/>
        <v>1.915985885798416</v>
      </c>
      <c r="AI28">
        <f t="shared" ca="1" si="22"/>
        <v>-0.29893248803680667</v>
      </c>
      <c r="AJ28">
        <f t="shared" ca="1" si="23"/>
        <v>-2.9530447407519378</v>
      </c>
      <c r="AK28">
        <f t="shared" ca="1" si="23"/>
        <v>0.25852096354201831</v>
      </c>
      <c r="AL28">
        <f t="shared" ca="1" si="23"/>
        <v>1.2475853768566589</v>
      </c>
      <c r="AM28">
        <f t="shared" ca="1" si="23"/>
        <v>-1.4856826866744015</v>
      </c>
      <c r="AN28">
        <f t="shared" ca="1" si="23"/>
        <v>1.7687991645764527</v>
      </c>
      <c r="AO28">
        <f t="shared" ca="1" si="23"/>
        <v>5.178141899497881E-2</v>
      </c>
      <c r="AP28">
        <f t="shared" ca="1" si="23"/>
        <v>-0.74902213446128652</v>
      </c>
      <c r="AQ28">
        <f t="shared" ca="1" si="23"/>
        <v>-6.8440410185469785E-2</v>
      </c>
      <c r="AR28">
        <f t="shared" ca="1" si="23"/>
        <v>-0.62014481962779089</v>
      </c>
      <c r="AS28">
        <f t="shared" ca="1" si="23"/>
        <v>-5.9893183091053133E-2</v>
      </c>
      <c r="AT28">
        <f t="shared" ca="1" si="24"/>
        <v>-0.54129652968417119</v>
      </c>
      <c r="AU28">
        <f t="shared" ca="1" si="24"/>
        <v>0.13907525029742809</v>
      </c>
      <c r="AV28">
        <f t="shared" ca="1" si="24"/>
        <v>0.63555073009731966</v>
      </c>
      <c r="AW28">
        <f t="shared" ca="1" si="24"/>
        <v>1.1540861313915574E-2</v>
      </c>
      <c r="AX28">
        <f t="shared" ca="1" si="24"/>
        <v>-1.0206264974354153</v>
      </c>
      <c r="AY28">
        <f t="shared" ca="1" si="24"/>
        <v>0.72378444236498485</v>
      </c>
      <c r="AZ28">
        <f t="shared" ca="1" si="24"/>
        <v>-7.7670390662686259E-2</v>
      </c>
      <c r="BA28">
        <f t="shared" ca="1" si="24"/>
        <v>4.8959747307751877E-2</v>
      </c>
      <c r="BB28">
        <f t="shared" ca="1" si="24"/>
        <v>4.6188636707543427E-3</v>
      </c>
      <c r="BC28">
        <f t="shared" ca="1" si="24"/>
        <v>-2.0148797824261764</v>
      </c>
      <c r="BD28">
        <f t="shared" ca="1" si="25"/>
        <v>1.509088711080889</v>
      </c>
      <c r="BE28">
        <f t="shared" ca="1" si="25"/>
        <v>-1.3376585280736366</v>
      </c>
      <c r="BF28">
        <f t="shared" ca="1" si="25"/>
        <v>0.17335689818124619</v>
      </c>
      <c r="BG28">
        <f t="shared" ca="1" si="25"/>
        <v>0.21422014945578063</v>
      </c>
      <c r="BH28">
        <f t="shared" ca="1" si="25"/>
        <v>-1.4189971631255394</v>
      </c>
      <c r="BI28">
        <f t="shared" ca="1" si="25"/>
        <v>-0.2237634588393273</v>
      </c>
      <c r="BJ28">
        <f t="shared" ca="1" si="25"/>
        <v>1.9750072052551637</v>
      </c>
      <c r="BK28">
        <f t="shared" ca="1" si="25"/>
        <v>-0.4525231862886786</v>
      </c>
      <c r="BL28">
        <f t="shared" ca="1" si="25"/>
        <v>0.20868308585944131</v>
      </c>
      <c r="BM28">
        <f t="shared" ca="1" si="25"/>
        <v>9.540967951183045E-2</v>
      </c>
      <c r="BN28">
        <f t="shared" ca="1" si="26"/>
        <v>-0.73209912794109855</v>
      </c>
      <c r="BO28">
        <f t="shared" ca="1" si="26"/>
        <v>-0.56220398369419355</v>
      </c>
      <c r="BP28">
        <f t="shared" ca="1" si="26"/>
        <v>0.6978792967634273</v>
      </c>
      <c r="BQ28">
        <f t="shared" ca="1" si="26"/>
        <v>1.6864015850832097</v>
      </c>
      <c r="BR28">
        <f t="shared" ca="1" si="26"/>
        <v>0.50241397949018352</v>
      </c>
      <c r="BS28">
        <f t="shared" ca="1" si="26"/>
        <v>0.64794842979782297</v>
      </c>
      <c r="BT28">
        <f t="shared" ca="1" si="26"/>
        <v>1.2025995256361106</v>
      </c>
      <c r="BU28">
        <f t="shared" ca="1" si="26"/>
        <v>0.49619380662411294</v>
      </c>
      <c r="BV28">
        <f t="shared" ca="1" si="26"/>
        <v>4.9744481448562285E-2</v>
      </c>
      <c r="BW28">
        <f t="shared" ca="1" si="26"/>
        <v>-0.93081684027474765</v>
      </c>
      <c r="BX28">
        <f t="shared" ca="1" si="27"/>
        <v>-1.0488364459476831</v>
      </c>
      <c r="BY28">
        <f t="shared" ca="1" si="27"/>
        <v>-0.17160153746091825</v>
      </c>
      <c r="BZ28">
        <f t="shared" ca="1" si="27"/>
        <v>-1.2030254289966831</v>
      </c>
      <c r="CA28">
        <f t="shared" ca="1" si="27"/>
        <v>0.71401083377414354</v>
      </c>
      <c r="CB28">
        <f t="shared" ca="1" si="27"/>
        <v>-1.5379611923074537</v>
      </c>
      <c r="CC28">
        <f t="shared" ca="1" si="27"/>
        <v>0.6260198737013084</v>
      </c>
      <c r="CD28">
        <f t="shared" ca="1" si="27"/>
        <v>1.4998332774238694</v>
      </c>
      <c r="CE28">
        <f t="shared" ca="1" si="27"/>
        <v>-0.30763534285474914</v>
      </c>
      <c r="CF28">
        <f t="shared" ca="1" si="27"/>
        <v>-1.7373669887389818</v>
      </c>
      <c r="CG28">
        <f t="shared" ca="1" si="27"/>
        <v>-0.47202632083781981</v>
      </c>
      <c r="CH28">
        <f t="shared" ca="1" si="28"/>
        <v>-0.25939719939969408</v>
      </c>
      <c r="CI28">
        <f t="shared" ca="1" si="28"/>
        <v>-0.55513867736457412</v>
      </c>
      <c r="CJ28">
        <f t="shared" ca="1" si="28"/>
        <v>0.78501620929727922</v>
      </c>
      <c r="CK28">
        <f t="shared" ca="1" si="28"/>
        <v>-0.30719425929330813</v>
      </c>
      <c r="CL28">
        <f t="shared" ca="1" si="28"/>
        <v>-0.79822011041387231</v>
      </c>
      <c r="CM28">
        <f t="shared" ca="1" si="28"/>
        <v>0.13013020805979647</v>
      </c>
      <c r="CN28">
        <f t="shared" ca="1" si="28"/>
        <v>-0.18710326675146569</v>
      </c>
      <c r="CO28">
        <f t="shared" ca="1" si="28"/>
        <v>-6.2626641209423475E-2</v>
      </c>
      <c r="CP28">
        <f t="shared" ca="1" si="28"/>
        <v>0.65043712747657545</v>
      </c>
      <c r="CQ28">
        <f t="shared" ca="1" si="28"/>
        <v>1.8232629484436444</v>
      </c>
      <c r="CR28">
        <f t="shared" ca="1" si="29"/>
        <v>3.0199582707740467</v>
      </c>
      <c r="CS28">
        <f t="shared" ca="1" si="29"/>
        <v>-0.26280829239905867</v>
      </c>
      <c r="CT28">
        <f t="shared" ca="1" si="29"/>
        <v>0.1646369959682156</v>
      </c>
      <c r="CU28">
        <f t="shared" ca="1" si="29"/>
        <v>0.30384029016026165</v>
      </c>
      <c r="CV28">
        <f t="shared" ca="1" si="29"/>
        <v>0.77647694777182175</v>
      </c>
      <c r="CW28">
        <f t="shared" ca="1" si="29"/>
        <v>-0.95880067958231385</v>
      </c>
      <c r="CX28">
        <f t="shared" ca="1" si="29"/>
        <v>1.0108266326282227</v>
      </c>
      <c r="CY28">
        <f t="shared" ca="1" si="29"/>
        <v>-0.76856998374557151</v>
      </c>
      <c r="CZ28">
        <f t="shared" ca="1" si="29"/>
        <v>-1.3077320357083904</v>
      </c>
      <c r="DA28">
        <f t="shared" ca="1" si="29"/>
        <v>0.91267884746911121</v>
      </c>
    </row>
    <row r="29" spans="5:105" x14ac:dyDescent="0.25">
      <c r="E29">
        <f>S_plus!L29</f>
        <v>0.27000000000000007</v>
      </c>
      <c r="F29">
        <f t="shared" ca="1" si="20"/>
        <v>1.1833646354761016</v>
      </c>
      <c r="G29">
        <f t="shared" ca="1" si="20"/>
        <v>-0.60331824872149797</v>
      </c>
      <c r="H29">
        <f t="shared" ca="1" si="20"/>
        <v>1.7833253026381599</v>
      </c>
      <c r="I29">
        <f t="shared" ca="1" si="20"/>
        <v>0.54617586819692154</v>
      </c>
      <c r="J29">
        <f t="shared" ca="1" si="20"/>
        <v>2.0403884013942557</v>
      </c>
      <c r="K29">
        <f t="shared" ca="1" si="20"/>
        <v>0.32515559154056983</v>
      </c>
      <c r="L29">
        <f t="shared" ca="1" si="20"/>
        <v>-0.98559039787046931</v>
      </c>
      <c r="M29">
        <f t="shared" ca="1" si="20"/>
        <v>-0.74810114898431945</v>
      </c>
      <c r="N29">
        <f t="shared" ca="1" si="20"/>
        <v>-9.4790293812768101E-2</v>
      </c>
      <c r="O29">
        <f t="shared" ca="1" si="20"/>
        <v>0.91675599888100601</v>
      </c>
      <c r="P29">
        <f t="shared" ca="1" si="21"/>
        <v>-0.1684485396947327</v>
      </c>
      <c r="Q29">
        <f t="shared" ca="1" si="21"/>
        <v>-1.2425896275764419</v>
      </c>
      <c r="R29">
        <f t="shared" ca="1" si="21"/>
        <v>0.91392209904299004</v>
      </c>
      <c r="S29">
        <f t="shared" ca="1" si="21"/>
        <v>1.1085050287635665</v>
      </c>
      <c r="T29">
        <f t="shared" ca="1" si="21"/>
        <v>-0.69625250082869239</v>
      </c>
      <c r="U29">
        <f t="shared" ca="1" si="21"/>
        <v>0.42449974737142709</v>
      </c>
      <c r="V29">
        <f t="shared" ca="1" si="21"/>
        <v>-0.63294949449900528</v>
      </c>
      <c r="W29">
        <f t="shared" ca="1" si="21"/>
        <v>-0.47932274583616002</v>
      </c>
      <c r="X29">
        <f t="shared" ca="1" si="21"/>
        <v>0.13056639109435983</v>
      </c>
      <c r="Y29">
        <f t="shared" ca="1" si="21"/>
        <v>2.9241950006833179E-2</v>
      </c>
      <c r="Z29">
        <f t="shared" ca="1" si="22"/>
        <v>0.73529881762463933</v>
      </c>
      <c r="AA29">
        <f t="shared" ca="1" si="22"/>
        <v>0.15236783113298508</v>
      </c>
      <c r="AB29">
        <f t="shared" ca="1" si="22"/>
        <v>-0.74397333569990709</v>
      </c>
      <c r="AC29">
        <f t="shared" ca="1" si="22"/>
        <v>0.34276585972428941</v>
      </c>
      <c r="AD29">
        <f t="shared" ca="1" si="22"/>
        <v>0.80743410415006756</v>
      </c>
      <c r="AE29">
        <f t="shared" ca="1" si="22"/>
        <v>-3.7761136673673118E-2</v>
      </c>
      <c r="AF29">
        <f t="shared" ca="1" si="22"/>
        <v>0.83553640627271308</v>
      </c>
      <c r="AG29">
        <f t="shared" ca="1" si="22"/>
        <v>-1.5956735189707121</v>
      </c>
      <c r="AH29">
        <f t="shared" ca="1" si="22"/>
        <v>0.53568260624853759</v>
      </c>
      <c r="AI29">
        <f t="shared" ca="1" si="22"/>
        <v>-1.657729593271162</v>
      </c>
      <c r="AJ29">
        <f t="shared" ca="1" si="23"/>
        <v>1.082454796821305</v>
      </c>
      <c r="AK29">
        <f t="shared" ca="1" si="23"/>
        <v>0.1637441467767525</v>
      </c>
      <c r="AL29">
        <f t="shared" ca="1" si="23"/>
        <v>0.91498101359385353</v>
      </c>
      <c r="AM29">
        <f t="shared" ca="1" si="23"/>
        <v>-0.64655874212506181</v>
      </c>
      <c r="AN29">
        <f t="shared" ca="1" si="23"/>
        <v>-4.1008335754564335E-2</v>
      </c>
      <c r="AO29">
        <f t="shared" ca="1" si="23"/>
        <v>0.95379861333515636</v>
      </c>
      <c r="AP29">
        <f t="shared" ca="1" si="23"/>
        <v>-8.1228246742669943E-2</v>
      </c>
      <c r="AQ29">
        <f t="shared" ca="1" si="23"/>
        <v>-0.32890185558484664</v>
      </c>
      <c r="AR29">
        <f t="shared" ca="1" si="23"/>
        <v>-0.12644945731194993</v>
      </c>
      <c r="AS29">
        <f t="shared" ca="1" si="23"/>
        <v>0.49002968860694651</v>
      </c>
      <c r="AT29">
        <f t="shared" ca="1" si="24"/>
        <v>1.0430983301541994</v>
      </c>
      <c r="AU29">
        <f t="shared" ca="1" si="24"/>
        <v>-0.73892236199968142</v>
      </c>
      <c r="AV29">
        <f t="shared" ca="1" si="24"/>
        <v>-0.22536009248728744</v>
      </c>
      <c r="AW29">
        <f t="shared" ca="1" si="24"/>
        <v>0.80688743941920482</v>
      </c>
      <c r="AX29">
        <f t="shared" ca="1" si="24"/>
        <v>-0.93253155055359671</v>
      </c>
      <c r="AY29">
        <f t="shared" ca="1" si="24"/>
        <v>-1.3351604328921205</v>
      </c>
      <c r="AZ29">
        <f t="shared" ca="1" si="24"/>
        <v>-0.82860031120139244</v>
      </c>
      <c r="BA29">
        <f t="shared" ca="1" si="24"/>
        <v>-0.17033116249824443</v>
      </c>
      <c r="BB29">
        <f t="shared" ca="1" si="24"/>
        <v>-0.29610944441800807</v>
      </c>
      <c r="BC29">
        <f t="shared" ca="1" si="24"/>
        <v>0.57988898519378429</v>
      </c>
      <c r="BD29">
        <f t="shared" ca="1" si="25"/>
        <v>0.60712074966758101</v>
      </c>
      <c r="BE29">
        <f t="shared" ca="1" si="25"/>
        <v>1.1016964333064316</v>
      </c>
      <c r="BF29">
        <f t="shared" ca="1" si="25"/>
        <v>-0.5536276063177592</v>
      </c>
      <c r="BG29">
        <f t="shared" ca="1" si="25"/>
        <v>0.91941970508340365</v>
      </c>
      <c r="BH29">
        <f t="shared" ca="1" si="25"/>
        <v>-1.4901828512251665</v>
      </c>
      <c r="BI29">
        <f t="shared" ca="1" si="25"/>
        <v>-2.6851889643848298E-2</v>
      </c>
      <c r="BJ29">
        <f t="shared" ca="1" si="25"/>
        <v>2.6389084804731984</v>
      </c>
      <c r="BK29">
        <f t="shared" ca="1" si="25"/>
        <v>0.61183571166565276</v>
      </c>
      <c r="BL29">
        <f t="shared" ca="1" si="25"/>
        <v>-0.46042720644306867</v>
      </c>
      <c r="BM29">
        <f t="shared" ca="1" si="25"/>
        <v>9.65947749018531E-2</v>
      </c>
      <c r="BN29">
        <f t="shared" ca="1" si="26"/>
        <v>0.49351799426724158</v>
      </c>
      <c r="BO29">
        <f t="shared" ca="1" si="26"/>
        <v>0.95143563031272993</v>
      </c>
      <c r="BP29">
        <f t="shared" ca="1" si="26"/>
        <v>-0.10513761491981739</v>
      </c>
      <c r="BQ29">
        <f t="shared" ca="1" si="26"/>
        <v>1.1586200267687587</v>
      </c>
      <c r="BR29">
        <f t="shared" ca="1" si="26"/>
        <v>0.59643376184758679</v>
      </c>
      <c r="BS29">
        <f t="shared" ca="1" si="26"/>
        <v>2.2078082893038364</v>
      </c>
      <c r="BT29">
        <f t="shared" ca="1" si="26"/>
        <v>0.43793954993813877</v>
      </c>
      <c r="BU29">
        <f t="shared" ca="1" si="26"/>
        <v>0.26205856419111223</v>
      </c>
      <c r="BV29">
        <f t="shared" ca="1" si="26"/>
        <v>0.7772372889965139</v>
      </c>
      <c r="BW29">
        <f t="shared" ca="1" si="26"/>
        <v>1.3072837646034692</v>
      </c>
      <c r="BX29">
        <f t="shared" ca="1" si="27"/>
        <v>-0.28189523949603379</v>
      </c>
      <c r="BY29">
        <f t="shared" ca="1" si="27"/>
        <v>-0.27857685660782944</v>
      </c>
      <c r="BZ29">
        <f t="shared" ca="1" si="27"/>
        <v>-1.1158019226616951</v>
      </c>
      <c r="CA29">
        <f t="shared" ca="1" si="27"/>
        <v>-0.41205863249924501</v>
      </c>
      <c r="CB29">
        <f t="shared" ca="1" si="27"/>
        <v>0.77201266125655843</v>
      </c>
      <c r="CC29">
        <f t="shared" ca="1" si="27"/>
        <v>0.58824509572787509</v>
      </c>
      <c r="CD29">
        <f t="shared" ca="1" si="27"/>
        <v>0.86081896482180609</v>
      </c>
      <c r="CE29">
        <f t="shared" ca="1" si="27"/>
        <v>-0.92878829580136368</v>
      </c>
      <c r="CF29">
        <f t="shared" ca="1" si="27"/>
        <v>-1.411866116738804</v>
      </c>
      <c r="CG29">
        <f t="shared" ca="1" si="27"/>
        <v>-0.74583155153027236</v>
      </c>
      <c r="CH29">
        <f t="shared" ca="1" si="28"/>
        <v>1.626415174671338</v>
      </c>
      <c r="CI29">
        <f t="shared" ca="1" si="28"/>
        <v>-0.13575052705892751</v>
      </c>
      <c r="CJ29">
        <f t="shared" ca="1" si="28"/>
        <v>-0.36720359745235892</v>
      </c>
      <c r="CK29">
        <f t="shared" ca="1" si="28"/>
        <v>0.53920049297482098</v>
      </c>
      <c r="CL29">
        <f t="shared" ca="1" si="28"/>
        <v>-0.89704751544776606</v>
      </c>
      <c r="CM29">
        <f t="shared" ca="1" si="28"/>
        <v>-2.9408770768704433</v>
      </c>
      <c r="CN29">
        <f t="shared" ca="1" si="28"/>
        <v>-0.15478141774911391</v>
      </c>
      <c r="CO29">
        <f t="shared" ca="1" si="28"/>
        <v>-0.26049772637163332</v>
      </c>
      <c r="CP29">
        <f t="shared" ca="1" si="28"/>
        <v>0.40687782121760341</v>
      </c>
      <c r="CQ29">
        <f t="shared" ca="1" si="28"/>
        <v>-0.45550709207854956</v>
      </c>
      <c r="CR29">
        <f t="shared" ca="1" si="29"/>
        <v>-0.3560134460899973</v>
      </c>
      <c r="CS29">
        <f t="shared" ca="1" si="29"/>
        <v>0.63094075558356411</v>
      </c>
      <c r="CT29">
        <f t="shared" ca="1" si="29"/>
        <v>-0.77163590444739139</v>
      </c>
      <c r="CU29">
        <f t="shared" ca="1" si="29"/>
        <v>-0.7923291018227121</v>
      </c>
      <c r="CV29">
        <f t="shared" ca="1" si="29"/>
        <v>-1.0700138941881419</v>
      </c>
      <c r="CW29">
        <f t="shared" ca="1" si="29"/>
        <v>1.5382344650945898</v>
      </c>
      <c r="CX29">
        <f t="shared" ca="1" si="29"/>
        <v>9.7360086624121031E-2</v>
      </c>
      <c r="CY29">
        <f t="shared" ca="1" si="29"/>
        <v>-1.6936123656547863</v>
      </c>
      <c r="CZ29">
        <f t="shared" ca="1" si="29"/>
        <v>-0.33090040637829649</v>
      </c>
      <c r="DA29">
        <f t="shared" ca="1" si="29"/>
        <v>-1.5086965096942231</v>
      </c>
    </row>
    <row r="30" spans="5:105" x14ac:dyDescent="0.25">
      <c r="E30">
        <f>S_plus!L30</f>
        <v>0.28000000000000008</v>
      </c>
      <c r="F30">
        <f t="shared" ca="1" si="20"/>
        <v>-0.36791991347506969</v>
      </c>
      <c r="G30">
        <f t="shared" ca="1" si="20"/>
        <v>0.35747247637190421</v>
      </c>
      <c r="H30">
        <f t="shared" ca="1" si="20"/>
        <v>-0.22824178022541003</v>
      </c>
      <c r="I30">
        <f t="shared" ca="1" si="20"/>
        <v>-0.85330763688836131</v>
      </c>
      <c r="J30">
        <f t="shared" ca="1" si="20"/>
        <v>7.0468042669604256E-2</v>
      </c>
      <c r="K30">
        <f t="shared" ca="1" si="20"/>
        <v>-0.31330175043995856</v>
      </c>
      <c r="L30">
        <f t="shared" ca="1" si="20"/>
        <v>0.43249257273140379</v>
      </c>
      <c r="M30">
        <f t="shared" ca="1" si="20"/>
        <v>-1.883150418056714</v>
      </c>
      <c r="N30">
        <f t="shared" ca="1" si="20"/>
        <v>0.73058306416976182</v>
      </c>
      <c r="O30">
        <f t="shared" ca="1" si="20"/>
        <v>-1.4275049771348054</v>
      </c>
      <c r="P30">
        <f t="shared" ca="1" si="21"/>
        <v>1.0301185291951427</v>
      </c>
      <c r="Q30">
        <f t="shared" ca="1" si="21"/>
        <v>-0.6216855496044742</v>
      </c>
      <c r="R30">
        <f t="shared" ca="1" si="21"/>
        <v>5.9814719654341979E-2</v>
      </c>
      <c r="S30">
        <f t="shared" ca="1" si="21"/>
        <v>-0.26830156409809447</v>
      </c>
      <c r="T30">
        <f t="shared" ca="1" si="21"/>
        <v>1.0458568691416097</v>
      </c>
      <c r="U30">
        <f t="shared" ca="1" si="21"/>
        <v>9.1449527356960367E-2</v>
      </c>
      <c r="V30">
        <f t="shared" ca="1" si="21"/>
        <v>-0.19458173950287019</v>
      </c>
      <c r="W30">
        <f t="shared" ca="1" si="21"/>
        <v>0.17466744747564139</v>
      </c>
      <c r="X30">
        <f t="shared" ca="1" si="21"/>
        <v>0.64075645869891029</v>
      </c>
      <c r="Y30">
        <f t="shared" ca="1" si="21"/>
        <v>-1.0345171211169955</v>
      </c>
      <c r="Z30">
        <f t="shared" ca="1" si="22"/>
        <v>0.80320646360421255</v>
      </c>
      <c r="AA30">
        <f t="shared" ca="1" si="22"/>
        <v>-0.91391749423966362</v>
      </c>
      <c r="AB30">
        <f t="shared" ca="1" si="22"/>
        <v>-0.95070902006489444</v>
      </c>
      <c r="AC30">
        <f t="shared" ca="1" si="22"/>
        <v>4.5395317778362816E-2</v>
      </c>
      <c r="AD30">
        <f t="shared" ca="1" si="22"/>
        <v>0.80757672100227085</v>
      </c>
      <c r="AE30">
        <f t="shared" ca="1" si="22"/>
        <v>0.23021577376058597</v>
      </c>
      <c r="AF30">
        <f t="shared" ca="1" si="22"/>
        <v>-1.1666291604149999</v>
      </c>
      <c r="AG30">
        <f t="shared" ca="1" si="22"/>
        <v>-0.53476554065861837</v>
      </c>
      <c r="AH30">
        <f t="shared" ca="1" si="22"/>
        <v>-0.68236296429996413</v>
      </c>
      <c r="AI30">
        <f t="shared" ca="1" si="22"/>
        <v>-1.3385403684411161</v>
      </c>
      <c r="AJ30">
        <f t="shared" ca="1" si="23"/>
        <v>7.8546802527319159E-2</v>
      </c>
      <c r="AK30">
        <f t="shared" ca="1" si="23"/>
        <v>0.69586369901410938</v>
      </c>
      <c r="AL30">
        <f t="shared" ca="1" si="23"/>
        <v>-1.5049162055930023</v>
      </c>
      <c r="AM30">
        <f t="shared" ca="1" si="23"/>
        <v>0.33797307221612777</v>
      </c>
      <c r="AN30">
        <f t="shared" ca="1" si="23"/>
        <v>0.83675279089901744</v>
      </c>
      <c r="AO30">
        <f t="shared" ca="1" si="23"/>
        <v>-0.2926444770827063</v>
      </c>
      <c r="AP30">
        <f t="shared" ca="1" si="23"/>
        <v>0.30234595183126928</v>
      </c>
      <c r="AQ30">
        <f t="shared" ca="1" si="23"/>
        <v>1.2724415478750544</v>
      </c>
      <c r="AR30">
        <f t="shared" ca="1" si="23"/>
        <v>1.0859421890219754</v>
      </c>
      <c r="AS30">
        <f t="shared" ca="1" si="23"/>
        <v>-5.1174845301552661E-2</v>
      </c>
      <c r="AT30">
        <f t="shared" ca="1" si="24"/>
        <v>1.7875877667408737</v>
      </c>
      <c r="AU30">
        <f t="shared" ca="1" si="24"/>
        <v>-0.83375036148440285</v>
      </c>
      <c r="AV30">
        <f t="shared" ca="1" si="24"/>
        <v>-1.8731311722541442</v>
      </c>
      <c r="AW30">
        <f t="shared" ca="1" si="24"/>
        <v>0.74321151856227685</v>
      </c>
      <c r="AX30">
        <f t="shared" ca="1" si="24"/>
        <v>0.15599207740089766</v>
      </c>
      <c r="AY30">
        <f t="shared" ca="1" si="24"/>
        <v>-4.6017058110988378E-2</v>
      </c>
      <c r="AZ30">
        <f t="shared" ca="1" si="24"/>
        <v>-1.0423361532854196</v>
      </c>
      <c r="BA30">
        <f t="shared" ca="1" si="24"/>
        <v>-0.48118386288557896</v>
      </c>
      <c r="BB30">
        <f t="shared" ca="1" si="24"/>
        <v>2.0120734021013633</v>
      </c>
      <c r="BC30">
        <f t="shared" ca="1" si="24"/>
        <v>-1.8567499288745619</v>
      </c>
      <c r="BD30">
        <f t="shared" ca="1" si="25"/>
        <v>1.0252574160248209</v>
      </c>
      <c r="BE30">
        <f t="shared" ca="1" si="25"/>
        <v>2.1856355880753679E-2</v>
      </c>
      <c r="BF30">
        <f t="shared" ca="1" si="25"/>
        <v>1.9680742320050537</v>
      </c>
      <c r="BG30">
        <f t="shared" ca="1" si="25"/>
        <v>0.81948064593961878</v>
      </c>
      <c r="BH30">
        <f t="shared" ca="1" si="25"/>
        <v>1.1996901803694928</v>
      </c>
      <c r="BI30">
        <f t="shared" ca="1" si="25"/>
        <v>1.5129016721211026</v>
      </c>
      <c r="BJ30">
        <f t="shared" ca="1" si="25"/>
        <v>5.6705326255268418E-2</v>
      </c>
      <c r="BK30">
        <f t="shared" ca="1" si="25"/>
        <v>-0.45203248256165568</v>
      </c>
      <c r="BL30">
        <f t="shared" ca="1" si="25"/>
        <v>-1.7609241454914424</v>
      </c>
      <c r="BM30">
        <f t="shared" ca="1" si="25"/>
        <v>0.33011007597520836</v>
      </c>
      <c r="BN30">
        <f t="shared" ca="1" si="26"/>
        <v>-0.97605916492735767</v>
      </c>
      <c r="BO30">
        <f t="shared" ca="1" si="26"/>
        <v>-0.55808646155552233</v>
      </c>
      <c r="BP30">
        <f t="shared" ca="1" si="26"/>
        <v>8.5632470375114178E-2</v>
      </c>
      <c r="BQ30">
        <f t="shared" ca="1" si="26"/>
        <v>4.5770356447151606E-2</v>
      </c>
      <c r="BR30">
        <f t="shared" ca="1" si="26"/>
        <v>-0.60275351895555851</v>
      </c>
      <c r="BS30">
        <f t="shared" ca="1" si="26"/>
        <v>-0.77014921137796999</v>
      </c>
      <c r="BT30">
        <f t="shared" ca="1" si="26"/>
        <v>-0.24431082332625881</v>
      </c>
      <c r="BU30">
        <f t="shared" ca="1" si="26"/>
        <v>-0.70676550051099463</v>
      </c>
      <c r="BV30">
        <f t="shared" ca="1" si="26"/>
        <v>-1.1366901254026993</v>
      </c>
      <c r="BW30">
        <f t="shared" ca="1" si="26"/>
        <v>-0.51837731603353088</v>
      </c>
      <c r="BX30">
        <f t="shared" ca="1" si="27"/>
        <v>1.3899275838979988</v>
      </c>
      <c r="BY30">
        <f t="shared" ca="1" si="27"/>
        <v>1.9494490126869062</v>
      </c>
      <c r="BZ30">
        <f t="shared" ca="1" si="27"/>
        <v>-1.259272092513793</v>
      </c>
      <c r="CA30">
        <f t="shared" ca="1" si="27"/>
        <v>0.84448293890287196</v>
      </c>
      <c r="CB30">
        <f t="shared" ca="1" si="27"/>
        <v>1.1686522683509646</v>
      </c>
      <c r="CC30">
        <f t="shared" ca="1" si="27"/>
        <v>-0.80326473987126767</v>
      </c>
      <c r="CD30">
        <f t="shared" ca="1" si="27"/>
        <v>0.70472201803626344</v>
      </c>
      <c r="CE30">
        <f t="shared" ca="1" si="27"/>
        <v>-0.65954333402758214</v>
      </c>
      <c r="CF30">
        <f t="shared" ca="1" si="27"/>
        <v>1.8680150057615945</v>
      </c>
      <c r="CG30">
        <f t="shared" ca="1" si="27"/>
        <v>-0.88894387641933048</v>
      </c>
      <c r="CH30">
        <f t="shared" ca="1" si="28"/>
        <v>-3.0709365373807969</v>
      </c>
      <c r="CI30">
        <f t="shared" ca="1" si="28"/>
        <v>5.1704580656401662E-2</v>
      </c>
      <c r="CJ30">
        <f t="shared" ca="1" si="28"/>
        <v>-1.2208504626461729</v>
      </c>
      <c r="CK30">
        <f t="shared" ca="1" si="28"/>
        <v>-0.24766306606501573</v>
      </c>
      <c r="CL30">
        <f t="shared" ca="1" si="28"/>
        <v>0.47644904824243201</v>
      </c>
      <c r="CM30">
        <f t="shared" ca="1" si="28"/>
        <v>0.12549795778885475</v>
      </c>
      <c r="CN30">
        <f t="shared" ca="1" si="28"/>
        <v>1.1537016826873348</v>
      </c>
      <c r="CO30">
        <f t="shared" ca="1" si="28"/>
        <v>-0.4875816917467774</v>
      </c>
      <c r="CP30">
        <f t="shared" ca="1" si="28"/>
        <v>-1.6798532096406087</v>
      </c>
      <c r="CQ30">
        <f t="shared" ca="1" si="28"/>
        <v>-1.3751667074114613</v>
      </c>
      <c r="CR30">
        <f t="shared" ca="1" si="29"/>
        <v>-0.16906348613862324</v>
      </c>
      <c r="CS30">
        <f t="shared" ca="1" si="29"/>
        <v>0.92168667778356328</v>
      </c>
      <c r="CT30">
        <f t="shared" ca="1" si="29"/>
        <v>0.2558468294316848</v>
      </c>
      <c r="CU30">
        <f t="shared" ca="1" si="29"/>
        <v>-1.1281173071433515</v>
      </c>
      <c r="CV30">
        <f t="shared" ca="1" si="29"/>
        <v>-0.45892422162800167</v>
      </c>
      <c r="CW30">
        <f t="shared" ca="1" si="29"/>
        <v>-0.7801948808761785</v>
      </c>
      <c r="CX30">
        <f t="shared" ca="1" si="29"/>
        <v>-1.3129260085952992</v>
      </c>
      <c r="CY30">
        <f t="shared" ca="1" si="29"/>
        <v>-0.64085262071098437</v>
      </c>
      <c r="CZ30">
        <f t="shared" ca="1" si="29"/>
        <v>-0.49784133450731161</v>
      </c>
      <c r="DA30">
        <f t="shared" ca="1" si="29"/>
        <v>-0.3977764159412483</v>
      </c>
    </row>
    <row r="31" spans="5:105" x14ac:dyDescent="0.25">
      <c r="E31">
        <f>S_plus!L31</f>
        <v>0.29000000000000009</v>
      </c>
      <c r="F31">
        <f t="shared" ca="1" si="20"/>
        <v>-1.0677331703734017</v>
      </c>
      <c r="G31">
        <f t="shared" ca="1" si="20"/>
        <v>0.58408588956389551</v>
      </c>
      <c r="H31">
        <f t="shared" ca="1" si="20"/>
        <v>-0.8044775246678173</v>
      </c>
      <c r="I31">
        <f t="shared" ca="1" si="20"/>
        <v>-0.41924417665161379</v>
      </c>
      <c r="J31">
        <f t="shared" ca="1" si="20"/>
        <v>0.34525101836239852</v>
      </c>
      <c r="K31">
        <f t="shared" ca="1" si="20"/>
        <v>0.3271415059973159</v>
      </c>
      <c r="L31">
        <f t="shared" ca="1" si="20"/>
        <v>-0.85237576229467082</v>
      </c>
      <c r="M31">
        <f t="shared" ca="1" si="20"/>
        <v>9.4593293401071296E-2</v>
      </c>
      <c r="N31">
        <f t="shared" ca="1" si="20"/>
        <v>-1.6945095065507343</v>
      </c>
      <c r="O31">
        <f t="shared" ca="1" si="20"/>
        <v>0.39866835407226209</v>
      </c>
      <c r="P31">
        <f t="shared" ca="1" si="21"/>
        <v>1.2403014439677633</v>
      </c>
      <c r="Q31">
        <f t="shared" ca="1" si="21"/>
        <v>-1.9661150417650279</v>
      </c>
      <c r="R31">
        <f t="shared" ca="1" si="21"/>
        <v>1.0584956263873988</v>
      </c>
      <c r="S31">
        <f t="shared" ca="1" si="21"/>
        <v>-0.70934675805511538</v>
      </c>
      <c r="T31">
        <f t="shared" ca="1" si="21"/>
        <v>-0.36378139946006965</v>
      </c>
      <c r="U31">
        <f t="shared" ca="1" si="21"/>
        <v>-0.80764813728129103</v>
      </c>
      <c r="V31">
        <f t="shared" ca="1" si="21"/>
        <v>0.68181180135694675</v>
      </c>
      <c r="W31">
        <f t="shared" ca="1" si="21"/>
        <v>1.4188599670363875</v>
      </c>
      <c r="X31">
        <f t="shared" ca="1" si="21"/>
        <v>-1.2044177232734445</v>
      </c>
      <c r="Y31">
        <f t="shared" ca="1" si="21"/>
        <v>0.86213772679110745</v>
      </c>
      <c r="Z31">
        <f t="shared" ca="1" si="22"/>
        <v>0.30937029606000477</v>
      </c>
      <c r="AA31">
        <f t="shared" ca="1" si="22"/>
        <v>0.43328815699221856</v>
      </c>
      <c r="AB31">
        <f t="shared" ca="1" si="22"/>
        <v>-1.6125179894549202</v>
      </c>
      <c r="AC31">
        <f t="shared" ca="1" si="22"/>
        <v>1.0371405017244761</v>
      </c>
      <c r="AD31">
        <f t="shared" ca="1" si="22"/>
        <v>1.3493103825591997</v>
      </c>
      <c r="AE31">
        <f t="shared" ca="1" si="22"/>
        <v>0.44999792304524361</v>
      </c>
      <c r="AF31">
        <f t="shared" ca="1" si="22"/>
        <v>0.72131065236580683</v>
      </c>
      <c r="AG31">
        <f t="shared" ca="1" si="22"/>
        <v>0.76906331127799943</v>
      </c>
      <c r="AH31">
        <f t="shared" ca="1" si="22"/>
        <v>-1.8380646094740256</v>
      </c>
      <c r="AI31">
        <f t="shared" ca="1" si="22"/>
        <v>1.3893821019501542</v>
      </c>
      <c r="AJ31">
        <f t="shared" ca="1" si="23"/>
        <v>1.6798832654184233</v>
      </c>
      <c r="AK31">
        <f t="shared" ca="1" si="23"/>
        <v>0.66223027141073909</v>
      </c>
      <c r="AL31">
        <f t="shared" ca="1" si="23"/>
        <v>4.1787654674559582E-2</v>
      </c>
      <c r="AM31">
        <f t="shared" ca="1" si="23"/>
        <v>0.15898501302742946</v>
      </c>
      <c r="AN31">
        <f t="shared" ca="1" si="23"/>
        <v>-0.7374990218266636</v>
      </c>
      <c r="AO31">
        <f t="shared" ca="1" si="23"/>
        <v>0.60668658606617576</v>
      </c>
      <c r="AP31">
        <f t="shared" ca="1" si="23"/>
        <v>0.51153894216321916</v>
      </c>
      <c r="AQ31">
        <f t="shared" ca="1" si="23"/>
        <v>5.3112190769336748E-4</v>
      </c>
      <c r="AR31">
        <f t="shared" ca="1" si="23"/>
        <v>0.71529340809968855</v>
      </c>
      <c r="AS31">
        <f t="shared" ca="1" si="23"/>
        <v>-1.1244161896961986</v>
      </c>
      <c r="AT31">
        <f t="shared" ca="1" si="24"/>
        <v>-0.71503277010839439</v>
      </c>
      <c r="AU31">
        <f t="shared" ca="1" si="24"/>
        <v>0.21709380549458257</v>
      </c>
      <c r="AV31">
        <f t="shared" ca="1" si="24"/>
        <v>0.13107573434724162</v>
      </c>
      <c r="AW31">
        <f t="shared" ca="1" si="24"/>
        <v>2.422446450225892</v>
      </c>
      <c r="AX31">
        <f t="shared" ca="1" si="24"/>
        <v>-0.77857292784778709</v>
      </c>
      <c r="AY31">
        <f t="shared" ca="1" si="24"/>
        <v>1.3085254026782323</v>
      </c>
      <c r="AZ31">
        <f t="shared" ca="1" si="24"/>
        <v>0.57726595391751023</v>
      </c>
      <c r="BA31">
        <f t="shared" ca="1" si="24"/>
        <v>-1.5709540739565047</v>
      </c>
      <c r="BB31">
        <f t="shared" ca="1" si="24"/>
        <v>-0.22949999421915382</v>
      </c>
      <c r="BC31">
        <f t="shared" ca="1" si="24"/>
        <v>-6.4068642547714522E-2</v>
      </c>
      <c r="BD31">
        <f t="shared" ca="1" si="25"/>
        <v>-0.55214002825775166</v>
      </c>
      <c r="BE31">
        <f t="shared" ca="1" si="25"/>
        <v>0.36293778319567832</v>
      </c>
      <c r="BF31">
        <f t="shared" ca="1" si="25"/>
        <v>-1.237796920736786</v>
      </c>
      <c r="BG31">
        <f t="shared" ca="1" si="25"/>
        <v>9.4026246890272114E-2</v>
      </c>
      <c r="BH31">
        <f t="shared" ca="1" si="25"/>
        <v>-0.46737336415633229</v>
      </c>
      <c r="BI31">
        <f t="shared" ca="1" si="25"/>
        <v>0.2797367433379197</v>
      </c>
      <c r="BJ31">
        <f t="shared" ca="1" si="25"/>
        <v>0.53738207633558122</v>
      </c>
      <c r="BK31">
        <f t="shared" ca="1" si="25"/>
        <v>-2.0490386987234253</v>
      </c>
      <c r="BL31">
        <f t="shared" ca="1" si="25"/>
        <v>0.32539846778858955</v>
      </c>
      <c r="BM31">
        <f t="shared" ca="1" si="25"/>
        <v>-0.86202178728719381</v>
      </c>
      <c r="BN31">
        <f t="shared" ca="1" si="26"/>
        <v>-0.64831590728545629</v>
      </c>
      <c r="BO31">
        <f t="shared" ca="1" si="26"/>
        <v>-0.46026444736212768</v>
      </c>
      <c r="BP31">
        <f t="shared" ca="1" si="26"/>
        <v>0.58206825109503868</v>
      </c>
      <c r="BQ31">
        <f t="shared" ca="1" si="26"/>
        <v>0.88528971894097619</v>
      </c>
      <c r="BR31">
        <f t="shared" ca="1" si="26"/>
        <v>-0.41566523190689669</v>
      </c>
      <c r="BS31">
        <f t="shared" ca="1" si="26"/>
        <v>0.73021177881842192</v>
      </c>
      <c r="BT31">
        <f t="shared" ca="1" si="26"/>
        <v>1.6152833119719334</v>
      </c>
      <c r="BU31">
        <f t="shared" ca="1" si="26"/>
        <v>0.82640402210545405</v>
      </c>
      <c r="BV31">
        <f t="shared" ca="1" si="26"/>
        <v>-0.43196434475053253</v>
      </c>
      <c r="BW31">
        <f t="shared" ca="1" si="26"/>
        <v>0.31629053297726184</v>
      </c>
      <c r="BX31">
        <f t="shared" ca="1" si="27"/>
        <v>0.5352700683793814</v>
      </c>
      <c r="BY31">
        <f t="shared" ca="1" si="27"/>
        <v>-0.20388452623225789</v>
      </c>
      <c r="BZ31">
        <f t="shared" ca="1" si="27"/>
        <v>-1.2206450865695988</v>
      </c>
      <c r="CA31">
        <f t="shared" ca="1" si="27"/>
        <v>-0.63386662848887221</v>
      </c>
      <c r="CB31">
        <f t="shared" ca="1" si="27"/>
        <v>1.8780837971308078</v>
      </c>
      <c r="CC31">
        <f t="shared" ca="1" si="27"/>
        <v>-1.1717654655821299</v>
      </c>
      <c r="CD31">
        <f t="shared" ca="1" si="27"/>
        <v>1.2874177426124098</v>
      </c>
      <c r="CE31">
        <f t="shared" ca="1" si="27"/>
        <v>-0.24791518883651206</v>
      </c>
      <c r="CF31">
        <f t="shared" ca="1" si="27"/>
        <v>1.2990221219656641</v>
      </c>
      <c r="CG31">
        <f t="shared" ca="1" si="27"/>
        <v>0.17600157087652318</v>
      </c>
      <c r="CH31">
        <f t="shared" ca="1" si="28"/>
        <v>1.8154459922870043</v>
      </c>
      <c r="CI31">
        <f t="shared" ca="1" si="28"/>
        <v>1.2606728296538079</v>
      </c>
      <c r="CJ31">
        <f t="shared" ca="1" si="28"/>
        <v>-0.22913667199236049</v>
      </c>
      <c r="CK31">
        <f t="shared" ca="1" si="28"/>
        <v>-0.3142847979189603</v>
      </c>
      <c r="CL31">
        <f t="shared" ca="1" si="28"/>
        <v>-1.7475034212092682</v>
      </c>
      <c r="CM31">
        <f t="shared" ca="1" si="28"/>
        <v>-1.4355206677790397</v>
      </c>
      <c r="CN31">
        <f t="shared" ca="1" si="28"/>
        <v>0.16417861166884959</v>
      </c>
      <c r="CO31">
        <f t="shared" ca="1" si="28"/>
        <v>0.81098912755336117</v>
      </c>
      <c r="CP31">
        <f t="shared" ca="1" si="28"/>
        <v>-0.58834147681019289</v>
      </c>
      <c r="CQ31">
        <f t="shared" ca="1" si="28"/>
        <v>-1.0647132698530795</v>
      </c>
      <c r="CR31">
        <f t="shared" ca="1" si="29"/>
        <v>-0.2565852421294339</v>
      </c>
      <c r="CS31">
        <f t="shared" ca="1" si="29"/>
        <v>0.86240703625057591</v>
      </c>
      <c r="CT31">
        <f t="shared" ca="1" si="29"/>
        <v>0.26851017826479701</v>
      </c>
      <c r="CU31">
        <f t="shared" ca="1" si="29"/>
        <v>-0.78075818341945591</v>
      </c>
      <c r="CV31">
        <f t="shared" ca="1" si="29"/>
        <v>-0.44115420813504219</v>
      </c>
      <c r="CW31">
        <f t="shared" ca="1" si="29"/>
        <v>-0.54127519544816383</v>
      </c>
      <c r="CX31">
        <f t="shared" ca="1" si="29"/>
        <v>2.2398545879024798</v>
      </c>
      <c r="CY31">
        <f t="shared" ca="1" si="29"/>
        <v>-1.3834590810839547</v>
      </c>
      <c r="CZ31">
        <f t="shared" ca="1" si="29"/>
        <v>0.66222932923925548</v>
      </c>
      <c r="DA31">
        <f t="shared" ca="1" si="29"/>
        <v>0.61390293251242856</v>
      </c>
    </row>
    <row r="32" spans="5:105" x14ac:dyDescent="0.25">
      <c r="E32">
        <f>S_plus!L32</f>
        <v>0.3000000000000001</v>
      </c>
      <c r="F32">
        <f t="shared" ca="1" si="20"/>
        <v>-0.30301719659320486</v>
      </c>
      <c r="G32">
        <f t="shared" ca="1" si="20"/>
        <v>1.3351144449913861</v>
      </c>
      <c r="H32">
        <f t="shared" ca="1" si="20"/>
        <v>-1.1818275687245738</v>
      </c>
      <c r="I32">
        <f t="shared" ca="1" si="20"/>
        <v>-1.0836178640648479</v>
      </c>
      <c r="J32">
        <f t="shared" ca="1" si="20"/>
        <v>-0.14749913308598825</v>
      </c>
      <c r="K32">
        <f t="shared" ca="1" si="20"/>
        <v>-0.7199882091035793</v>
      </c>
      <c r="L32">
        <f t="shared" ca="1" si="20"/>
        <v>1.5118515131032275</v>
      </c>
      <c r="M32">
        <f t="shared" ca="1" si="20"/>
        <v>-1.3477692535035835E-2</v>
      </c>
      <c r="N32">
        <f t="shared" ca="1" si="20"/>
        <v>-1.0494394991918241</v>
      </c>
      <c r="O32">
        <f t="shared" ca="1" si="20"/>
        <v>-2.1125222295460571</v>
      </c>
      <c r="P32">
        <f t="shared" ca="1" si="21"/>
        <v>1.3596893786468132</v>
      </c>
      <c r="Q32">
        <f t="shared" ca="1" si="21"/>
        <v>0.86156897108229824</v>
      </c>
      <c r="R32">
        <f t="shared" ca="1" si="21"/>
        <v>0.69920073432155727</v>
      </c>
      <c r="S32">
        <f t="shared" ca="1" si="21"/>
        <v>-0.48456578546994739</v>
      </c>
      <c r="T32">
        <f t="shared" ca="1" si="21"/>
        <v>1.6447742910276404</v>
      </c>
      <c r="U32">
        <f t="shared" ca="1" si="21"/>
        <v>-0.73978994391964281</v>
      </c>
      <c r="V32">
        <f t="shared" ca="1" si="21"/>
        <v>-0.94465033153230116</v>
      </c>
      <c r="W32">
        <f t="shared" ca="1" si="21"/>
        <v>-0.38375216099086312</v>
      </c>
      <c r="X32">
        <f t="shared" ca="1" si="21"/>
        <v>-1.6728395852223783</v>
      </c>
      <c r="Y32">
        <f t="shared" ca="1" si="21"/>
        <v>-0.14473813188116311</v>
      </c>
      <c r="Z32">
        <f t="shared" ca="1" si="22"/>
        <v>0.61011887036432344</v>
      </c>
      <c r="AA32">
        <f t="shared" ca="1" si="22"/>
        <v>-1.4861239272249851</v>
      </c>
      <c r="AB32">
        <f t="shared" ca="1" si="22"/>
        <v>0.84953609726477186</v>
      </c>
      <c r="AC32">
        <f t="shared" ca="1" si="22"/>
        <v>0.74889150827985629</v>
      </c>
      <c r="AD32">
        <f t="shared" ca="1" si="22"/>
        <v>0.1340640412060955</v>
      </c>
      <c r="AE32">
        <f t="shared" ca="1" si="22"/>
        <v>-2.0654954261156599</v>
      </c>
      <c r="AF32">
        <f t="shared" ca="1" si="22"/>
        <v>-0.9242828245172543</v>
      </c>
      <c r="AG32">
        <f t="shared" ca="1" si="22"/>
        <v>9.7055239893448844E-2</v>
      </c>
      <c r="AH32">
        <f t="shared" ca="1" si="22"/>
        <v>1.0020063253416689</v>
      </c>
      <c r="AI32">
        <f t="shared" ca="1" si="22"/>
        <v>0.47406858340830116</v>
      </c>
      <c r="AJ32">
        <f t="shared" ca="1" si="23"/>
        <v>0.11582132203358463</v>
      </c>
      <c r="AK32">
        <f t="shared" ca="1" si="23"/>
        <v>-0.46294876154010639</v>
      </c>
      <c r="AL32">
        <f t="shared" ca="1" si="23"/>
        <v>0.37487089347783498</v>
      </c>
      <c r="AM32">
        <f t="shared" ca="1" si="23"/>
        <v>-0.76403619338519912</v>
      </c>
      <c r="AN32">
        <f t="shared" ca="1" si="23"/>
        <v>1.4516141972615868</v>
      </c>
      <c r="AO32">
        <f t="shared" ca="1" si="23"/>
        <v>-1.1094111090514656</v>
      </c>
      <c r="AP32">
        <f t="shared" ca="1" si="23"/>
        <v>-0.85445624449392188</v>
      </c>
      <c r="AQ32">
        <f t="shared" ca="1" si="23"/>
        <v>0.47261600421189598</v>
      </c>
      <c r="AR32">
        <f t="shared" ca="1" si="23"/>
        <v>-0.43482548877002891</v>
      </c>
      <c r="AS32">
        <f t="shared" ca="1" si="23"/>
        <v>-0.59842671209337861</v>
      </c>
      <c r="AT32">
        <f t="shared" ca="1" si="24"/>
        <v>1.1814319096298467</v>
      </c>
      <c r="AU32">
        <f t="shared" ca="1" si="24"/>
        <v>-4.3027002939202003E-2</v>
      </c>
      <c r="AV32">
        <f t="shared" ca="1" si="24"/>
        <v>0.47265886335675611</v>
      </c>
      <c r="AW32">
        <f t="shared" ca="1" si="24"/>
        <v>1.8678214478457371</v>
      </c>
      <c r="AX32">
        <f t="shared" ca="1" si="24"/>
        <v>0.60157402975879015</v>
      </c>
      <c r="AY32">
        <f t="shared" ca="1" si="24"/>
        <v>-0.17021074416855214</v>
      </c>
      <c r="AZ32">
        <f t="shared" ca="1" si="24"/>
        <v>-0.94520003091414562</v>
      </c>
      <c r="BA32">
        <f t="shared" ca="1" si="24"/>
        <v>1.3749789621925259</v>
      </c>
      <c r="BB32">
        <f t="shared" ca="1" si="24"/>
        <v>-2.0747489180568008</v>
      </c>
      <c r="BC32">
        <f t="shared" ca="1" si="24"/>
        <v>-0.64484949759824439</v>
      </c>
      <c r="BD32">
        <f t="shared" ca="1" si="25"/>
        <v>-0.15891454701888647</v>
      </c>
      <c r="BE32">
        <f t="shared" ca="1" si="25"/>
        <v>-1.8558325450896509</v>
      </c>
      <c r="BF32">
        <f t="shared" ca="1" si="25"/>
        <v>-0.11632033044683485</v>
      </c>
      <c r="BG32">
        <f t="shared" ca="1" si="25"/>
        <v>0.50428842906700844</v>
      </c>
      <c r="BH32">
        <f t="shared" ca="1" si="25"/>
        <v>3.4623055361430866</v>
      </c>
      <c r="BI32">
        <f t="shared" ca="1" si="25"/>
        <v>0.76978603355032948</v>
      </c>
      <c r="BJ32">
        <f t="shared" ca="1" si="25"/>
        <v>-0.69336615109218824</v>
      </c>
      <c r="BK32">
        <f t="shared" ca="1" si="25"/>
        <v>-0.64232152142547916</v>
      </c>
      <c r="BL32">
        <f t="shared" ca="1" si="25"/>
        <v>-0.9730472993865944</v>
      </c>
      <c r="BM32">
        <f t="shared" ca="1" si="25"/>
        <v>0.14098791877471245</v>
      </c>
      <c r="BN32">
        <f t="shared" ca="1" si="26"/>
        <v>-0.60667417662903245</v>
      </c>
      <c r="BO32">
        <f t="shared" ca="1" si="26"/>
        <v>-7.6054038719930314E-2</v>
      </c>
      <c r="BP32">
        <f t="shared" ca="1" si="26"/>
        <v>1.9176567456655322</v>
      </c>
      <c r="BQ32">
        <f t="shared" ca="1" si="26"/>
        <v>-0.18773561020776228</v>
      </c>
      <c r="BR32">
        <f t="shared" ca="1" si="26"/>
        <v>0.88989344829220907</v>
      </c>
      <c r="BS32">
        <f t="shared" ca="1" si="26"/>
        <v>0.76240319550859037</v>
      </c>
      <c r="BT32">
        <f t="shared" ca="1" si="26"/>
        <v>0.36579422328392441</v>
      </c>
      <c r="BU32">
        <f t="shared" ca="1" si="26"/>
        <v>-1.1033710703560575</v>
      </c>
      <c r="BV32">
        <f t="shared" ca="1" si="26"/>
        <v>-9.5597040937319688E-2</v>
      </c>
      <c r="BW32">
        <f t="shared" ca="1" si="26"/>
        <v>-0.79653064838181598</v>
      </c>
      <c r="BX32">
        <f t="shared" ca="1" si="27"/>
        <v>-0.37232125868845761</v>
      </c>
      <c r="BY32">
        <f t="shared" ca="1" si="27"/>
        <v>-2.1069442254597948</v>
      </c>
      <c r="BZ32">
        <f t="shared" ca="1" si="27"/>
        <v>0.48231081891147465</v>
      </c>
      <c r="CA32">
        <f t="shared" ca="1" si="27"/>
        <v>0.71299347156534731</v>
      </c>
      <c r="CB32">
        <f t="shared" ca="1" si="27"/>
        <v>-1.3994499773847737</v>
      </c>
      <c r="CC32">
        <f t="shared" ca="1" si="27"/>
        <v>1.8564806517644319</v>
      </c>
      <c r="CD32">
        <f t="shared" ca="1" si="27"/>
        <v>2.1714106247080589</v>
      </c>
      <c r="CE32">
        <f t="shared" ca="1" si="27"/>
        <v>-0.34398266503330155</v>
      </c>
      <c r="CF32">
        <f t="shared" ca="1" si="27"/>
        <v>-1.4405784699920348</v>
      </c>
      <c r="CG32">
        <f t="shared" ca="1" si="27"/>
        <v>-1.2443802788429368</v>
      </c>
      <c r="CH32">
        <f t="shared" ca="1" si="28"/>
        <v>-1.2421093467916944</v>
      </c>
      <c r="CI32">
        <f t="shared" ca="1" si="28"/>
        <v>1.4739616016358406</v>
      </c>
      <c r="CJ32">
        <f t="shared" ca="1" si="28"/>
        <v>1.538191223489485</v>
      </c>
      <c r="CK32">
        <f t="shared" ca="1" si="28"/>
        <v>1.3460547640164326</v>
      </c>
      <c r="CL32">
        <f t="shared" ca="1" si="28"/>
        <v>-6.319813819750443E-2</v>
      </c>
      <c r="CM32">
        <f t="shared" ca="1" si="28"/>
        <v>9.327977010698419E-3</v>
      </c>
      <c r="CN32">
        <f t="shared" ca="1" si="28"/>
        <v>1.3394953216942704</v>
      </c>
      <c r="CO32">
        <f t="shared" ca="1" si="28"/>
        <v>-0.9259535218511965</v>
      </c>
      <c r="CP32">
        <f t="shared" ca="1" si="28"/>
        <v>1.0972364059832951</v>
      </c>
      <c r="CQ32">
        <f t="shared" ca="1" si="28"/>
        <v>1.410960522914712</v>
      </c>
      <c r="CR32">
        <f t="shared" ca="1" si="29"/>
        <v>-1.3808801915367657</v>
      </c>
      <c r="CS32">
        <f t="shared" ca="1" si="29"/>
        <v>-0.49402719846775528</v>
      </c>
      <c r="CT32">
        <f t="shared" ca="1" si="29"/>
        <v>0.83737627550533034</v>
      </c>
      <c r="CU32">
        <f t="shared" ca="1" si="29"/>
        <v>-1.1270743226098903</v>
      </c>
      <c r="CV32">
        <f t="shared" ca="1" si="29"/>
        <v>0.10196660467450532</v>
      </c>
      <c r="CW32">
        <f t="shared" ca="1" si="29"/>
        <v>0.14297808831899023</v>
      </c>
      <c r="CX32">
        <f t="shared" ca="1" si="29"/>
        <v>0.28760817219551887</v>
      </c>
      <c r="CY32">
        <f t="shared" ca="1" si="29"/>
        <v>0.92570336249494889</v>
      </c>
      <c r="CZ32">
        <f t="shared" ca="1" si="29"/>
        <v>0.36433500314360823</v>
      </c>
      <c r="DA32">
        <f t="shared" ca="1" si="29"/>
        <v>0.28325442191429651</v>
      </c>
    </row>
    <row r="33" spans="5:105" x14ac:dyDescent="0.25">
      <c r="E33">
        <f>S_plus!L33</f>
        <v>0.31000000000000011</v>
      </c>
      <c r="F33">
        <f t="shared" ref="F33:O42" ca="1" si="30">_xlfn.NORM.S.INV(RAND())</f>
        <v>-0.31368380211008084</v>
      </c>
      <c r="G33">
        <f t="shared" ca="1" si="30"/>
        <v>0.52789652652755625</v>
      </c>
      <c r="H33">
        <f t="shared" ca="1" si="30"/>
        <v>0.15279984800378527</v>
      </c>
      <c r="I33">
        <f t="shared" ca="1" si="30"/>
        <v>1.726701919516173</v>
      </c>
      <c r="J33">
        <f t="shared" ca="1" si="30"/>
        <v>0.17390039552868503</v>
      </c>
      <c r="K33">
        <f t="shared" ca="1" si="30"/>
        <v>-1.6125303917241487</v>
      </c>
      <c r="L33">
        <f t="shared" ca="1" si="30"/>
        <v>-0.9933236631464839</v>
      </c>
      <c r="M33">
        <f t="shared" ca="1" si="30"/>
        <v>1.6731905940907623</v>
      </c>
      <c r="N33">
        <f t="shared" ca="1" si="30"/>
        <v>-0.71370680563965694</v>
      </c>
      <c r="O33">
        <f t="shared" ca="1" si="30"/>
        <v>-0.28112864484183642</v>
      </c>
      <c r="P33">
        <f t="shared" ref="P33:Y42" ca="1" si="31">_xlfn.NORM.S.INV(RAND())</f>
        <v>0.69622305494627201</v>
      </c>
      <c r="Q33">
        <f t="shared" ca="1" si="31"/>
        <v>0.90444642586867829</v>
      </c>
      <c r="R33">
        <f t="shared" ca="1" si="31"/>
        <v>-0.93009985935917239</v>
      </c>
      <c r="S33">
        <f t="shared" ca="1" si="31"/>
        <v>1.2471346256449847</v>
      </c>
      <c r="T33">
        <f t="shared" ca="1" si="31"/>
        <v>1.1867513717385374</v>
      </c>
      <c r="U33">
        <f t="shared" ca="1" si="31"/>
        <v>0.86168590195316075</v>
      </c>
      <c r="V33">
        <f t="shared" ca="1" si="31"/>
        <v>1.3583450048242043</v>
      </c>
      <c r="W33">
        <f t="shared" ca="1" si="31"/>
        <v>-0.57226936609756585</v>
      </c>
      <c r="X33">
        <f t="shared" ca="1" si="31"/>
        <v>0.1088953634137798</v>
      </c>
      <c r="Y33">
        <f t="shared" ca="1" si="31"/>
        <v>-0.27724750826355754</v>
      </c>
      <c r="Z33">
        <f t="shared" ref="Z33:AI42" ca="1" si="32">_xlfn.NORM.S.INV(RAND())</f>
        <v>1.3103910393541112</v>
      </c>
      <c r="AA33">
        <f t="shared" ca="1" si="32"/>
        <v>-0.17771969282463354</v>
      </c>
      <c r="AB33">
        <f t="shared" ca="1" si="32"/>
        <v>-0.25351066875156819</v>
      </c>
      <c r="AC33">
        <f t="shared" ca="1" si="32"/>
        <v>0.39129072757010752</v>
      </c>
      <c r="AD33">
        <f t="shared" ca="1" si="32"/>
        <v>0.10862332632610273</v>
      </c>
      <c r="AE33">
        <f t="shared" ca="1" si="32"/>
        <v>-0.1003687384160957</v>
      </c>
      <c r="AF33">
        <f t="shared" ca="1" si="32"/>
        <v>-0.15677195901651347</v>
      </c>
      <c r="AG33">
        <f t="shared" ca="1" si="32"/>
        <v>-0.50164512125194161</v>
      </c>
      <c r="AH33">
        <f t="shared" ca="1" si="32"/>
        <v>-0.23114844016965527</v>
      </c>
      <c r="AI33">
        <f t="shared" ca="1" si="32"/>
        <v>1.8609065233986892</v>
      </c>
      <c r="AJ33">
        <f t="shared" ref="AJ33:AS42" ca="1" si="33">_xlfn.NORM.S.INV(RAND())</f>
        <v>0.12521527542059457</v>
      </c>
      <c r="AK33">
        <f t="shared" ca="1" si="33"/>
        <v>1.5363829261127628</v>
      </c>
      <c r="AL33">
        <f t="shared" ca="1" si="33"/>
        <v>0.96604923346733462</v>
      </c>
      <c r="AM33">
        <f t="shared" ca="1" si="33"/>
        <v>0.93761779285627622</v>
      </c>
      <c r="AN33">
        <f t="shared" ca="1" si="33"/>
        <v>1.6076962069416194</v>
      </c>
      <c r="AO33">
        <f t="shared" ca="1" si="33"/>
        <v>0.47578687061502223</v>
      </c>
      <c r="AP33">
        <f t="shared" ca="1" si="33"/>
        <v>0.35705707779198675</v>
      </c>
      <c r="AQ33">
        <f t="shared" ca="1" si="33"/>
        <v>1.6550408265459551</v>
      </c>
      <c r="AR33">
        <f t="shared" ca="1" si="33"/>
        <v>2.5952447673966845</v>
      </c>
      <c r="AS33">
        <f t="shared" ca="1" si="33"/>
        <v>-9.1071070296557782E-2</v>
      </c>
      <c r="AT33">
        <f t="shared" ref="AT33:BC42" ca="1" si="34">_xlfn.NORM.S.INV(RAND())</f>
        <v>-0.6432600068961033</v>
      </c>
      <c r="AU33">
        <f t="shared" ca="1" si="34"/>
        <v>0.28064260846477257</v>
      </c>
      <c r="AV33">
        <f t="shared" ca="1" si="34"/>
        <v>-2.3834851219917854</v>
      </c>
      <c r="AW33">
        <f t="shared" ca="1" si="34"/>
        <v>0.80904681747504881</v>
      </c>
      <c r="AX33">
        <f t="shared" ca="1" si="34"/>
        <v>-0.3978437970382207</v>
      </c>
      <c r="AY33">
        <f t="shared" ca="1" si="34"/>
        <v>1.8577209587282957</v>
      </c>
      <c r="AZ33">
        <f t="shared" ca="1" si="34"/>
        <v>1.049941999096651</v>
      </c>
      <c r="BA33">
        <f t="shared" ca="1" si="34"/>
        <v>0.39645611496835709</v>
      </c>
      <c r="BB33">
        <f t="shared" ca="1" si="34"/>
        <v>0.21421339794872421</v>
      </c>
      <c r="BC33">
        <f t="shared" ca="1" si="34"/>
        <v>-0.10221343724465715</v>
      </c>
      <c r="BD33">
        <f t="shared" ref="BD33:BM42" ca="1" si="35">_xlfn.NORM.S.INV(RAND())</f>
        <v>0.31702502473749278</v>
      </c>
      <c r="BE33">
        <f t="shared" ca="1" si="35"/>
        <v>-0.27734570161676392</v>
      </c>
      <c r="BF33">
        <f t="shared" ca="1" si="35"/>
        <v>-0.72534381570541206</v>
      </c>
      <c r="BG33">
        <f t="shared" ca="1" si="35"/>
        <v>0.68211369219456808</v>
      </c>
      <c r="BH33">
        <f t="shared" ca="1" si="35"/>
        <v>0.1646916471689579</v>
      </c>
      <c r="BI33">
        <f t="shared" ca="1" si="35"/>
        <v>-0.23018898407953925</v>
      </c>
      <c r="BJ33">
        <f t="shared" ca="1" si="35"/>
        <v>1.1255519798998772</v>
      </c>
      <c r="BK33">
        <f t="shared" ca="1" si="35"/>
        <v>1.5908070576016446</v>
      </c>
      <c r="BL33">
        <f t="shared" ca="1" si="35"/>
        <v>1.0492256075617989</v>
      </c>
      <c r="BM33">
        <f t="shared" ca="1" si="35"/>
        <v>1.1837377578214252</v>
      </c>
      <c r="BN33">
        <f t="shared" ref="BN33:BW42" ca="1" si="36">_xlfn.NORM.S.INV(RAND())</f>
        <v>-0.2216538599063495</v>
      </c>
      <c r="BO33">
        <f t="shared" ca="1" si="36"/>
        <v>0.67655064745323634</v>
      </c>
      <c r="BP33">
        <f t="shared" ca="1" si="36"/>
        <v>-1.8195508187335603</v>
      </c>
      <c r="BQ33">
        <f t="shared" ca="1" si="36"/>
        <v>-0.46932482525927827</v>
      </c>
      <c r="BR33">
        <f t="shared" ca="1" si="36"/>
        <v>-1.4860964491980161E-3</v>
      </c>
      <c r="BS33">
        <f t="shared" ca="1" si="36"/>
        <v>1.8118069159386907</v>
      </c>
      <c r="BT33">
        <f t="shared" ca="1" si="36"/>
        <v>-0.70919163267721796</v>
      </c>
      <c r="BU33">
        <f t="shared" ca="1" si="36"/>
        <v>-0.27592969526298339</v>
      </c>
      <c r="BV33">
        <f t="shared" ca="1" si="36"/>
        <v>-0.19247316107479573</v>
      </c>
      <c r="BW33">
        <f t="shared" ca="1" si="36"/>
        <v>0.20908570866146348</v>
      </c>
      <c r="BX33">
        <f t="shared" ref="BX33:CG42" ca="1" si="37">_xlfn.NORM.S.INV(RAND())</f>
        <v>3.8342426188725826E-2</v>
      </c>
      <c r="BY33">
        <f t="shared" ca="1" si="37"/>
        <v>-0.18489213315883232</v>
      </c>
      <c r="BZ33">
        <f t="shared" ca="1" si="37"/>
        <v>-5.7572087291412243E-2</v>
      </c>
      <c r="CA33">
        <f t="shared" ca="1" si="37"/>
        <v>-1.7937446990258914</v>
      </c>
      <c r="CB33">
        <f t="shared" ca="1" si="37"/>
        <v>0.20721817531827785</v>
      </c>
      <c r="CC33">
        <f t="shared" ca="1" si="37"/>
        <v>-1.3324208807897617</v>
      </c>
      <c r="CD33">
        <f t="shared" ca="1" si="37"/>
        <v>1.1626536939416376</v>
      </c>
      <c r="CE33">
        <f t="shared" ca="1" si="37"/>
        <v>-0.93204779906906965</v>
      </c>
      <c r="CF33">
        <f t="shared" ca="1" si="37"/>
        <v>1.3014880930602366</v>
      </c>
      <c r="CG33">
        <f t="shared" ca="1" si="37"/>
        <v>0.58132442570979959</v>
      </c>
      <c r="CH33">
        <f t="shared" ref="CH33:CQ42" ca="1" si="38">_xlfn.NORM.S.INV(RAND())</f>
        <v>-0.21094552731751817</v>
      </c>
      <c r="CI33">
        <f t="shared" ca="1" si="38"/>
        <v>2.0204190301291716</v>
      </c>
      <c r="CJ33">
        <f t="shared" ca="1" si="38"/>
        <v>-1.3987039424000518</v>
      </c>
      <c r="CK33">
        <f t="shared" ca="1" si="38"/>
        <v>-0.28914222501728754</v>
      </c>
      <c r="CL33">
        <f t="shared" ca="1" si="38"/>
        <v>0.83793352565018853</v>
      </c>
      <c r="CM33">
        <f t="shared" ca="1" si="38"/>
        <v>-1.6753296515147571</v>
      </c>
      <c r="CN33">
        <f t="shared" ca="1" si="38"/>
        <v>-0.77338484426277532</v>
      </c>
      <c r="CO33">
        <f t="shared" ca="1" si="38"/>
        <v>-1.0687645284572852E-2</v>
      </c>
      <c r="CP33">
        <f t="shared" ca="1" si="38"/>
        <v>0.93135929591677191</v>
      </c>
      <c r="CQ33">
        <f t="shared" ca="1" si="38"/>
        <v>0.14538804054681556</v>
      </c>
      <c r="CR33">
        <f t="shared" ref="CR33:DA42" ca="1" si="39">_xlfn.NORM.S.INV(RAND())</f>
        <v>-0.54644616754821285</v>
      </c>
      <c r="CS33">
        <f t="shared" ca="1" si="39"/>
        <v>-1.4942716981219626</v>
      </c>
      <c r="CT33">
        <f t="shared" ca="1" si="39"/>
        <v>1.1553679867747606</v>
      </c>
      <c r="CU33">
        <f t="shared" ca="1" si="39"/>
        <v>0.30217908188524528</v>
      </c>
      <c r="CV33">
        <f t="shared" ca="1" si="39"/>
        <v>0.544341924932085</v>
      </c>
      <c r="CW33">
        <f t="shared" ca="1" si="39"/>
        <v>-1.6733176093091666</v>
      </c>
      <c r="CX33">
        <f t="shared" ca="1" si="39"/>
        <v>1.4084256146202674</v>
      </c>
      <c r="CY33">
        <f t="shared" ca="1" si="39"/>
        <v>0.346690389326689</v>
      </c>
      <c r="CZ33">
        <f t="shared" ca="1" si="39"/>
        <v>-0.14758588687198576</v>
      </c>
      <c r="DA33">
        <f t="shared" ca="1" si="39"/>
        <v>-1.1210647540369068</v>
      </c>
    </row>
    <row r="34" spans="5:105" x14ac:dyDescent="0.25">
      <c r="E34">
        <f>S_plus!L34</f>
        <v>0.32000000000000012</v>
      </c>
      <c r="F34">
        <f t="shared" ca="1" si="30"/>
        <v>3.206602602328072</v>
      </c>
      <c r="G34">
        <f t="shared" ca="1" si="30"/>
        <v>-1.2604776269812155</v>
      </c>
      <c r="H34">
        <f t="shared" ca="1" si="30"/>
        <v>0.61518619169576483</v>
      </c>
      <c r="I34">
        <f t="shared" ca="1" si="30"/>
        <v>0.67859174299777714</v>
      </c>
      <c r="J34">
        <f t="shared" ca="1" si="30"/>
        <v>-0.99760841421926783</v>
      </c>
      <c r="K34">
        <f t="shared" ca="1" si="30"/>
        <v>0.79015725374150492</v>
      </c>
      <c r="L34">
        <f t="shared" ca="1" si="30"/>
        <v>-0.46489164446940845</v>
      </c>
      <c r="M34">
        <f t="shared" ca="1" si="30"/>
        <v>0.55052251679862418</v>
      </c>
      <c r="N34">
        <f t="shared" ca="1" si="30"/>
        <v>0.13012413885939933</v>
      </c>
      <c r="O34">
        <f t="shared" ca="1" si="30"/>
        <v>1.3697147741975062</v>
      </c>
      <c r="P34">
        <f t="shared" ca="1" si="31"/>
        <v>-0.42517045659965336</v>
      </c>
      <c r="Q34">
        <f t="shared" ca="1" si="31"/>
        <v>-1.0661602976404578</v>
      </c>
      <c r="R34">
        <f t="shared" ca="1" si="31"/>
        <v>0.78889790405329885</v>
      </c>
      <c r="S34">
        <f t="shared" ca="1" si="31"/>
        <v>-0.608603517284655</v>
      </c>
      <c r="T34">
        <f t="shared" ca="1" si="31"/>
        <v>-0.17941160600865969</v>
      </c>
      <c r="U34">
        <f t="shared" ca="1" si="31"/>
        <v>-0.41810051082655414</v>
      </c>
      <c r="V34">
        <f t="shared" ca="1" si="31"/>
        <v>2.2758744332634016</v>
      </c>
      <c r="W34">
        <f t="shared" ca="1" si="31"/>
        <v>-1.0274568059800084</v>
      </c>
      <c r="X34">
        <f t="shared" ca="1" si="31"/>
        <v>7.5064884530059578E-2</v>
      </c>
      <c r="Y34">
        <f t="shared" ca="1" si="31"/>
        <v>-0.12922951732227411</v>
      </c>
      <c r="Z34">
        <f t="shared" ca="1" si="32"/>
        <v>-1.3610336554201421</v>
      </c>
      <c r="AA34">
        <f t="shared" ca="1" si="32"/>
        <v>0.93659071621686252</v>
      </c>
      <c r="AB34">
        <f t="shared" ca="1" si="32"/>
        <v>-0.98927141179639466</v>
      </c>
      <c r="AC34">
        <f t="shared" ca="1" si="32"/>
        <v>-1.6873317941537993</v>
      </c>
      <c r="AD34">
        <f t="shared" ca="1" si="32"/>
        <v>-0.53806534009058893</v>
      </c>
      <c r="AE34">
        <f t="shared" ca="1" si="32"/>
        <v>1.3757051721516338</v>
      </c>
      <c r="AF34">
        <f t="shared" ca="1" si="32"/>
        <v>-1.1753533164250072</v>
      </c>
      <c r="AG34">
        <f t="shared" ca="1" si="32"/>
        <v>-0.21379410352955244</v>
      </c>
      <c r="AH34">
        <f t="shared" ca="1" si="32"/>
        <v>-0.7991088370474021</v>
      </c>
      <c r="AI34">
        <f t="shared" ca="1" si="32"/>
        <v>0.92565913795789134</v>
      </c>
      <c r="AJ34">
        <f t="shared" ca="1" si="33"/>
        <v>1.7427937542443492</v>
      </c>
      <c r="AK34">
        <f t="shared" ca="1" si="33"/>
        <v>-0.38604238345663877</v>
      </c>
      <c r="AL34">
        <f t="shared" ca="1" si="33"/>
        <v>-6.2578150453094727E-2</v>
      </c>
      <c r="AM34">
        <f t="shared" ca="1" si="33"/>
        <v>0.39111039438578599</v>
      </c>
      <c r="AN34">
        <f t="shared" ca="1" si="33"/>
        <v>0.93880511270791756</v>
      </c>
      <c r="AO34">
        <f t="shared" ca="1" si="33"/>
        <v>0.86843703911934644</v>
      </c>
      <c r="AP34">
        <f t="shared" ca="1" si="33"/>
        <v>0.26314227911852428</v>
      </c>
      <c r="AQ34">
        <f t="shared" ca="1" si="33"/>
        <v>-2.2801007578201955</v>
      </c>
      <c r="AR34">
        <f t="shared" ca="1" si="33"/>
        <v>-1.0773927206823981</v>
      </c>
      <c r="AS34">
        <f t="shared" ca="1" si="33"/>
        <v>1.5753345909279457</v>
      </c>
      <c r="AT34">
        <f t="shared" ca="1" si="34"/>
        <v>8.6338559160620096E-2</v>
      </c>
      <c r="AU34">
        <f t="shared" ca="1" si="34"/>
        <v>-0.49291801756166792</v>
      </c>
      <c r="AV34">
        <f t="shared" ca="1" si="34"/>
        <v>0.64438945745942422</v>
      </c>
      <c r="AW34">
        <f t="shared" ca="1" si="34"/>
        <v>1.2108553034595813</v>
      </c>
      <c r="AX34">
        <f t="shared" ca="1" si="34"/>
        <v>-0.21422593317211788</v>
      </c>
      <c r="AY34">
        <f t="shared" ca="1" si="34"/>
        <v>0.1897096960994164</v>
      </c>
      <c r="AZ34">
        <f t="shared" ca="1" si="34"/>
        <v>0.36132699193822859</v>
      </c>
      <c r="BA34">
        <f t="shared" ca="1" si="34"/>
        <v>-0.95951202990020179</v>
      </c>
      <c r="BB34">
        <f t="shared" ca="1" si="34"/>
        <v>2.0014723345689283</v>
      </c>
      <c r="BC34">
        <f t="shared" ca="1" si="34"/>
        <v>-1.7156900933279313</v>
      </c>
      <c r="BD34">
        <f t="shared" ca="1" si="35"/>
        <v>0.41066075071941388</v>
      </c>
      <c r="BE34">
        <f t="shared" ca="1" si="35"/>
        <v>-2.0862327209255458</v>
      </c>
      <c r="BF34">
        <f t="shared" ca="1" si="35"/>
        <v>-0.1199555970603918</v>
      </c>
      <c r="BG34">
        <f t="shared" ca="1" si="35"/>
        <v>1.6607507683171059</v>
      </c>
      <c r="BH34">
        <f t="shared" ca="1" si="35"/>
        <v>1.0422081743193787</v>
      </c>
      <c r="BI34">
        <f t="shared" ca="1" si="35"/>
        <v>-1.2934082719413507</v>
      </c>
      <c r="BJ34">
        <f t="shared" ca="1" si="35"/>
        <v>1.2079620785822736</v>
      </c>
      <c r="BK34">
        <f t="shared" ca="1" si="35"/>
        <v>-1.270455487995729</v>
      </c>
      <c r="BL34">
        <f t="shared" ca="1" si="35"/>
        <v>0.86377381364821515</v>
      </c>
      <c r="BM34">
        <f t="shared" ca="1" si="35"/>
        <v>-1.846763975037961</v>
      </c>
      <c r="BN34">
        <f t="shared" ca="1" si="36"/>
        <v>-6.0828510411646795E-2</v>
      </c>
      <c r="BO34">
        <f t="shared" ca="1" si="36"/>
        <v>-0.89741267999227603</v>
      </c>
      <c r="BP34">
        <f t="shared" ca="1" si="36"/>
        <v>1.8982343826452999</v>
      </c>
      <c r="BQ34">
        <f t="shared" ca="1" si="36"/>
        <v>1.011634052864931</v>
      </c>
      <c r="BR34">
        <f t="shared" ca="1" si="36"/>
        <v>1.9837487483212162E-3</v>
      </c>
      <c r="BS34">
        <f t="shared" ca="1" si="36"/>
        <v>-0.48000494352398321</v>
      </c>
      <c r="BT34">
        <f t="shared" ca="1" si="36"/>
        <v>1.1591442547766662</v>
      </c>
      <c r="BU34">
        <f t="shared" ca="1" si="36"/>
        <v>-0.43974873982745405</v>
      </c>
      <c r="BV34">
        <f t="shared" ca="1" si="36"/>
        <v>-0.94841751777701933</v>
      </c>
      <c r="BW34">
        <f t="shared" ca="1" si="36"/>
        <v>-0.33593866959703211</v>
      </c>
      <c r="BX34">
        <f t="shared" ca="1" si="37"/>
        <v>0.38403857805107161</v>
      </c>
      <c r="BY34">
        <f t="shared" ca="1" si="37"/>
        <v>0.39712000122066804</v>
      </c>
      <c r="BZ34">
        <f t="shared" ca="1" si="37"/>
        <v>0.52306613309955396</v>
      </c>
      <c r="CA34">
        <f t="shared" ca="1" si="37"/>
        <v>-1.6778331139243621</v>
      </c>
      <c r="CB34">
        <f t="shared" ca="1" si="37"/>
        <v>-0.15673173935928061</v>
      </c>
      <c r="CC34">
        <f t="shared" ca="1" si="37"/>
        <v>-0.5933937295908478</v>
      </c>
      <c r="CD34">
        <f t="shared" ca="1" si="37"/>
        <v>0.41205357603434439</v>
      </c>
      <c r="CE34">
        <f t="shared" ca="1" si="37"/>
        <v>-0.28886081623457077</v>
      </c>
      <c r="CF34">
        <f t="shared" ca="1" si="37"/>
        <v>-3.3688858817283838</v>
      </c>
      <c r="CG34">
        <f t="shared" ca="1" si="37"/>
        <v>-0.12801581491047195</v>
      </c>
      <c r="CH34">
        <f t="shared" ca="1" si="38"/>
        <v>-0.71153250680432356</v>
      </c>
      <c r="CI34">
        <f t="shared" ca="1" si="38"/>
        <v>2.2610389309064125</v>
      </c>
      <c r="CJ34">
        <f t="shared" ca="1" si="38"/>
        <v>1.0011989420300773</v>
      </c>
      <c r="CK34">
        <f t="shared" ca="1" si="38"/>
        <v>0.17297717270127344</v>
      </c>
      <c r="CL34">
        <f t="shared" ca="1" si="38"/>
        <v>1.6098248712173555</v>
      </c>
      <c r="CM34">
        <f t="shared" ca="1" si="38"/>
        <v>-0.57751352107417409</v>
      </c>
      <c r="CN34">
        <f t="shared" ca="1" si="38"/>
        <v>0.68070988528443666</v>
      </c>
      <c r="CO34">
        <f t="shared" ca="1" si="38"/>
        <v>0.74337069219624452</v>
      </c>
      <c r="CP34">
        <f t="shared" ca="1" si="38"/>
        <v>0.34278675008871151</v>
      </c>
      <c r="CQ34">
        <f t="shared" ca="1" si="38"/>
        <v>-0.97266682008025085</v>
      </c>
      <c r="CR34">
        <f t="shared" ca="1" si="39"/>
        <v>-0.82667154471418036</v>
      </c>
      <c r="CS34">
        <f t="shared" ca="1" si="39"/>
        <v>-1.515446079208955</v>
      </c>
      <c r="CT34">
        <f t="shared" ca="1" si="39"/>
        <v>-0.11665344008269339</v>
      </c>
      <c r="CU34">
        <f t="shared" ca="1" si="39"/>
        <v>0.83260389151401626</v>
      </c>
      <c r="CV34">
        <f t="shared" ca="1" si="39"/>
        <v>-0.54878059404873347</v>
      </c>
      <c r="CW34">
        <f t="shared" ca="1" si="39"/>
        <v>-0.73469913906875095</v>
      </c>
      <c r="CX34">
        <f t="shared" ca="1" si="39"/>
        <v>0.95321922707896034</v>
      </c>
      <c r="CY34">
        <f t="shared" ca="1" si="39"/>
        <v>0.76119409319838416</v>
      </c>
      <c r="CZ34">
        <f t="shared" ca="1" si="39"/>
        <v>0.53007277956082943</v>
      </c>
      <c r="DA34">
        <f t="shared" ca="1" si="39"/>
        <v>1.846620666539786</v>
      </c>
    </row>
    <row r="35" spans="5:105" x14ac:dyDescent="0.25">
      <c r="E35">
        <f>S_plus!L35</f>
        <v>0.33000000000000013</v>
      </c>
      <c r="F35">
        <f t="shared" ca="1" si="30"/>
        <v>-0.81282433501023255</v>
      </c>
      <c r="G35">
        <f t="shared" ca="1" si="30"/>
        <v>0.8848002936113929</v>
      </c>
      <c r="H35">
        <f t="shared" ca="1" si="30"/>
        <v>-0.33047829369599363</v>
      </c>
      <c r="I35">
        <f t="shared" ca="1" si="30"/>
        <v>7.9501773864857544E-2</v>
      </c>
      <c r="J35">
        <f t="shared" ca="1" si="30"/>
        <v>0.73388771616050652</v>
      </c>
      <c r="K35">
        <f t="shared" ca="1" si="30"/>
        <v>-0.61147422280213315</v>
      </c>
      <c r="L35">
        <f t="shared" ca="1" si="30"/>
        <v>-0.64412086537644619</v>
      </c>
      <c r="M35">
        <f t="shared" ca="1" si="30"/>
        <v>-0.91829009130779615</v>
      </c>
      <c r="N35">
        <f t="shared" ca="1" si="30"/>
        <v>0.16889946335681386</v>
      </c>
      <c r="O35">
        <f t="shared" ca="1" si="30"/>
        <v>0.18921224021328736</v>
      </c>
      <c r="P35">
        <f t="shared" ca="1" si="31"/>
        <v>0.23055171904296215</v>
      </c>
      <c r="Q35">
        <f t="shared" ca="1" si="31"/>
        <v>-0.8271185418230419</v>
      </c>
      <c r="R35">
        <f t="shared" ca="1" si="31"/>
        <v>2.0292179975310156</v>
      </c>
      <c r="S35">
        <f t="shared" ca="1" si="31"/>
        <v>1.6936327784280215E-2</v>
      </c>
      <c r="T35">
        <f t="shared" ca="1" si="31"/>
        <v>-0.2586282664492276</v>
      </c>
      <c r="U35">
        <f t="shared" ca="1" si="31"/>
        <v>1.6498684600098401</v>
      </c>
      <c r="V35">
        <f t="shared" ca="1" si="31"/>
        <v>1.7502362224859875</v>
      </c>
      <c r="W35">
        <f t="shared" ca="1" si="31"/>
        <v>-0.21352731342268153</v>
      </c>
      <c r="X35">
        <f t="shared" ca="1" si="31"/>
        <v>-0.19456733641220153</v>
      </c>
      <c r="Y35">
        <f t="shared" ca="1" si="31"/>
        <v>1.0901397294425268</v>
      </c>
      <c r="Z35">
        <f t="shared" ca="1" si="32"/>
        <v>0.47305955640597375</v>
      </c>
      <c r="AA35">
        <f t="shared" ca="1" si="32"/>
        <v>1.0267952238479956</v>
      </c>
      <c r="AB35">
        <f t="shared" ca="1" si="32"/>
        <v>0.9056197761301602</v>
      </c>
      <c r="AC35">
        <f t="shared" ca="1" si="32"/>
        <v>-0.91092694313192835</v>
      </c>
      <c r="AD35">
        <f t="shared" ca="1" si="32"/>
        <v>0.47938085625295435</v>
      </c>
      <c r="AE35">
        <f t="shared" ca="1" si="32"/>
        <v>0.55455144269487711</v>
      </c>
      <c r="AF35">
        <f t="shared" ca="1" si="32"/>
        <v>-1.8869671769374237</v>
      </c>
      <c r="AG35">
        <f t="shared" ca="1" si="32"/>
        <v>0.38467671359993805</v>
      </c>
      <c r="AH35">
        <f t="shared" ca="1" si="32"/>
        <v>0.58540810468464055</v>
      </c>
      <c r="AI35">
        <f t="shared" ca="1" si="32"/>
        <v>-2.4402177511127534</v>
      </c>
      <c r="AJ35">
        <f t="shared" ca="1" si="33"/>
        <v>-1.8996890181176471</v>
      </c>
      <c r="AK35">
        <f t="shared" ca="1" si="33"/>
        <v>0.95995986482512441</v>
      </c>
      <c r="AL35">
        <f t="shared" ca="1" si="33"/>
        <v>2.2140451053257402</v>
      </c>
      <c r="AM35">
        <f t="shared" ca="1" si="33"/>
        <v>0.98537153766376606</v>
      </c>
      <c r="AN35">
        <f t="shared" ca="1" si="33"/>
        <v>1.4249267562427588</v>
      </c>
      <c r="AO35">
        <f t="shared" ca="1" si="33"/>
        <v>1.7035835590781345</v>
      </c>
      <c r="AP35">
        <f t="shared" ca="1" si="33"/>
        <v>-0.3760364981786336</v>
      </c>
      <c r="AQ35">
        <f t="shared" ca="1" si="33"/>
        <v>0.10938547621956905</v>
      </c>
      <c r="AR35">
        <f t="shared" ca="1" si="33"/>
        <v>-0.18769089904909977</v>
      </c>
      <c r="AS35">
        <f t="shared" ca="1" si="33"/>
        <v>0.90336596608300046</v>
      </c>
      <c r="AT35">
        <f t="shared" ca="1" si="34"/>
        <v>-0.83889528997845708</v>
      </c>
      <c r="AU35">
        <f t="shared" ca="1" si="34"/>
        <v>-3.9154543074339229E-2</v>
      </c>
      <c r="AV35">
        <f t="shared" ca="1" si="34"/>
        <v>-2.8647627981148553E-2</v>
      </c>
      <c r="AW35">
        <f t="shared" ca="1" si="34"/>
        <v>-0.65810268274768158</v>
      </c>
      <c r="AX35">
        <f t="shared" ca="1" si="34"/>
        <v>0.81512050765210364</v>
      </c>
      <c r="AY35">
        <f t="shared" ca="1" si="34"/>
        <v>0.36371580608486803</v>
      </c>
      <c r="AZ35">
        <f t="shared" ca="1" si="34"/>
        <v>-2.8948818042552418</v>
      </c>
      <c r="BA35">
        <f t="shared" ca="1" si="34"/>
        <v>0.12068029248179607</v>
      </c>
      <c r="BB35">
        <f t="shared" ca="1" si="34"/>
        <v>-1.0057999619487434</v>
      </c>
      <c r="BC35">
        <f t="shared" ca="1" si="34"/>
        <v>1.3310690658119411</v>
      </c>
      <c r="BD35">
        <f t="shared" ca="1" si="35"/>
        <v>-8.7372043155053467E-2</v>
      </c>
      <c r="BE35">
        <f t="shared" ca="1" si="35"/>
        <v>-0.77340659616869678</v>
      </c>
      <c r="BF35">
        <f t="shared" ca="1" si="35"/>
        <v>-0.37700386966526245</v>
      </c>
      <c r="BG35">
        <f t="shared" ca="1" si="35"/>
        <v>-0.76567020217436899</v>
      </c>
      <c r="BH35">
        <f t="shared" ca="1" si="35"/>
        <v>-0.17867907938708227</v>
      </c>
      <c r="BI35">
        <f t="shared" ca="1" si="35"/>
        <v>0.21425212977726635</v>
      </c>
      <c r="BJ35">
        <f t="shared" ca="1" si="35"/>
        <v>-0.38185644429028215</v>
      </c>
      <c r="BK35">
        <f t="shared" ca="1" si="35"/>
        <v>-0.89405157311911432</v>
      </c>
      <c r="BL35">
        <f t="shared" ca="1" si="35"/>
        <v>0.38880183158367582</v>
      </c>
      <c r="BM35">
        <f t="shared" ca="1" si="35"/>
        <v>0.25822250011411474</v>
      </c>
      <c r="BN35">
        <f t="shared" ca="1" si="36"/>
        <v>-1.1578069834921925</v>
      </c>
      <c r="BO35">
        <f t="shared" ca="1" si="36"/>
        <v>-0.86291764093970502</v>
      </c>
      <c r="BP35">
        <f t="shared" ca="1" si="36"/>
        <v>0.87763335757232386</v>
      </c>
      <c r="BQ35">
        <f t="shared" ca="1" si="36"/>
        <v>0.22782329819550109</v>
      </c>
      <c r="BR35">
        <f t="shared" ca="1" si="36"/>
        <v>-1.370779721481665</v>
      </c>
      <c r="BS35">
        <f t="shared" ca="1" si="36"/>
        <v>-2.5494089887191373</v>
      </c>
      <c r="BT35">
        <f t="shared" ca="1" si="36"/>
        <v>1.9262585315197589</v>
      </c>
      <c r="BU35">
        <f t="shared" ca="1" si="36"/>
        <v>1.2145481322145499</v>
      </c>
      <c r="BV35">
        <f t="shared" ca="1" si="36"/>
        <v>-0.36457732052716496</v>
      </c>
      <c r="BW35">
        <f t="shared" ca="1" si="36"/>
        <v>0.58434907350512821</v>
      </c>
      <c r="BX35">
        <f t="shared" ca="1" si="37"/>
        <v>7.5253280713676929E-2</v>
      </c>
      <c r="BY35">
        <f t="shared" ca="1" si="37"/>
        <v>-1.8049382126356175</v>
      </c>
      <c r="BZ35">
        <f t="shared" ca="1" si="37"/>
        <v>-1.139904739892649</v>
      </c>
      <c r="CA35">
        <f t="shared" ca="1" si="37"/>
        <v>0.41500136906509139</v>
      </c>
      <c r="CB35">
        <f t="shared" ca="1" si="37"/>
        <v>0.5196012354007109</v>
      </c>
      <c r="CC35">
        <f t="shared" ca="1" si="37"/>
        <v>-0.5550995700389455</v>
      </c>
      <c r="CD35">
        <f t="shared" ca="1" si="37"/>
        <v>-2.2438842030103872</v>
      </c>
      <c r="CE35">
        <f t="shared" ca="1" si="37"/>
        <v>-0.84953889168182695</v>
      </c>
      <c r="CF35">
        <f t="shared" ca="1" si="37"/>
        <v>0.18975415319747657</v>
      </c>
      <c r="CG35">
        <f t="shared" ca="1" si="37"/>
        <v>-1.327641090113816</v>
      </c>
      <c r="CH35">
        <f t="shared" ca="1" si="38"/>
        <v>1.2615259884654972</v>
      </c>
      <c r="CI35">
        <f t="shared" ca="1" si="38"/>
        <v>-0.15717314023127668</v>
      </c>
      <c r="CJ35">
        <f t="shared" ca="1" si="38"/>
        <v>0.363882757720557</v>
      </c>
      <c r="CK35">
        <f t="shared" ca="1" si="38"/>
        <v>0.4128544743173157</v>
      </c>
      <c r="CL35">
        <f t="shared" ca="1" si="38"/>
        <v>-0.92812807996098468</v>
      </c>
      <c r="CM35">
        <f t="shared" ca="1" si="38"/>
        <v>-0.26597756516792387</v>
      </c>
      <c r="CN35">
        <f t="shared" ca="1" si="38"/>
        <v>9.4675820200710359E-2</v>
      </c>
      <c r="CO35">
        <f t="shared" ca="1" si="38"/>
        <v>0.46204714755567483</v>
      </c>
      <c r="CP35">
        <f t="shared" ca="1" si="38"/>
        <v>-1.2195651707420412</v>
      </c>
      <c r="CQ35">
        <f t="shared" ca="1" si="38"/>
        <v>0.69488826100773382</v>
      </c>
      <c r="CR35">
        <f t="shared" ca="1" si="39"/>
        <v>-1.2160463395847538</v>
      </c>
      <c r="CS35">
        <f t="shared" ca="1" si="39"/>
        <v>-1.1955869220479916</v>
      </c>
      <c r="CT35">
        <f t="shared" ca="1" si="39"/>
        <v>0.22763950150882983</v>
      </c>
      <c r="CU35">
        <f t="shared" ca="1" si="39"/>
        <v>0.81180200243725742</v>
      </c>
      <c r="CV35">
        <f t="shared" ca="1" si="39"/>
        <v>1.4904468840764702</v>
      </c>
      <c r="CW35">
        <f t="shared" ca="1" si="39"/>
        <v>1.1742602889143783</v>
      </c>
      <c r="CX35">
        <f t="shared" ca="1" si="39"/>
        <v>-1.157984974676278</v>
      </c>
      <c r="CY35">
        <f t="shared" ca="1" si="39"/>
        <v>0.22110083394523278</v>
      </c>
      <c r="CZ35">
        <f t="shared" ca="1" si="39"/>
        <v>-0.1577616162589125</v>
      </c>
      <c r="DA35">
        <f t="shared" ca="1" si="39"/>
        <v>0.11970365827864236</v>
      </c>
    </row>
    <row r="36" spans="5:105" x14ac:dyDescent="0.25">
      <c r="E36">
        <f>S_plus!L36</f>
        <v>0.34000000000000014</v>
      </c>
      <c r="F36">
        <f t="shared" ca="1" si="30"/>
        <v>0.13408222026977337</v>
      </c>
      <c r="G36">
        <f t="shared" ca="1" si="30"/>
        <v>-0.76360339712107284</v>
      </c>
      <c r="H36">
        <f t="shared" ca="1" si="30"/>
        <v>-0.89224693384264231</v>
      </c>
      <c r="I36">
        <f t="shared" ca="1" si="30"/>
        <v>0.69508688435814892</v>
      </c>
      <c r="J36">
        <f t="shared" ca="1" si="30"/>
        <v>1.2859045695213691</v>
      </c>
      <c r="K36">
        <f t="shared" ca="1" si="30"/>
        <v>1.1858975507000327</v>
      </c>
      <c r="L36">
        <f t="shared" ca="1" si="30"/>
        <v>-0.45923411111770784</v>
      </c>
      <c r="M36">
        <f t="shared" ca="1" si="30"/>
        <v>1.6384617879439098</v>
      </c>
      <c r="N36">
        <f t="shared" ca="1" si="30"/>
        <v>0.10349016767985116</v>
      </c>
      <c r="O36">
        <f t="shared" ca="1" si="30"/>
        <v>1.1535965894814895</v>
      </c>
      <c r="P36">
        <f t="shared" ca="1" si="31"/>
        <v>-1.1073935027726813</v>
      </c>
      <c r="Q36">
        <f t="shared" ca="1" si="31"/>
        <v>0.97857806607926068</v>
      </c>
      <c r="R36">
        <f t="shared" ca="1" si="31"/>
        <v>-0.46534290140380019</v>
      </c>
      <c r="S36">
        <f t="shared" ca="1" si="31"/>
        <v>-0.36670382392249101</v>
      </c>
      <c r="T36">
        <f t="shared" ca="1" si="31"/>
        <v>-0.36453192890300246</v>
      </c>
      <c r="U36">
        <f t="shared" ca="1" si="31"/>
        <v>-0.22012519283034823</v>
      </c>
      <c r="V36">
        <f t="shared" ca="1" si="31"/>
        <v>-0.45807536288425066</v>
      </c>
      <c r="W36">
        <f t="shared" ca="1" si="31"/>
        <v>-3.2445942806492087E-2</v>
      </c>
      <c r="X36">
        <f t="shared" ca="1" si="31"/>
        <v>0.13669205550923585</v>
      </c>
      <c r="Y36">
        <f t="shared" ca="1" si="31"/>
        <v>-1.5409778092458606</v>
      </c>
      <c r="Z36">
        <f t="shared" ca="1" si="32"/>
        <v>0.74443452310008063</v>
      </c>
      <c r="AA36">
        <f t="shared" ca="1" si="32"/>
        <v>-1.1867207125444086</v>
      </c>
      <c r="AB36">
        <f t="shared" ca="1" si="32"/>
        <v>2.103548502506047</v>
      </c>
      <c r="AC36">
        <f t="shared" ca="1" si="32"/>
        <v>-0.56563513088264283</v>
      </c>
      <c r="AD36">
        <f t="shared" ca="1" si="32"/>
        <v>-0.26962401229255495</v>
      </c>
      <c r="AE36">
        <f t="shared" ca="1" si="32"/>
        <v>-0.98552809242275308</v>
      </c>
      <c r="AF36">
        <f t="shared" ca="1" si="32"/>
        <v>-7.6126406244648961E-2</v>
      </c>
      <c r="AG36">
        <f t="shared" ca="1" si="32"/>
        <v>-1.9408706167314949</v>
      </c>
      <c r="AH36">
        <f t="shared" ca="1" si="32"/>
        <v>-0.58072876333188228</v>
      </c>
      <c r="AI36">
        <f t="shared" ca="1" si="32"/>
        <v>-1.9761329339931026</v>
      </c>
      <c r="AJ36">
        <f t="shared" ca="1" si="33"/>
        <v>-1.0743371617053339</v>
      </c>
      <c r="AK36">
        <f t="shared" ca="1" si="33"/>
        <v>-9.5978979582546878E-2</v>
      </c>
      <c r="AL36">
        <f t="shared" ca="1" si="33"/>
        <v>-1.3329951591955751</v>
      </c>
      <c r="AM36">
        <f t="shared" ca="1" si="33"/>
        <v>-0.14687851533927201</v>
      </c>
      <c r="AN36">
        <f t="shared" ca="1" si="33"/>
        <v>0.76310359158986119</v>
      </c>
      <c r="AO36">
        <f t="shared" ca="1" si="33"/>
        <v>-2.3207387664257748</v>
      </c>
      <c r="AP36">
        <f t="shared" ca="1" si="33"/>
        <v>-0.5897003898137495</v>
      </c>
      <c r="AQ36">
        <f t="shared" ca="1" si="33"/>
        <v>1.2855474726410492</v>
      </c>
      <c r="AR36">
        <f t="shared" ca="1" si="33"/>
        <v>-0.22310459863618498</v>
      </c>
      <c r="AS36">
        <f t="shared" ca="1" si="33"/>
        <v>-1.0943682926588663</v>
      </c>
      <c r="AT36">
        <f t="shared" ca="1" si="34"/>
        <v>-0.11918078139132945</v>
      </c>
      <c r="AU36">
        <f t="shared" ca="1" si="34"/>
        <v>0.90093037261170095</v>
      </c>
      <c r="AV36">
        <f t="shared" ca="1" si="34"/>
        <v>-2.4411144812817169</v>
      </c>
      <c r="AW36">
        <f t="shared" ca="1" si="34"/>
        <v>-0.26022452162451093</v>
      </c>
      <c r="AX36">
        <f t="shared" ca="1" si="34"/>
        <v>-0.1678118933676348</v>
      </c>
      <c r="AY36">
        <f t="shared" ca="1" si="34"/>
        <v>-0.51666535735609664</v>
      </c>
      <c r="AZ36">
        <f t="shared" ca="1" si="34"/>
        <v>1.2210217377662151</v>
      </c>
      <c r="BA36">
        <f t="shared" ca="1" si="34"/>
        <v>9.1663244742565583E-2</v>
      </c>
      <c r="BB36">
        <f t="shared" ca="1" si="34"/>
        <v>-0.13171637157663355</v>
      </c>
      <c r="BC36">
        <f t="shared" ca="1" si="34"/>
        <v>1.2796911048535387</v>
      </c>
      <c r="BD36">
        <f t="shared" ca="1" si="35"/>
        <v>0.37544798884616287</v>
      </c>
      <c r="BE36">
        <f t="shared" ca="1" si="35"/>
        <v>-0.65951037971336968</v>
      </c>
      <c r="BF36">
        <f t="shared" ca="1" si="35"/>
        <v>-0.35039549322803726</v>
      </c>
      <c r="BG36">
        <f t="shared" ca="1" si="35"/>
        <v>-2.0875739187634061</v>
      </c>
      <c r="BH36">
        <f t="shared" ca="1" si="35"/>
        <v>-0.90568412401660059</v>
      </c>
      <c r="BI36">
        <f t="shared" ca="1" si="35"/>
        <v>0.48476034618195857</v>
      </c>
      <c r="BJ36">
        <f t="shared" ca="1" si="35"/>
        <v>1.1632571660905884</v>
      </c>
      <c r="BK36">
        <f t="shared" ca="1" si="35"/>
        <v>0.67690068727910546</v>
      </c>
      <c r="BL36">
        <f t="shared" ca="1" si="35"/>
        <v>0.46376656034633418</v>
      </c>
      <c r="BM36">
        <f t="shared" ca="1" si="35"/>
        <v>0.40438159597931717</v>
      </c>
      <c r="BN36">
        <f t="shared" ca="1" si="36"/>
        <v>-0.18950076596070103</v>
      </c>
      <c r="BO36">
        <f t="shared" ca="1" si="36"/>
        <v>-0.82033535127648094</v>
      </c>
      <c r="BP36">
        <f t="shared" ca="1" si="36"/>
        <v>-0.20012319727932046</v>
      </c>
      <c r="BQ36">
        <f t="shared" ca="1" si="36"/>
        <v>1.8795436349300045</v>
      </c>
      <c r="BR36">
        <f t="shared" ca="1" si="36"/>
        <v>2.4991529047442049</v>
      </c>
      <c r="BS36">
        <f t="shared" ca="1" si="36"/>
        <v>-0.96467457980424431</v>
      </c>
      <c r="BT36">
        <f t="shared" ca="1" si="36"/>
        <v>-0.21682972791751326</v>
      </c>
      <c r="BU36">
        <f t="shared" ca="1" si="36"/>
        <v>-0.31384065671810923</v>
      </c>
      <c r="BV36">
        <f t="shared" ca="1" si="36"/>
        <v>2.008454926779025</v>
      </c>
      <c r="BW36">
        <f t="shared" ca="1" si="36"/>
        <v>-0.51597061277563705</v>
      </c>
      <c r="BX36">
        <f t="shared" ca="1" si="37"/>
        <v>-0.26638643854872007</v>
      </c>
      <c r="BY36">
        <f t="shared" ca="1" si="37"/>
        <v>-0.45633044405034484</v>
      </c>
      <c r="BZ36">
        <f t="shared" ca="1" si="37"/>
        <v>-0.61051867669713233</v>
      </c>
      <c r="CA36">
        <f t="shared" ca="1" si="37"/>
        <v>1.0281772519108896</v>
      </c>
      <c r="CB36">
        <f t="shared" ca="1" si="37"/>
        <v>-0.55636665576212385</v>
      </c>
      <c r="CC36">
        <f t="shared" ca="1" si="37"/>
        <v>0.57530374168712428</v>
      </c>
      <c r="CD36">
        <f t="shared" ca="1" si="37"/>
        <v>-0.5497104820504124</v>
      </c>
      <c r="CE36">
        <f t="shared" ca="1" si="37"/>
        <v>-2.5958347481000521</v>
      </c>
      <c r="CF36">
        <f t="shared" ca="1" si="37"/>
        <v>0.42920384189790384</v>
      </c>
      <c r="CG36">
        <f t="shared" ca="1" si="37"/>
        <v>0.4328517931864686</v>
      </c>
      <c r="CH36">
        <f t="shared" ca="1" si="38"/>
        <v>-0.61827248308543969</v>
      </c>
      <c r="CI36">
        <f t="shared" ca="1" si="38"/>
        <v>-0.33103768268918798</v>
      </c>
      <c r="CJ36">
        <f t="shared" ca="1" si="38"/>
        <v>0.30905431830703728</v>
      </c>
      <c r="CK36">
        <f t="shared" ca="1" si="38"/>
        <v>-1.5643203994549368E-2</v>
      </c>
      <c r="CL36">
        <f t="shared" ca="1" si="38"/>
        <v>0.46315425115494663</v>
      </c>
      <c r="CM36">
        <f t="shared" ca="1" si="38"/>
        <v>0.23295246928507704</v>
      </c>
      <c r="CN36">
        <f t="shared" ca="1" si="38"/>
        <v>-0.56497962313724392</v>
      </c>
      <c r="CO36">
        <f t="shared" ca="1" si="38"/>
        <v>0.39828461348576627</v>
      </c>
      <c r="CP36">
        <f t="shared" ca="1" si="38"/>
        <v>-0.22064502927997606</v>
      </c>
      <c r="CQ36">
        <f t="shared" ca="1" si="38"/>
        <v>-4.2993894324008651E-2</v>
      </c>
      <c r="CR36">
        <f t="shared" ca="1" si="39"/>
        <v>-0.85740256922849434</v>
      </c>
      <c r="CS36">
        <f t="shared" ca="1" si="39"/>
        <v>-1.3674135740031426</v>
      </c>
      <c r="CT36">
        <f t="shared" ca="1" si="39"/>
        <v>1.1597836366177969</v>
      </c>
      <c r="CU36">
        <f t="shared" ca="1" si="39"/>
        <v>9.5870124771230397E-3</v>
      </c>
      <c r="CV36">
        <f t="shared" ca="1" si="39"/>
        <v>0.94377038519525713</v>
      </c>
      <c r="CW36">
        <f t="shared" ca="1" si="39"/>
        <v>3.9657337691543774E-2</v>
      </c>
      <c r="CX36">
        <f t="shared" ca="1" si="39"/>
        <v>0.10879680368114843</v>
      </c>
      <c r="CY36">
        <f t="shared" ca="1" si="39"/>
        <v>-4.5743857022093076E-2</v>
      </c>
      <c r="CZ36">
        <f t="shared" ca="1" si="39"/>
        <v>-0.47108453497665409</v>
      </c>
      <c r="DA36">
        <f t="shared" ca="1" si="39"/>
        <v>-0.6472644188313128</v>
      </c>
    </row>
    <row r="37" spans="5:105" x14ac:dyDescent="0.25">
      <c r="E37">
        <f>S_plus!L37</f>
        <v>0.35000000000000014</v>
      </c>
      <c r="F37">
        <f t="shared" ca="1" si="30"/>
        <v>1.2088838632624437</v>
      </c>
      <c r="G37">
        <f t="shared" ca="1" si="30"/>
        <v>0.43223800726379236</v>
      </c>
      <c r="H37">
        <f t="shared" ca="1" si="30"/>
        <v>1.7026788269085706</v>
      </c>
      <c r="I37">
        <f t="shared" ca="1" si="30"/>
        <v>0.12475651074661602</v>
      </c>
      <c r="J37">
        <f t="shared" ca="1" si="30"/>
        <v>0.4574956640227642</v>
      </c>
      <c r="K37">
        <f t="shared" ca="1" si="30"/>
        <v>-0.24590713789985705</v>
      </c>
      <c r="L37">
        <f t="shared" ca="1" si="30"/>
        <v>0.64527233561978459</v>
      </c>
      <c r="M37">
        <f t="shared" ca="1" si="30"/>
        <v>-1.6011409355330664</v>
      </c>
      <c r="N37">
        <f t="shared" ca="1" si="30"/>
        <v>-0.13907871040360897</v>
      </c>
      <c r="O37">
        <f t="shared" ca="1" si="30"/>
        <v>0.42737646621441133</v>
      </c>
      <c r="P37">
        <f t="shared" ca="1" si="31"/>
        <v>1.7760313318027614E-3</v>
      </c>
      <c r="Q37">
        <f t="shared" ca="1" si="31"/>
        <v>-0.24955961215270095</v>
      </c>
      <c r="R37">
        <f t="shared" ca="1" si="31"/>
        <v>-0.81120652251217895</v>
      </c>
      <c r="S37">
        <f t="shared" ca="1" si="31"/>
        <v>-0.92895461848090211</v>
      </c>
      <c r="T37">
        <f t="shared" ca="1" si="31"/>
        <v>-1.1024188425844303</v>
      </c>
      <c r="U37">
        <f t="shared" ca="1" si="31"/>
        <v>0.54421065687520331</v>
      </c>
      <c r="V37">
        <f t="shared" ca="1" si="31"/>
        <v>-0.12243062954125962</v>
      </c>
      <c r="W37">
        <f t="shared" ca="1" si="31"/>
        <v>-2.6810588720014336E-2</v>
      </c>
      <c r="X37">
        <f t="shared" ca="1" si="31"/>
        <v>1.6638652241951477</v>
      </c>
      <c r="Y37">
        <f t="shared" ca="1" si="31"/>
        <v>-1.4948725845169655</v>
      </c>
      <c r="Z37">
        <f t="shared" ca="1" si="32"/>
        <v>-1.4950326787548118</v>
      </c>
      <c r="AA37">
        <f t="shared" ca="1" si="32"/>
        <v>0.83882388733796531</v>
      </c>
      <c r="AB37">
        <f t="shared" ca="1" si="32"/>
        <v>-0.11126469001706786</v>
      </c>
      <c r="AC37">
        <f t="shared" ca="1" si="32"/>
        <v>-1.753384643376706</v>
      </c>
      <c r="AD37">
        <f t="shared" ca="1" si="32"/>
        <v>-2.606647954743293</v>
      </c>
      <c r="AE37">
        <f t="shared" ca="1" si="32"/>
        <v>-0.81459928004014781</v>
      </c>
      <c r="AF37">
        <f t="shared" ca="1" si="32"/>
        <v>-1.0232757855454244</v>
      </c>
      <c r="AG37">
        <f t="shared" ca="1" si="32"/>
        <v>0.39481176634620141</v>
      </c>
      <c r="AH37">
        <f t="shared" ca="1" si="32"/>
        <v>-0.2178474641185166</v>
      </c>
      <c r="AI37">
        <f t="shared" ca="1" si="32"/>
        <v>0.83436676401128906</v>
      </c>
      <c r="AJ37">
        <f t="shared" ca="1" si="33"/>
        <v>0.66399048295824148</v>
      </c>
      <c r="AK37">
        <f t="shared" ca="1" si="33"/>
        <v>-0.59603313775405331</v>
      </c>
      <c r="AL37">
        <f t="shared" ca="1" si="33"/>
        <v>-0.57135188324538699</v>
      </c>
      <c r="AM37">
        <f t="shared" ca="1" si="33"/>
        <v>0.59843946503019652</v>
      </c>
      <c r="AN37">
        <f t="shared" ca="1" si="33"/>
        <v>-1.957906346791433</v>
      </c>
      <c r="AO37">
        <f t="shared" ca="1" si="33"/>
        <v>2.1751187176557583</v>
      </c>
      <c r="AP37">
        <f t="shared" ca="1" si="33"/>
        <v>1.3960030394204221</v>
      </c>
      <c r="AQ37">
        <f t="shared" ca="1" si="33"/>
        <v>-0.73703697109011801</v>
      </c>
      <c r="AR37">
        <f t="shared" ca="1" si="33"/>
        <v>-0.30956837401023057</v>
      </c>
      <c r="AS37">
        <f t="shared" ca="1" si="33"/>
        <v>-0.95789604820805796</v>
      </c>
      <c r="AT37">
        <f t="shared" ca="1" si="34"/>
        <v>-0.31514432321710689</v>
      </c>
      <c r="AU37">
        <f t="shared" ca="1" si="34"/>
        <v>0.44339884174513805</v>
      </c>
      <c r="AV37">
        <f t="shared" ca="1" si="34"/>
        <v>-1.4304834958085666</v>
      </c>
      <c r="AW37">
        <f t="shared" ca="1" si="34"/>
        <v>0.75274993064883555</v>
      </c>
      <c r="AX37">
        <f t="shared" ca="1" si="34"/>
        <v>-1.2505565945104196</v>
      </c>
      <c r="AY37">
        <f t="shared" ca="1" si="34"/>
        <v>0.96599361066824774</v>
      </c>
      <c r="AZ37">
        <f t="shared" ca="1" si="34"/>
        <v>0.49253012491646508</v>
      </c>
      <c r="BA37">
        <f t="shared" ca="1" si="34"/>
        <v>2.1752853339070324</v>
      </c>
      <c r="BB37">
        <f t="shared" ca="1" si="34"/>
        <v>-2.0731547329595035</v>
      </c>
      <c r="BC37">
        <f t="shared" ca="1" si="34"/>
        <v>-0.79700983146224225</v>
      </c>
      <c r="BD37">
        <f t="shared" ca="1" si="35"/>
        <v>-1.8567739219964106</v>
      </c>
      <c r="BE37">
        <f t="shared" ca="1" si="35"/>
        <v>1.6720416252841528</v>
      </c>
      <c r="BF37">
        <f t="shared" ca="1" si="35"/>
        <v>-0.63313482456141856</v>
      </c>
      <c r="BG37">
        <f t="shared" ca="1" si="35"/>
        <v>-6.5687527783187774E-2</v>
      </c>
      <c r="BH37">
        <f t="shared" ca="1" si="35"/>
        <v>0.5311678318955726</v>
      </c>
      <c r="BI37">
        <f t="shared" ca="1" si="35"/>
        <v>0.45822781043964123</v>
      </c>
      <c r="BJ37">
        <f t="shared" ca="1" si="35"/>
        <v>-1.1860047525897528</v>
      </c>
      <c r="BK37">
        <f t="shared" ca="1" si="35"/>
        <v>-0.78561187514634367</v>
      </c>
      <c r="BL37">
        <f t="shared" ca="1" si="35"/>
        <v>-0.62273304470243684</v>
      </c>
      <c r="BM37">
        <f t="shared" ca="1" si="35"/>
        <v>-1.9867839836308987</v>
      </c>
      <c r="BN37">
        <f t="shared" ca="1" si="36"/>
        <v>0.62353198315109126</v>
      </c>
      <c r="BO37">
        <f t="shared" ca="1" si="36"/>
        <v>1.5071090684264095</v>
      </c>
      <c r="BP37">
        <f t="shared" ca="1" si="36"/>
        <v>1.1633573482066395</v>
      </c>
      <c r="BQ37">
        <f t="shared" ca="1" si="36"/>
        <v>-1.5385930678318804</v>
      </c>
      <c r="BR37">
        <f t="shared" ca="1" si="36"/>
        <v>-0.2844800443677592</v>
      </c>
      <c r="BS37">
        <f t="shared" ca="1" si="36"/>
        <v>-1.1860148351749826</v>
      </c>
      <c r="BT37">
        <f t="shared" ca="1" si="36"/>
        <v>0.49163402843127851</v>
      </c>
      <c r="BU37">
        <f t="shared" ca="1" si="36"/>
        <v>-1.9723601458620417</v>
      </c>
      <c r="BV37">
        <f t="shared" ca="1" si="36"/>
        <v>-9.5213552179929967E-2</v>
      </c>
      <c r="BW37">
        <f t="shared" ca="1" si="36"/>
        <v>-0.55207201612160639</v>
      </c>
      <c r="BX37">
        <f t="shared" ca="1" si="37"/>
        <v>0.39415893615265291</v>
      </c>
      <c r="BY37">
        <f t="shared" ca="1" si="37"/>
        <v>0.18242603739346361</v>
      </c>
      <c r="BZ37">
        <f t="shared" ca="1" si="37"/>
        <v>0.77633656313452359</v>
      </c>
      <c r="CA37">
        <f t="shared" ca="1" si="37"/>
        <v>-1.2865165812425419</v>
      </c>
      <c r="CB37">
        <f t="shared" ca="1" si="37"/>
        <v>0.3024014071833947</v>
      </c>
      <c r="CC37">
        <f t="shared" ca="1" si="37"/>
        <v>1.5461595452366479</v>
      </c>
      <c r="CD37">
        <f t="shared" ca="1" si="37"/>
        <v>-0.3403112924463812</v>
      </c>
      <c r="CE37">
        <f t="shared" ca="1" si="37"/>
        <v>-0.67540384384021257</v>
      </c>
      <c r="CF37">
        <f t="shared" ca="1" si="37"/>
        <v>0.73302440204778152</v>
      </c>
      <c r="CG37">
        <f t="shared" ca="1" si="37"/>
        <v>0.61544944519796285</v>
      </c>
      <c r="CH37">
        <f t="shared" ca="1" si="38"/>
        <v>-0.108060344276973</v>
      </c>
      <c r="CI37">
        <f t="shared" ca="1" si="38"/>
        <v>-0.76415859966068878</v>
      </c>
      <c r="CJ37">
        <f t="shared" ca="1" si="38"/>
        <v>0.35646285564864183</v>
      </c>
      <c r="CK37">
        <f t="shared" ca="1" si="38"/>
        <v>-0.163365913763066</v>
      </c>
      <c r="CL37">
        <f t="shared" ca="1" si="38"/>
        <v>-0.34307443853545305</v>
      </c>
      <c r="CM37">
        <f t="shared" ca="1" si="38"/>
        <v>0.60898653462477881</v>
      </c>
      <c r="CN37">
        <f t="shared" ca="1" si="38"/>
        <v>-1.1627376555120257</v>
      </c>
      <c r="CO37">
        <f t="shared" ca="1" si="38"/>
        <v>0.47913779068056772</v>
      </c>
      <c r="CP37">
        <f t="shared" ca="1" si="38"/>
        <v>0.29653855241758509</v>
      </c>
      <c r="CQ37">
        <f t="shared" ca="1" si="38"/>
        <v>0.22524492451455133</v>
      </c>
      <c r="CR37">
        <f t="shared" ca="1" si="39"/>
        <v>-0.53110081814735222</v>
      </c>
      <c r="CS37">
        <f t="shared" ca="1" si="39"/>
        <v>-0.36367122673726643</v>
      </c>
      <c r="CT37">
        <f t="shared" ca="1" si="39"/>
        <v>-1.1120518160540451</v>
      </c>
      <c r="CU37">
        <f t="shared" ca="1" si="39"/>
        <v>3.1764340013248002E-2</v>
      </c>
      <c r="CV37">
        <f t="shared" ca="1" si="39"/>
        <v>-1.9339747535955865</v>
      </c>
      <c r="CW37">
        <f t="shared" ca="1" si="39"/>
        <v>5.9517086587025585E-2</v>
      </c>
      <c r="CX37">
        <f t="shared" ca="1" si="39"/>
        <v>-7.9965727225435837E-2</v>
      </c>
      <c r="CY37">
        <f t="shared" ca="1" si="39"/>
        <v>1.4280554173097841</v>
      </c>
      <c r="CZ37">
        <f t="shared" ca="1" si="39"/>
        <v>0.50825130501518168</v>
      </c>
      <c r="DA37">
        <f t="shared" ca="1" si="39"/>
        <v>0.86125469207345096</v>
      </c>
    </row>
    <row r="38" spans="5:105" x14ac:dyDescent="0.25">
      <c r="E38">
        <f>S_plus!L38</f>
        <v>0.36000000000000015</v>
      </c>
      <c r="F38">
        <f t="shared" ca="1" si="30"/>
        <v>1.3790741608673254</v>
      </c>
      <c r="G38">
        <f t="shared" ca="1" si="30"/>
        <v>5.8303126598711626E-2</v>
      </c>
      <c r="H38">
        <f t="shared" ca="1" si="30"/>
        <v>-0.12077310477138604</v>
      </c>
      <c r="I38">
        <f t="shared" ca="1" si="30"/>
        <v>-0.75553035808773716</v>
      </c>
      <c r="J38">
        <f t="shared" ca="1" si="30"/>
        <v>0.76795906263804459</v>
      </c>
      <c r="K38">
        <f t="shared" ca="1" si="30"/>
        <v>1.1530033359004743</v>
      </c>
      <c r="L38">
        <f t="shared" ca="1" si="30"/>
        <v>0.80743767039608716</v>
      </c>
      <c r="M38">
        <f t="shared" ca="1" si="30"/>
        <v>0.18387854253058866</v>
      </c>
      <c r="N38">
        <f t="shared" ca="1" si="30"/>
        <v>-0.58322266551201052</v>
      </c>
      <c r="O38">
        <f t="shared" ca="1" si="30"/>
        <v>1.6260335412267894</v>
      </c>
      <c r="P38">
        <f t="shared" ca="1" si="31"/>
        <v>-1.5687031182688549</v>
      </c>
      <c r="Q38">
        <f t="shared" ca="1" si="31"/>
        <v>0.53707451253664917</v>
      </c>
      <c r="R38">
        <f t="shared" ca="1" si="31"/>
        <v>0.21026227349379706</v>
      </c>
      <c r="S38">
        <f t="shared" ca="1" si="31"/>
        <v>-5.2957914042559083E-2</v>
      </c>
      <c r="T38">
        <f t="shared" ca="1" si="31"/>
        <v>-0.71572338253707257</v>
      </c>
      <c r="U38">
        <f t="shared" ca="1" si="31"/>
        <v>4.2863186493313658E-2</v>
      </c>
      <c r="V38">
        <f t="shared" ca="1" si="31"/>
        <v>-0.88506027529263098</v>
      </c>
      <c r="W38">
        <f t="shared" ca="1" si="31"/>
        <v>0.25944904849106737</v>
      </c>
      <c r="X38">
        <f t="shared" ca="1" si="31"/>
        <v>0.10659512431766517</v>
      </c>
      <c r="Y38">
        <f t="shared" ca="1" si="31"/>
        <v>0.70405557098348448</v>
      </c>
      <c r="Z38">
        <f t="shared" ca="1" si="32"/>
        <v>-0.84977957862507192</v>
      </c>
      <c r="AA38">
        <f t="shared" ca="1" si="32"/>
        <v>1.0959970369344834</v>
      </c>
      <c r="AB38">
        <f t="shared" ca="1" si="32"/>
        <v>-0.88631578610068451</v>
      </c>
      <c r="AC38">
        <f t="shared" ca="1" si="32"/>
        <v>-0.30804504262489768</v>
      </c>
      <c r="AD38">
        <f t="shared" ca="1" si="32"/>
        <v>-1.2790874291322063</v>
      </c>
      <c r="AE38">
        <f t="shared" ca="1" si="32"/>
        <v>-1.6433524595985107</v>
      </c>
      <c r="AF38">
        <f t="shared" ca="1" si="32"/>
        <v>-1.3235315000160264</v>
      </c>
      <c r="AG38">
        <f t="shared" ca="1" si="32"/>
        <v>-0.20459585332703953</v>
      </c>
      <c r="AH38">
        <f t="shared" ca="1" si="32"/>
        <v>0.66474398763239062</v>
      </c>
      <c r="AI38">
        <f t="shared" ca="1" si="32"/>
        <v>4.6457937988252491E-2</v>
      </c>
      <c r="AJ38">
        <f t="shared" ca="1" si="33"/>
        <v>1.6049018566008306</v>
      </c>
      <c r="AK38">
        <f t="shared" ca="1" si="33"/>
        <v>-2.108689384089065</v>
      </c>
      <c r="AL38">
        <f t="shared" ca="1" si="33"/>
        <v>-1.5443511331703723</v>
      </c>
      <c r="AM38">
        <f t="shared" ca="1" si="33"/>
        <v>-0.81181298081944364</v>
      </c>
      <c r="AN38">
        <f t="shared" ca="1" si="33"/>
        <v>-0.12776280245187657</v>
      </c>
      <c r="AO38">
        <f t="shared" ca="1" si="33"/>
        <v>-1.3272356151589464</v>
      </c>
      <c r="AP38">
        <f t="shared" ca="1" si="33"/>
        <v>0.61825091043081692</v>
      </c>
      <c r="AQ38">
        <f t="shared" ca="1" si="33"/>
        <v>1.4880524310807723</v>
      </c>
      <c r="AR38">
        <f t="shared" ca="1" si="33"/>
        <v>0.3925346100299118</v>
      </c>
      <c r="AS38">
        <f t="shared" ca="1" si="33"/>
        <v>-0.16971600779461973</v>
      </c>
      <c r="AT38">
        <f t="shared" ca="1" si="34"/>
        <v>-0.18931154889057633</v>
      </c>
      <c r="AU38">
        <f t="shared" ca="1" si="34"/>
        <v>-1.1319694616884421</v>
      </c>
      <c r="AV38">
        <f t="shared" ca="1" si="34"/>
        <v>-1.2643264341761131</v>
      </c>
      <c r="AW38">
        <f t="shared" ca="1" si="34"/>
        <v>0.52248616138727688</v>
      </c>
      <c r="AX38">
        <f t="shared" ca="1" si="34"/>
        <v>0.11184187533819773</v>
      </c>
      <c r="AY38">
        <f t="shared" ca="1" si="34"/>
        <v>1.2824948818299189</v>
      </c>
      <c r="AZ38">
        <f t="shared" ca="1" si="34"/>
        <v>-0.8105421058850979</v>
      </c>
      <c r="BA38">
        <f t="shared" ca="1" si="34"/>
        <v>9.1815754684729398E-2</v>
      </c>
      <c r="BB38">
        <f t="shared" ca="1" si="34"/>
        <v>-1.3908244295032739</v>
      </c>
      <c r="BC38">
        <f t="shared" ca="1" si="34"/>
        <v>-0.46425062002437545</v>
      </c>
      <c r="BD38">
        <f t="shared" ca="1" si="35"/>
        <v>-0.8566530037909581</v>
      </c>
      <c r="BE38">
        <f t="shared" ca="1" si="35"/>
        <v>0.79237075503000565</v>
      </c>
      <c r="BF38">
        <f t="shared" ca="1" si="35"/>
        <v>-0.84458048598569624</v>
      </c>
      <c r="BG38">
        <f t="shared" ca="1" si="35"/>
        <v>-0.21577491643686891</v>
      </c>
      <c r="BH38">
        <f t="shared" ca="1" si="35"/>
        <v>-0.57455979235491195</v>
      </c>
      <c r="BI38">
        <f t="shared" ca="1" si="35"/>
        <v>-1.9021152842746873</v>
      </c>
      <c r="BJ38">
        <f t="shared" ca="1" si="35"/>
        <v>0.52553140803304288</v>
      </c>
      <c r="BK38">
        <f t="shared" ca="1" si="35"/>
        <v>0.59491905908308551</v>
      </c>
      <c r="BL38">
        <f t="shared" ca="1" si="35"/>
        <v>-0.8652696652105849</v>
      </c>
      <c r="BM38">
        <f t="shared" ca="1" si="35"/>
        <v>-0.27759891752669735</v>
      </c>
      <c r="BN38">
        <f t="shared" ca="1" si="36"/>
        <v>-8.4644862107140201E-2</v>
      </c>
      <c r="BO38">
        <f t="shared" ca="1" si="36"/>
        <v>-2.0512614347526528</v>
      </c>
      <c r="BP38">
        <f t="shared" ca="1" si="36"/>
        <v>0.79562638768867111</v>
      </c>
      <c r="BQ38">
        <f t="shared" ca="1" si="36"/>
        <v>-0.62699571168906054</v>
      </c>
      <c r="BR38">
        <f t="shared" ca="1" si="36"/>
        <v>0.76661611779545402</v>
      </c>
      <c r="BS38">
        <f t="shared" ca="1" si="36"/>
        <v>-0.73507965217049609</v>
      </c>
      <c r="BT38">
        <f t="shared" ca="1" si="36"/>
        <v>0.71103235234256867</v>
      </c>
      <c r="BU38">
        <f t="shared" ca="1" si="36"/>
        <v>-1.0430552046277239</v>
      </c>
      <c r="BV38">
        <f t="shared" ca="1" si="36"/>
        <v>-1.0992802127224985</v>
      </c>
      <c r="BW38">
        <f t="shared" ca="1" si="36"/>
        <v>-1.1047201903180341</v>
      </c>
      <c r="BX38">
        <f t="shared" ca="1" si="37"/>
        <v>-0.63178864132723955</v>
      </c>
      <c r="BY38">
        <f t="shared" ca="1" si="37"/>
        <v>-0.22094172735778686</v>
      </c>
      <c r="BZ38">
        <f t="shared" ca="1" si="37"/>
        <v>0.97072039111332853</v>
      </c>
      <c r="CA38">
        <f t="shared" ca="1" si="37"/>
        <v>0.19497036572468787</v>
      </c>
      <c r="CB38">
        <f t="shared" ca="1" si="37"/>
        <v>-0.55910505777675468</v>
      </c>
      <c r="CC38">
        <f t="shared" ca="1" si="37"/>
        <v>-0.62180405089935553</v>
      </c>
      <c r="CD38">
        <f t="shared" ca="1" si="37"/>
        <v>0.41913252126705453</v>
      </c>
      <c r="CE38">
        <f t="shared" ca="1" si="37"/>
        <v>-1.9795564987329031</v>
      </c>
      <c r="CF38">
        <f t="shared" ca="1" si="37"/>
        <v>-2.2750840275314834</v>
      </c>
      <c r="CG38">
        <f t="shared" ca="1" si="37"/>
        <v>-0.38462325571537165</v>
      </c>
      <c r="CH38">
        <f t="shared" ca="1" si="38"/>
        <v>1.7436460847441724</v>
      </c>
      <c r="CI38">
        <f t="shared" ca="1" si="38"/>
        <v>0.96596262033041258</v>
      </c>
      <c r="CJ38">
        <f t="shared" ca="1" si="38"/>
        <v>1.6354180963030112</v>
      </c>
      <c r="CK38">
        <f t="shared" ca="1" si="38"/>
        <v>-0.22032381804343582</v>
      </c>
      <c r="CL38">
        <f t="shared" ca="1" si="38"/>
        <v>-0.13599670346790291</v>
      </c>
      <c r="CM38">
        <f t="shared" ca="1" si="38"/>
        <v>-0.38600504702782124</v>
      </c>
      <c r="CN38">
        <f t="shared" ca="1" si="38"/>
        <v>-0.27011287908958209</v>
      </c>
      <c r="CO38">
        <f t="shared" ca="1" si="38"/>
        <v>-0.50080275461500645</v>
      </c>
      <c r="CP38">
        <f t="shared" ca="1" si="38"/>
        <v>0.74387873857751707</v>
      </c>
      <c r="CQ38">
        <f t="shared" ca="1" si="38"/>
        <v>0.22521352565170982</v>
      </c>
      <c r="CR38">
        <f t="shared" ca="1" si="39"/>
        <v>5.361113826712384E-2</v>
      </c>
      <c r="CS38">
        <f t="shared" ca="1" si="39"/>
        <v>1.7103034630736638</v>
      </c>
      <c r="CT38">
        <f t="shared" ca="1" si="39"/>
        <v>0.42969901701102281</v>
      </c>
      <c r="CU38">
        <f t="shared" ca="1" si="39"/>
        <v>-0.57127807821126952</v>
      </c>
      <c r="CV38">
        <f t="shared" ca="1" si="39"/>
        <v>-1.2427849472474251</v>
      </c>
      <c r="CW38">
        <f t="shared" ca="1" si="39"/>
        <v>-1.287027678918554</v>
      </c>
      <c r="CX38">
        <f t="shared" ca="1" si="39"/>
        <v>-0.14729100816305113</v>
      </c>
      <c r="CY38">
        <f t="shared" ca="1" si="39"/>
        <v>0.96965403601718414</v>
      </c>
      <c r="CZ38">
        <f t="shared" ca="1" si="39"/>
        <v>0.64809338747837142</v>
      </c>
      <c r="DA38">
        <f t="shared" ca="1" si="39"/>
        <v>-1.0054627503063367</v>
      </c>
    </row>
    <row r="39" spans="5:105" x14ac:dyDescent="0.25">
      <c r="E39">
        <f>S_plus!L39</f>
        <v>0.37000000000000016</v>
      </c>
      <c r="F39">
        <f t="shared" ca="1" si="30"/>
        <v>0.81094838581033601</v>
      </c>
      <c r="G39">
        <f t="shared" ca="1" si="30"/>
        <v>0.16847778480773307</v>
      </c>
      <c r="H39">
        <f t="shared" ca="1" si="30"/>
        <v>-0.84113859511265399</v>
      </c>
      <c r="I39">
        <f t="shared" ca="1" si="30"/>
        <v>1.1259032522320926</v>
      </c>
      <c r="J39">
        <f t="shared" ca="1" si="30"/>
        <v>-0.70590315034470286</v>
      </c>
      <c r="K39">
        <f t="shared" ca="1" si="30"/>
        <v>-0.90180047897318349</v>
      </c>
      <c r="L39">
        <f t="shared" ca="1" si="30"/>
        <v>0.83753766690378484</v>
      </c>
      <c r="M39">
        <f t="shared" ca="1" si="30"/>
        <v>-0.94913126122905023</v>
      </c>
      <c r="N39">
        <f t="shared" ca="1" si="30"/>
        <v>0.73002801775483717</v>
      </c>
      <c r="O39">
        <f t="shared" ca="1" si="30"/>
        <v>-2.3383834140505297</v>
      </c>
      <c r="P39">
        <f t="shared" ca="1" si="31"/>
        <v>-1.5942454679987033</v>
      </c>
      <c r="Q39">
        <f t="shared" ca="1" si="31"/>
        <v>0.44435478688897512</v>
      </c>
      <c r="R39">
        <f t="shared" ca="1" si="31"/>
        <v>0.46301750285309756</v>
      </c>
      <c r="S39">
        <f t="shared" ca="1" si="31"/>
        <v>-0.98012441954472307</v>
      </c>
      <c r="T39">
        <f t="shared" ca="1" si="31"/>
        <v>-0.489715098430622</v>
      </c>
      <c r="U39">
        <f t="shared" ca="1" si="31"/>
        <v>1.6363347047204733E-2</v>
      </c>
      <c r="V39">
        <f t="shared" ca="1" si="31"/>
        <v>0.72235405744922265</v>
      </c>
      <c r="W39">
        <f t="shared" ca="1" si="31"/>
        <v>-0.7992550792956572</v>
      </c>
      <c r="X39">
        <f t="shared" ca="1" si="31"/>
        <v>0.69059133728359601</v>
      </c>
      <c r="Y39">
        <f t="shared" ca="1" si="31"/>
        <v>5.3989558574182646E-2</v>
      </c>
      <c r="Z39">
        <f t="shared" ca="1" si="32"/>
        <v>1.2244959495391319</v>
      </c>
      <c r="AA39">
        <f t="shared" ca="1" si="32"/>
        <v>0.29443663972452833</v>
      </c>
      <c r="AB39">
        <f t="shared" ca="1" si="32"/>
        <v>1.6046289133436531</v>
      </c>
      <c r="AC39">
        <f t="shared" ca="1" si="32"/>
        <v>0.84088766588214359</v>
      </c>
      <c r="AD39">
        <f t="shared" ca="1" si="32"/>
        <v>-0.40087650439464495</v>
      </c>
      <c r="AE39">
        <f t="shared" ca="1" si="32"/>
        <v>1.2245935811239286</v>
      </c>
      <c r="AF39">
        <f t="shared" ca="1" si="32"/>
        <v>1.1943350255705649</v>
      </c>
      <c r="AG39">
        <f t="shared" ca="1" si="32"/>
        <v>3.5953537779230595</v>
      </c>
      <c r="AH39">
        <f t="shared" ca="1" si="32"/>
        <v>-0.41976953613032303</v>
      </c>
      <c r="AI39">
        <f t="shared" ca="1" si="32"/>
        <v>-0.39978777614274319</v>
      </c>
      <c r="AJ39">
        <f t="shared" ca="1" si="33"/>
        <v>0.18130855925669137</v>
      </c>
      <c r="AK39">
        <f t="shared" ca="1" si="33"/>
        <v>-0.76176825634376488</v>
      </c>
      <c r="AL39">
        <f t="shared" ca="1" si="33"/>
        <v>-0.25570565574637782</v>
      </c>
      <c r="AM39">
        <f t="shared" ca="1" si="33"/>
        <v>0.21397000417093884</v>
      </c>
      <c r="AN39">
        <f t="shared" ca="1" si="33"/>
        <v>1.655972518393894</v>
      </c>
      <c r="AO39">
        <f t="shared" ca="1" si="33"/>
        <v>-1.4948467350967023</v>
      </c>
      <c r="AP39">
        <f t="shared" ca="1" si="33"/>
        <v>-0.72163805179229978</v>
      </c>
      <c r="AQ39">
        <f t="shared" ca="1" si="33"/>
        <v>0.12718955357356043</v>
      </c>
      <c r="AR39">
        <f t="shared" ca="1" si="33"/>
        <v>-1.042886841416347</v>
      </c>
      <c r="AS39">
        <f t="shared" ca="1" si="33"/>
        <v>-0.87791016491768392</v>
      </c>
      <c r="AT39">
        <f t="shared" ca="1" si="34"/>
        <v>0.54594973637756972</v>
      </c>
      <c r="AU39">
        <f t="shared" ca="1" si="34"/>
        <v>-0.25731842311245956</v>
      </c>
      <c r="AV39">
        <f t="shared" ca="1" si="34"/>
        <v>-0.28233334323452658</v>
      </c>
      <c r="AW39">
        <f t="shared" ca="1" si="34"/>
        <v>-0.94743524976941074</v>
      </c>
      <c r="AX39">
        <f t="shared" ca="1" si="34"/>
        <v>-3.1439822168736448E-2</v>
      </c>
      <c r="AY39">
        <f t="shared" ca="1" si="34"/>
        <v>0.88060706975427461</v>
      </c>
      <c r="AZ39">
        <f t="shared" ca="1" si="34"/>
        <v>1.1553493776002313</v>
      </c>
      <c r="BA39">
        <f t="shared" ca="1" si="34"/>
        <v>0.72859830171276296</v>
      </c>
      <c r="BB39">
        <f t="shared" ca="1" si="34"/>
        <v>2.0215840352141101</v>
      </c>
      <c r="BC39">
        <f t="shared" ca="1" si="34"/>
        <v>-1.6166289185700897</v>
      </c>
      <c r="BD39">
        <f t="shared" ca="1" si="35"/>
        <v>1.0945601325112801</v>
      </c>
      <c r="BE39">
        <f t="shared" ca="1" si="35"/>
        <v>-1.1201425041970039</v>
      </c>
      <c r="BF39">
        <f t="shared" ca="1" si="35"/>
        <v>0.5931754261913027</v>
      </c>
      <c r="BG39">
        <f t="shared" ca="1" si="35"/>
        <v>-0.19181060824185825</v>
      </c>
      <c r="BH39">
        <f t="shared" ca="1" si="35"/>
        <v>-0.51053320186701345</v>
      </c>
      <c r="BI39">
        <f t="shared" ca="1" si="35"/>
        <v>-0.34582621496402327</v>
      </c>
      <c r="BJ39">
        <f t="shared" ca="1" si="35"/>
        <v>-1.5859837500902778</v>
      </c>
      <c r="BK39">
        <f t="shared" ca="1" si="35"/>
        <v>1.3593878947591211</v>
      </c>
      <c r="BL39">
        <f t="shared" ca="1" si="35"/>
        <v>-8.5763295662016958E-2</v>
      </c>
      <c r="BM39">
        <f t="shared" ca="1" si="35"/>
        <v>0.87296411256744122</v>
      </c>
      <c r="BN39">
        <f t="shared" ca="1" si="36"/>
        <v>-1.419406045407988</v>
      </c>
      <c r="BO39">
        <f t="shared" ca="1" si="36"/>
        <v>-0.19841549017843882</v>
      </c>
      <c r="BP39">
        <f t="shared" ca="1" si="36"/>
        <v>-0.49751506416770447</v>
      </c>
      <c r="BQ39">
        <f t="shared" ca="1" si="36"/>
        <v>2.8960023999989648</v>
      </c>
      <c r="BR39">
        <f t="shared" ca="1" si="36"/>
        <v>-0.21983122785591508</v>
      </c>
      <c r="BS39">
        <f t="shared" ca="1" si="36"/>
        <v>-7.1677430903572079E-2</v>
      </c>
      <c r="BT39">
        <f t="shared" ca="1" si="36"/>
        <v>1.0994643898801857</v>
      </c>
      <c r="BU39">
        <f t="shared" ca="1" si="36"/>
        <v>-0.74899900897498484</v>
      </c>
      <c r="BV39">
        <f t="shared" ca="1" si="36"/>
        <v>0.17387089955789625</v>
      </c>
      <c r="BW39">
        <f t="shared" ca="1" si="36"/>
        <v>1.1963315986374757E-2</v>
      </c>
      <c r="BX39">
        <f t="shared" ca="1" si="37"/>
        <v>0.18114621125179295</v>
      </c>
      <c r="BY39">
        <f t="shared" ca="1" si="37"/>
        <v>0.86029497087262219</v>
      </c>
      <c r="BZ39">
        <f t="shared" ca="1" si="37"/>
        <v>0.86031435885688834</v>
      </c>
      <c r="CA39">
        <f t="shared" ca="1" si="37"/>
        <v>0.78510619340494525</v>
      </c>
      <c r="CB39">
        <f t="shared" ca="1" si="37"/>
        <v>-0.50948640530846034</v>
      </c>
      <c r="CC39">
        <f t="shared" ca="1" si="37"/>
        <v>0.35769292154267446</v>
      </c>
      <c r="CD39">
        <f t="shared" ca="1" si="37"/>
        <v>0.76272419517995915</v>
      </c>
      <c r="CE39">
        <f t="shared" ca="1" si="37"/>
        <v>5.9810967145207762E-2</v>
      </c>
      <c r="CF39">
        <f t="shared" ca="1" si="37"/>
        <v>-2.7480881593054765</v>
      </c>
      <c r="CG39">
        <f t="shared" ca="1" si="37"/>
        <v>8.6520249456158632E-2</v>
      </c>
      <c r="CH39">
        <f t="shared" ca="1" si="38"/>
        <v>-4.4937485857611786E-2</v>
      </c>
      <c r="CI39">
        <f t="shared" ca="1" si="38"/>
        <v>0.63086674821314837</v>
      </c>
      <c r="CJ39">
        <f t="shared" ca="1" si="38"/>
        <v>-0.51130680155087849</v>
      </c>
      <c r="CK39">
        <f t="shared" ca="1" si="38"/>
        <v>-0.20195539260406165</v>
      </c>
      <c r="CL39">
        <f t="shared" ca="1" si="38"/>
        <v>-1.2803274076786102</v>
      </c>
      <c r="CM39">
        <f t="shared" ca="1" si="38"/>
        <v>0.52026667472053356</v>
      </c>
      <c r="CN39">
        <f t="shared" ca="1" si="38"/>
        <v>-0.37815945973819654</v>
      </c>
      <c r="CO39">
        <f t="shared" ca="1" si="38"/>
        <v>5.8370447355217049E-2</v>
      </c>
      <c r="CP39">
        <f t="shared" ca="1" si="38"/>
        <v>-0.40806045463385476</v>
      </c>
      <c r="CQ39">
        <f t="shared" ca="1" si="38"/>
        <v>0.94344247297427586</v>
      </c>
      <c r="CR39">
        <f t="shared" ca="1" si="39"/>
        <v>1.2956303811627621</v>
      </c>
      <c r="CS39">
        <f t="shared" ca="1" si="39"/>
        <v>-0.40089197776978236</v>
      </c>
      <c r="CT39">
        <f t="shared" ca="1" si="39"/>
        <v>6.3752457217874758E-2</v>
      </c>
      <c r="CU39">
        <f t="shared" ca="1" si="39"/>
        <v>-1.6340244936760424</v>
      </c>
      <c r="CV39">
        <f t="shared" ca="1" si="39"/>
        <v>-1.9754218281017601</v>
      </c>
      <c r="CW39">
        <f t="shared" ca="1" si="39"/>
        <v>-1.0311896343593205</v>
      </c>
      <c r="CX39">
        <f t="shared" ca="1" si="39"/>
        <v>-0.62023617283539956</v>
      </c>
      <c r="CY39">
        <f t="shared" ca="1" si="39"/>
        <v>-1.1356466960224403</v>
      </c>
      <c r="CZ39">
        <f t="shared" ca="1" si="39"/>
        <v>0.80936401096049737</v>
      </c>
      <c r="DA39">
        <f t="shared" ca="1" si="39"/>
        <v>0.93185240453334883</v>
      </c>
    </row>
    <row r="40" spans="5:105" x14ac:dyDescent="0.25">
      <c r="E40">
        <f>S_plus!L40</f>
        <v>0.38000000000000017</v>
      </c>
      <c r="F40">
        <f t="shared" ca="1" si="30"/>
        <v>-0.23528731242051329</v>
      </c>
      <c r="G40">
        <f t="shared" ca="1" si="30"/>
        <v>-1.7501102957773209</v>
      </c>
      <c r="H40">
        <f t="shared" ca="1" si="30"/>
        <v>-1.8403599527587515E-2</v>
      </c>
      <c r="I40">
        <f t="shared" ca="1" si="30"/>
        <v>0.54494194397404583</v>
      </c>
      <c r="J40">
        <f t="shared" ca="1" si="30"/>
        <v>-8.6381265671755927E-2</v>
      </c>
      <c r="K40">
        <f t="shared" ca="1" si="30"/>
        <v>0.24227605491942364</v>
      </c>
      <c r="L40">
        <f t="shared" ca="1" si="30"/>
        <v>-0.20444431997250992</v>
      </c>
      <c r="M40">
        <f t="shared" ca="1" si="30"/>
        <v>-0.86623883192234752</v>
      </c>
      <c r="N40">
        <f t="shared" ca="1" si="30"/>
        <v>-0.50482580515184694</v>
      </c>
      <c r="O40">
        <f t="shared" ca="1" si="30"/>
        <v>1.9583258440889466</v>
      </c>
      <c r="P40">
        <f t="shared" ca="1" si="31"/>
        <v>0.80071380722865315</v>
      </c>
      <c r="Q40">
        <f t="shared" ca="1" si="31"/>
        <v>-0.67629527855311822</v>
      </c>
      <c r="R40">
        <f t="shared" ca="1" si="31"/>
        <v>-2.4496151988031323</v>
      </c>
      <c r="S40">
        <f t="shared" ca="1" si="31"/>
        <v>1.4492115988482583</v>
      </c>
      <c r="T40">
        <f t="shared" ca="1" si="31"/>
        <v>1.5904489945431524</v>
      </c>
      <c r="U40">
        <f t="shared" ca="1" si="31"/>
        <v>-1.0119027457559091</v>
      </c>
      <c r="V40">
        <f t="shared" ca="1" si="31"/>
        <v>-0.17292298732511516</v>
      </c>
      <c r="W40">
        <f t="shared" ca="1" si="31"/>
        <v>-0.57297231104635782</v>
      </c>
      <c r="X40">
        <f t="shared" ca="1" si="31"/>
        <v>-1.0825418621764109</v>
      </c>
      <c r="Y40">
        <f t="shared" ca="1" si="31"/>
        <v>0.55750052329376831</v>
      </c>
      <c r="Z40">
        <f t="shared" ca="1" si="32"/>
        <v>0.87337107291327454</v>
      </c>
      <c r="AA40">
        <f t="shared" ca="1" si="32"/>
        <v>0.88580911663425643</v>
      </c>
      <c r="AB40">
        <f t="shared" ca="1" si="32"/>
        <v>-1.3581831213488866</v>
      </c>
      <c r="AC40">
        <f t="shared" ca="1" si="32"/>
        <v>1.49111830334164</v>
      </c>
      <c r="AD40">
        <f t="shared" ca="1" si="32"/>
        <v>-0.9987458822697699</v>
      </c>
      <c r="AE40">
        <f t="shared" ca="1" si="32"/>
        <v>0.79895750690877931</v>
      </c>
      <c r="AF40">
        <f t="shared" ca="1" si="32"/>
        <v>-1.6857921099791058</v>
      </c>
      <c r="AG40">
        <f t="shared" ca="1" si="32"/>
        <v>-1.7788685756264784</v>
      </c>
      <c r="AH40">
        <f t="shared" ca="1" si="32"/>
        <v>-1.125730720405357</v>
      </c>
      <c r="AI40">
        <f t="shared" ca="1" si="32"/>
        <v>-0.17918551546040515</v>
      </c>
      <c r="AJ40">
        <f t="shared" ca="1" si="33"/>
        <v>-1.0181302385137807</v>
      </c>
      <c r="AK40">
        <f t="shared" ca="1" si="33"/>
        <v>0.19839789406830324</v>
      </c>
      <c r="AL40">
        <f t="shared" ca="1" si="33"/>
        <v>-0.86175700458602134</v>
      </c>
      <c r="AM40">
        <f t="shared" ca="1" si="33"/>
        <v>-0.1053409045336479</v>
      </c>
      <c r="AN40">
        <f t="shared" ca="1" si="33"/>
        <v>-0.60732688991549233</v>
      </c>
      <c r="AO40">
        <f t="shared" ca="1" si="33"/>
        <v>0.29386587777113959</v>
      </c>
      <c r="AP40">
        <f t="shared" ca="1" si="33"/>
        <v>-0.88016537122600214</v>
      </c>
      <c r="AQ40">
        <f t="shared" ca="1" si="33"/>
        <v>0.26006906070288899</v>
      </c>
      <c r="AR40">
        <f t="shared" ca="1" si="33"/>
        <v>-0.52848944167574186</v>
      </c>
      <c r="AS40">
        <f t="shared" ca="1" si="33"/>
        <v>1.2101704784995539</v>
      </c>
      <c r="AT40">
        <f t="shared" ca="1" si="34"/>
        <v>1.0684625228011868</v>
      </c>
      <c r="AU40">
        <f t="shared" ca="1" si="34"/>
        <v>0.3250677484046941</v>
      </c>
      <c r="AV40">
        <f t="shared" ca="1" si="34"/>
        <v>0.17371300924134966</v>
      </c>
      <c r="AW40">
        <f t="shared" ca="1" si="34"/>
        <v>0.97726711832158197</v>
      </c>
      <c r="AX40">
        <f t="shared" ca="1" si="34"/>
        <v>0.83765065724333754</v>
      </c>
      <c r="AY40">
        <f t="shared" ca="1" si="34"/>
        <v>0.2529468088935764</v>
      </c>
      <c r="AZ40">
        <f t="shared" ca="1" si="34"/>
        <v>1.4852608175675739</v>
      </c>
      <c r="BA40">
        <f t="shared" ca="1" si="34"/>
        <v>1.3675306628234705</v>
      </c>
      <c r="BB40">
        <f t="shared" ca="1" si="34"/>
        <v>2.3464917118795907</v>
      </c>
      <c r="BC40">
        <f t="shared" ca="1" si="34"/>
        <v>-0.47333383965912063</v>
      </c>
      <c r="BD40">
        <f t="shared" ca="1" si="35"/>
        <v>0.22545657595721072</v>
      </c>
      <c r="BE40">
        <f t="shared" ca="1" si="35"/>
        <v>-1.5158209943026593</v>
      </c>
      <c r="BF40">
        <f t="shared" ca="1" si="35"/>
        <v>-1.329296222468203</v>
      </c>
      <c r="BG40">
        <f t="shared" ca="1" si="35"/>
        <v>-2.3638320218221901E-3</v>
      </c>
      <c r="BH40">
        <f t="shared" ca="1" si="35"/>
        <v>0.7102412848654942</v>
      </c>
      <c r="BI40">
        <f t="shared" ca="1" si="35"/>
        <v>1.6413674901540554</v>
      </c>
      <c r="BJ40">
        <f t="shared" ca="1" si="35"/>
        <v>-0.49624750226696157</v>
      </c>
      <c r="BK40">
        <f t="shared" ca="1" si="35"/>
        <v>1.6471979860413477</v>
      </c>
      <c r="BL40">
        <f t="shared" ca="1" si="35"/>
        <v>-0.57351462455639046</v>
      </c>
      <c r="BM40">
        <f t="shared" ca="1" si="35"/>
        <v>0.51049826029825285</v>
      </c>
      <c r="BN40">
        <f t="shared" ca="1" si="36"/>
        <v>0.33352840751889773</v>
      </c>
      <c r="BO40">
        <f t="shared" ca="1" si="36"/>
        <v>0.83333383132754779</v>
      </c>
      <c r="BP40">
        <f t="shared" ca="1" si="36"/>
        <v>-0.29263606794097996</v>
      </c>
      <c r="BQ40">
        <f t="shared" ca="1" si="36"/>
        <v>-1.6455784659028401</v>
      </c>
      <c r="BR40">
        <f t="shared" ca="1" si="36"/>
        <v>-0.83441180622680544</v>
      </c>
      <c r="BS40">
        <f t="shared" ca="1" si="36"/>
        <v>-1.0255647895035183</v>
      </c>
      <c r="BT40">
        <f t="shared" ca="1" si="36"/>
        <v>0.1896420867855092</v>
      </c>
      <c r="BU40">
        <f t="shared" ca="1" si="36"/>
        <v>9.3330231641994665E-2</v>
      </c>
      <c r="BV40">
        <f t="shared" ca="1" si="36"/>
        <v>1.5969522153620312</v>
      </c>
      <c r="BW40">
        <f t="shared" ca="1" si="36"/>
        <v>-0.22946622790600577</v>
      </c>
      <c r="BX40">
        <f t="shared" ca="1" si="37"/>
        <v>4.3337986491850458E-2</v>
      </c>
      <c r="BY40">
        <f t="shared" ca="1" si="37"/>
        <v>0.77673202549461196</v>
      </c>
      <c r="BZ40">
        <f t="shared" ca="1" si="37"/>
        <v>0.65214572814687</v>
      </c>
      <c r="CA40">
        <f t="shared" ca="1" si="37"/>
        <v>2.0837078638177045</v>
      </c>
      <c r="CB40">
        <f t="shared" ca="1" si="37"/>
        <v>-2.1421495431710658</v>
      </c>
      <c r="CC40">
        <f t="shared" ca="1" si="37"/>
        <v>-0.85079136394697041</v>
      </c>
      <c r="CD40">
        <f t="shared" ca="1" si="37"/>
        <v>1.4117518699147396</v>
      </c>
      <c r="CE40">
        <f t="shared" ca="1" si="37"/>
        <v>-0.47413660936053748</v>
      </c>
      <c r="CF40">
        <f t="shared" ca="1" si="37"/>
        <v>0.63347853352915939</v>
      </c>
      <c r="CG40">
        <f t="shared" ca="1" si="37"/>
        <v>-0.47401555660389244</v>
      </c>
      <c r="CH40">
        <f t="shared" ca="1" si="38"/>
        <v>-1.2275187656199187</v>
      </c>
      <c r="CI40">
        <f t="shared" ca="1" si="38"/>
        <v>-0.68682709170675671</v>
      </c>
      <c r="CJ40">
        <f t="shared" ca="1" si="38"/>
        <v>0.72651256864695002</v>
      </c>
      <c r="CK40">
        <f t="shared" ca="1" si="38"/>
        <v>-0.55611050097604364</v>
      </c>
      <c r="CL40">
        <f t="shared" ca="1" si="38"/>
        <v>-0.48439422306023805</v>
      </c>
      <c r="CM40">
        <f t="shared" ca="1" si="38"/>
        <v>-0.59747082767336024</v>
      </c>
      <c r="CN40">
        <f t="shared" ca="1" si="38"/>
        <v>3.5929652440119947E-2</v>
      </c>
      <c r="CO40">
        <f t="shared" ca="1" si="38"/>
        <v>0.38145658876073901</v>
      </c>
      <c r="CP40">
        <f t="shared" ca="1" si="38"/>
        <v>0.35690197848046212</v>
      </c>
      <c r="CQ40">
        <f t="shared" ca="1" si="38"/>
        <v>0.96921379794731011</v>
      </c>
      <c r="CR40">
        <f t="shared" ca="1" si="39"/>
        <v>-0.99008595822904955</v>
      </c>
      <c r="CS40">
        <f t="shared" ca="1" si="39"/>
        <v>0.75545124159857335</v>
      </c>
      <c r="CT40">
        <f t="shared" ca="1" si="39"/>
        <v>-0.56476260731735306</v>
      </c>
      <c r="CU40">
        <f t="shared" ca="1" si="39"/>
        <v>0.56108926490918387</v>
      </c>
      <c r="CV40">
        <f t="shared" ca="1" si="39"/>
        <v>-0.39780750955658184</v>
      </c>
      <c r="CW40">
        <f t="shared" ca="1" si="39"/>
        <v>-0.77260845578968163</v>
      </c>
      <c r="CX40">
        <f t="shared" ca="1" si="39"/>
        <v>1.5842414519595627</v>
      </c>
      <c r="CY40">
        <f t="shared" ca="1" si="39"/>
        <v>0.16979196964658463</v>
      </c>
      <c r="CZ40">
        <f t="shared" ca="1" si="39"/>
        <v>0.68486269678296663</v>
      </c>
      <c r="DA40">
        <f t="shared" ca="1" si="39"/>
        <v>0.23804676799077359</v>
      </c>
    </row>
    <row r="41" spans="5:105" x14ac:dyDescent="0.25">
      <c r="E41">
        <f>S_plus!L41</f>
        <v>0.39000000000000018</v>
      </c>
      <c r="F41">
        <f t="shared" ca="1" si="30"/>
        <v>-6.0534457796054805E-2</v>
      </c>
      <c r="G41">
        <f t="shared" ca="1" si="30"/>
        <v>-0.67709522349601836</v>
      </c>
      <c r="H41">
        <f t="shared" ca="1" si="30"/>
        <v>-0.91005670957289697</v>
      </c>
      <c r="I41">
        <f t="shared" ca="1" si="30"/>
        <v>-0.20640706686226493</v>
      </c>
      <c r="J41">
        <f t="shared" ca="1" si="30"/>
        <v>1.7628102513887691</v>
      </c>
      <c r="K41">
        <f t="shared" ca="1" si="30"/>
        <v>3.705145125320175E-2</v>
      </c>
      <c r="L41">
        <f t="shared" ca="1" si="30"/>
        <v>-1.0847098896956113</v>
      </c>
      <c r="M41">
        <f t="shared" ca="1" si="30"/>
        <v>0.68125802936853497</v>
      </c>
      <c r="N41">
        <f t="shared" ca="1" si="30"/>
        <v>-0.1310742398272865</v>
      </c>
      <c r="O41">
        <f t="shared" ca="1" si="30"/>
        <v>-0.50519415826240344</v>
      </c>
      <c r="P41">
        <f t="shared" ca="1" si="31"/>
        <v>0.35337628498927515</v>
      </c>
      <c r="Q41">
        <f t="shared" ca="1" si="31"/>
        <v>-0.11213131055449886</v>
      </c>
      <c r="R41">
        <f t="shared" ca="1" si="31"/>
        <v>-1.4672701343872585</v>
      </c>
      <c r="S41">
        <f t="shared" ca="1" si="31"/>
        <v>0.76266087576969988</v>
      </c>
      <c r="T41">
        <f t="shared" ca="1" si="31"/>
        <v>9.4790875078763548E-2</v>
      </c>
      <c r="U41">
        <f t="shared" ca="1" si="31"/>
        <v>0.81015451678084471</v>
      </c>
      <c r="V41">
        <f t="shared" ca="1" si="31"/>
        <v>-1.0065411715779051</v>
      </c>
      <c r="W41">
        <f t="shared" ca="1" si="31"/>
        <v>-1.4711045875561535</v>
      </c>
      <c r="X41">
        <f t="shared" ca="1" si="31"/>
        <v>1.7269042790928244</v>
      </c>
      <c r="Y41">
        <f t="shared" ca="1" si="31"/>
        <v>0.10463655887658638</v>
      </c>
      <c r="Z41">
        <f t="shared" ca="1" si="32"/>
        <v>-0.88123433230715598</v>
      </c>
      <c r="AA41">
        <f t="shared" ca="1" si="32"/>
        <v>0.53190006768888254</v>
      </c>
      <c r="AB41">
        <f t="shared" ca="1" si="32"/>
        <v>-0.34338779475410203</v>
      </c>
      <c r="AC41">
        <f t="shared" ca="1" si="32"/>
        <v>-0.23074796789323687</v>
      </c>
      <c r="AD41">
        <f t="shared" ca="1" si="32"/>
        <v>-1.0166408028653426</v>
      </c>
      <c r="AE41">
        <f t="shared" ca="1" si="32"/>
        <v>-0.33372785646599529</v>
      </c>
      <c r="AF41">
        <f t="shared" ca="1" si="32"/>
        <v>-2.5283841063900061</v>
      </c>
      <c r="AG41">
        <f t="shared" ca="1" si="32"/>
        <v>0.68254479770445275</v>
      </c>
      <c r="AH41">
        <f t="shared" ca="1" si="32"/>
        <v>1.0166494550678684</v>
      </c>
      <c r="AI41">
        <f t="shared" ca="1" si="32"/>
        <v>1.2715792954790508</v>
      </c>
      <c r="AJ41">
        <f t="shared" ca="1" si="33"/>
        <v>2.3322226418986993</v>
      </c>
      <c r="AK41">
        <f t="shared" ca="1" si="33"/>
        <v>-0.83027347062483625</v>
      </c>
      <c r="AL41">
        <f t="shared" ca="1" si="33"/>
        <v>2.4428521842477617</v>
      </c>
      <c r="AM41">
        <f t="shared" ca="1" si="33"/>
        <v>-5.8986844714331514E-2</v>
      </c>
      <c r="AN41">
        <f t="shared" ca="1" si="33"/>
        <v>-0.43849395451990203</v>
      </c>
      <c r="AO41">
        <f t="shared" ca="1" si="33"/>
        <v>0.46293190252724381</v>
      </c>
      <c r="AP41">
        <f t="shared" ca="1" si="33"/>
        <v>1.1457325829700242</v>
      </c>
      <c r="AQ41">
        <f t="shared" ca="1" si="33"/>
        <v>0.3278120635335528</v>
      </c>
      <c r="AR41">
        <f t="shared" ca="1" si="33"/>
        <v>1.9855921164130319</v>
      </c>
      <c r="AS41">
        <f t="shared" ca="1" si="33"/>
        <v>0.47808242411617508</v>
      </c>
      <c r="AT41">
        <f t="shared" ca="1" si="34"/>
        <v>1.2505623824378336</v>
      </c>
      <c r="AU41">
        <f t="shared" ca="1" si="34"/>
        <v>-0.20056322699175425</v>
      </c>
      <c r="AV41">
        <f t="shared" ca="1" si="34"/>
        <v>3.6160914400386913E-2</v>
      </c>
      <c r="AW41">
        <f t="shared" ca="1" si="34"/>
        <v>0.64771665403511747</v>
      </c>
      <c r="AX41">
        <f t="shared" ca="1" si="34"/>
        <v>0.43248303167859459</v>
      </c>
      <c r="AY41">
        <f t="shared" ca="1" si="34"/>
        <v>-0.41789495548365424</v>
      </c>
      <c r="AZ41">
        <f t="shared" ca="1" si="34"/>
        <v>-0.22520998213487717</v>
      </c>
      <c r="BA41">
        <f t="shared" ca="1" si="34"/>
        <v>0.36639368188676824</v>
      </c>
      <c r="BB41">
        <f t="shared" ca="1" si="34"/>
        <v>-0.3149729774677143</v>
      </c>
      <c r="BC41">
        <f t="shared" ca="1" si="34"/>
        <v>1.2124798371857259E-2</v>
      </c>
      <c r="BD41">
        <f t="shared" ca="1" si="35"/>
        <v>-0.42803893867559789</v>
      </c>
      <c r="BE41">
        <f t="shared" ca="1" si="35"/>
        <v>-1.2247019188879602</v>
      </c>
      <c r="BF41">
        <f t="shared" ca="1" si="35"/>
        <v>0.25224160999936279</v>
      </c>
      <c r="BG41">
        <f t="shared" ca="1" si="35"/>
        <v>-5.5727033146788091E-2</v>
      </c>
      <c r="BH41">
        <f t="shared" ca="1" si="35"/>
        <v>0.72207679536257152</v>
      </c>
      <c r="BI41">
        <f t="shared" ca="1" si="35"/>
        <v>1.0250903113385137</v>
      </c>
      <c r="BJ41">
        <f t="shared" ca="1" si="35"/>
        <v>1.2383906578556165</v>
      </c>
      <c r="BK41">
        <f t="shared" ca="1" si="35"/>
        <v>-1.0243462359147788</v>
      </c>
      <c r="BL41">
        <f t="shared" ca="1" si="35"/>
        <v>0.72989871024329511</v>
      </c>
      <c r="BM41">
        <f t="shared" ca="1" si="35"/>
        <v>-0.42608336013819964</v>
      </c>
      <c r="BN41">
        <f t="shared" ca="1" si="36"/>
        <v>0.27385687668489889</v>
      </c>
      <c r="BO41">
        <f t="shared" ca="1" si="36"/>
        <v>-0.30081934309170238</v>
      </c>
      <c r="BP41">
        <f t="shared" ca="1" si="36"/>
        <v>0.11621949054785319</v>
      </c>
      <c r="BQ41">
        <f t="shared" ca="1" si="36"/>
        <v>1.6854591554669358</v>
      </c>
      <c r="BR41">
        <f t="shared" ca="1" si="36"/>
        <v>1.0600223819008452</v>
      </c>
      <c r="BS41">
        <f t="shared" ca="1" si="36"/>
        <v>0.33981078597510428</v>
      </c>
      <c r="BT41">
        <f t="shared" ca="1" si="36"/>
        <v>0.33295980217044147</v>
      </c>
      <c r="BU41">
        <f t="shared" ca="1" si="36"/>
        <v>0.8166063387899396</v>
      </c>
      <c r="BV41">
        <f t="shared" ca="1" si="36"/>
        <v>0.69788215002440568</v>
      </c>
      <c r="BW41">
        <f t="shared" ca="1" si="36"/>
        <v>-0.30984109721892433</v>
      </c>
      <c r="BX41">
        <f t="shared" ca="1" si="37"/>
        <v>0.97550363755923275</v>
      </c>
      <c r="BY41">
        <f t="shared" ca="1" si="37"/>
        <v>-1.8805025734758198</v>
      </c>
      <c r="BZ41">
        <f t="shared" ca="1" si="37"/>
        <v>0.36150466142768528</v>
      </c>
      <c r="CA41">
        <f t="shared" ca="1" si="37"/>
        <v>-0.25963556984449937</v>
      </c>
      <c r="CB41">
        <f t="shared" ca="1" si="37"/>
        <v>0.58926365276159709</v>
      </c>
      <c r="CC41">
        <f t="shared" ca="1" si="37"/>
        <v>-0.64651271295666857</v>
      </c>
      <c r="CD41">
        <f t="shared" ca="1" si="37"/>
        <v>0.24903065407869487</v>
      </c>
      <c r="CE41">
        <f t="shared" ca="1" si="37"/>
        <v>-1.0751741071134058</v>
      </c>
      <c r="CF41">
        <f t="shared" ca="1" si="37"/>
        <v>9.9545849118647473E-2</v>
      </c>
      <c r="CG41">
        <f t="shared" ca="1" si="37"/>
        <v>-1.5988137685727657</v>
      </c>
      <c r="CH41">
        <f t="shared" ca="1" si="38"/>
        <v>1.6881967423755393</v>
      </c>
      <c r="CI41">
        <f t="shared" ca="1" si="38"/>
        <v>0.53982148448562095</v>
      </c>
      <c r="CJ41">
        <f t="shared" ca="1" si="38"/>
        <v>-0.42151696837238128</v>
      </c>
      <c r="CK41">
        <f t="shared" ca="1" si="38"/>
        <v>0.77327604347495238</v>
      </c>
      <c r="CL41">
        <f t="shared" ca="1" si="38"/>
        <v>0.75806232735579082</v>
      </c>
      <c r="CM41">
        <f t="shared" ca="1" si="38"/>
        <v>-0.60036744965588007</v>
      </c>
      <c r="CN41">
        <f t="shared" ca="1" si="38"/>
        <v>1.0594080593394057</v>
      </c>
      <c r="CO41">
        <f t="shared" ca="1" si="38"/>
        <v>-0.57943748737399337</v>
      </c>
      <c r="CP41">
        <f t="shared" ca="1" si="38"/>
        <v>-1.4500465734545103</v>
      </c>
      <c r="CQ41">
        <f t="shared" ca="1" si="38"/>
        <v>-1.3144104076213681</v>
      </c>
      <c r="CR41">
        <f t="shared" ca="1" si="39"/>
        <v>-1.2975483495550786</v>
      </c>
      <c r="CS41">
        <f t="shared" ca="1" si="39"/>
        <v>-0.34421634392534306</v>
      </c>
      <c r="CT41">
        <f t="shared" ca="1" si="39"/>
        <v>-0.22181278799584289</v>
      </c>
      <c r="CU41">
        <f t="shared" ca="1" si="39"/>
        <v>-1.5620219056578586</v>
      </c>
      <c r="CV41">
        <f t="shared" ca="1" si="39"/>
        <v>-0.1386426531232213</v>
      </c>
      <c r="CW41">
        <f t="shared" ca="1" si="39"/>
        <v>0.43085181956872975</v>
      </c>
      <c r="CX41">
        <f t="shared" ca="1" si="39"/>
        <v>1.4492814535800183</v>
      </c>
      <c r="CY41">
        <f t="shared" ca="1" si="39"/>
        <v>1.1122620579303615</v>
      </c>
      <c r="CZ41">
        <f t="shared" ca="1" si="39"/>
        <v>1.1249335897623185</v>
      </c>
      <c r="DA41">
        <f t="shared" ca="1" si="39"/>
        <v>0.29531946499596945</v>
      </c>
    </row>
    <row r="42" spans="5:105" x14ac:dyDescent="0.25">
      <c r="E42">
        <f>S_plus!L42</f>
        <v>0.40000000000000019</v>
      </c>
      <c r="F42">
        <f t="shared" ca="1" si="30"/>
        <v>0.52958725385231864</v>
      </c>
      <c r="G42">
        <f t="shared" ca="1" si="30"/>
        <v>-1.6668972963860291</v>
      </c>
      <c r="H42">
        <f t="shared" ca="1" si="30"/>
        <v>-0.71432639230372774</v>
      </c>
      <c r="I42">
        <f t="shared" ca="1" si="30"/>
        <v>1.7531717998123153</v>
      </c>
      <c r="J42">
        <f t="shared" ca="1" si="30"/>
        <v>0.41348339690748764</v>
      </c>
      <c r="K42">
        <f t="shared" ca="1" si="30"/>
        <v>1.3639737142145474</v>
      </c>
      <c r="L42">
        <f t="shared" ca="1" si="30"/>
        <v>0.81611157671069678</v>
      </c>
      <c r="M42">
        <f t="shared" ca="1" si="30"/>
        <v>-0.28139793988148942</v>
      </c>
      <c r="N42">
        <f t="shared" ca="1" si="30"/>
        <v>-0.13239863775291519</v>
      </c>
      <c r="O42">
        <f t="shared" ca="1" si="30"/>
        <v>-0.37435719186273198</v>
      </c>
      <c r="P42">
        <f t="shared" ca="1" si="31"/>
        <v>-1.1276835452813395E-2</v>
      </c>
      <c r="Q42">
        <f t="shared" ca="1" si="31"/>
        <v>0.68781535752017064</v>
      </c>
      <c r="R42">
        <f t="shared" ca="1" si="31"/>
        <v>-0.1349943888272789</v>
      </c>
      <c r="S42">
        <f t="shared" ca="1" si="31"/>
        <v>0.57889369662160484</v>
      </c>
      <c r="T42">
        <f t="shared" ca="1" si="31"/>
        <v>0.8294573800320747</v>
      </c>
      <c r="U42">
        <f t="shared" ca="1" si="31"/>
        <v>-0.61578685812905665</v>
      </c>
      <c r="V42">
        <f t="shared" ca="1" si="31"/>
        <v>0.39072688294845409</v>
      </c>
      <c r="W42">
        <f t="shared" ca="1" si="31"/>
        <v>1.5768495940563285</v>
      </c>
      <c r="X42">
        <f t="shared" ca="1" si="31"/>
        <v>-3.4305758618019912E-2</v>
      </c>
      <c r="Y42">
        <f t="shared" ca="1" si="31"/>
        <v>-0.52874319531619207</v>
      </c>
      <c r="Z42">
        <f t="shared" ca="1" si="32"/>
        <v>-0.35740275318070336</v>
      </c>
      <c r="AA42">
        <f t="shared" ca="1" si="32"/>
        <v>0.53887297096283882</v>
      </c>
      <c r="AB42">
        <f t="shared" ca="1" si="32"/>
        <v>1.691659531829423</v>
      </c>
      <c r="AC42">
        <f t="shared" ca="1" si="32"/>
        <v>-0.6412825066211868</v>
      </c>
      <c r="AD42">
        <f t="shared" ca="1" si="32"/>
        <v>-1.4090991745447392</v>
      </c>
      <c r="AE42">
        <f t="shared" ca="1" si="32"/>
        <v>1.1393167677063047E-2</v>
      </c>
      <c r="AF42">
        <f t="shared" ca="1" si="32"/>
        <v>0.15369696920368758</v>
      </c>
      <c r="AG42">
        <f t="shared" ca="1" si="32"/>
        <v>0.89812830466369675</v>
      </c>
      <c r="AH42">
        <f t="shared" ca="1" si="32"/>
        <v>-0.78881030890044046</v>
      </c>
      <c r="AI42">
        <f t="shared" ca="1" si="32"/>
        <v>0.42621040892751788</v>
      </c>
      <c r="AJ42">
        <f t="shared" ca="1" si="33"/>
        <v>0.26659989263418638</v>
      </c>
      <c r="AK42">
        <f t="shared" ca="1" si="33"/>
        <v>-0.38494131614697874</v>
      </c>
      <c r="AL42">
        <f t="shared" ca="1" si="33"/>
        <v>-1.0608025979529934</v>
      </c>
      <c r="AM42">
        <f t="shared" ca="1" si="33"/>
        <v>-0.15137311114884813</v>
      </c>
      <c r="AN42">
        <f t="shared" ca="1" si="33"/>
        <v>-0.66939378758847523</v>
      </c>
      <c r="AO42">
        <f t="shared" ca="1" si="33"/>
        <v>0.38964412281312105</v>
      </c>
      <c r="AP42">
        <f t="shared" ca="1" si="33"/>
        <v>0.19990060034543292</v>
      </c>
      <c r="AQ42">
        <f t="shared" ca="1" si="33"/>
        <v>-0.16307512211232061</v>
      </c>
      <c r="AR42">
        <f t="shared" ca="1" si="33"/>
        <v>1.2521376014570049</v>
      </c>
      <c r="AS42">
        <f t="shared" ca="1" si="33"/>
        <v>-4.9482305097338372E-3</v>
      </c>
      <c r="AT42">
        <f t="shared" ca="1" si="34"/>
        <v>0.22281536022793597</v>
      </c>
      <c r="AU42">
        <f t="shared" ca="1" si="34"/>
        <v>-1.167791583623766</v>
      </c>
      <c r="AV42">
        <f t="shared" ca="1" si="34"/>
        <v>-4.5710947504691873E-2</v>
      </c>
      <c r="AW42">
        <f t="shared" ca="1" si="34"/>
        <v>-0.63170410968303581</v>
      </c>
      <c r="AX42">
        <f t="shared" ca="1" si="34"/>
        <v>0.84961123759776258</v>
      </c>
      <c r="AY42">
        <f t="shared" ca="1" si="34"/>
        <v>-3.6400044367839134E-2</v>
      </c>
      <c r="AZ42">
        <f t="shared" ca="1" si="34"/>
        <v>0.64284283881502757</v>
      </c>
      <c r="BA42">
        <f t="shared" ca="1" si="34"/>
        <v>2.0398001455020822E-2</v>
      </c>
      <c r="BB42">
        <f t="shared" ca="1" si="34"/>
        <v>2.1409312860738638</v>
      </c>
      <c r="BC42">
        <f t="shared" ca="1" si="34"/>
        <v>1.6923462175148867</v>
      </c>
      <c r="BD42">
        <f t="shared" ca="1" si="35"/>
        <v>-0.9789866374700299</v>
      </c>
      <c r="BE42">
        <f t="shared" ca="1" si="35"/>
        <v>2.8116793422080646E-2</v>
      </c>
      <c r="BF42">
        <f t="shared" ca="1" si="35"/>
        <v>1.9992246571741186</v>
      </c>
      <c r="BG42">
        <f t="shared" ca="1" si="35"/>
        <v>-1.2256205325439791</v>
      </c>
      <c r="BH42">
        <f t="shared" ca="1" si="35"/>
        <v>0.10222579255908766</v>
      </c>
      <c r="BI42">
        <f t="shared" ca="1" si="35"/>
        <v>0.59804253364059112</v>
      </c>
      <c r="BJ42">
        <f t="shared" ca="1" si="35"/>
        <v>1.5901082413818777</v>
      </c>
      <c r="BK42">
        <f t="shared" ca="1" si="35"/>
        <v>-0.24738032150375311</v>
      </c>
      <c r="BL42">
        <f t="shared" ca="1" si="35"/>
        <v>-0.92378229201219708</v>
      </c>
      <c r="BM42">
        <f t="shared" ca="1" si="35"/>
        <v>0.72091126566448394</v>
      </c>
      <c r="BN42">
        <f t="shared" ca="1" si="36"/>
        <v>1.017401630875115</v>
      </c>
      <c r="BO42">
        <f t="shared" ca="1" si="36"/>
        <v>-2.6137196003411582</v>
      </c>
      <c r="BP42">
        <f t="shared" ca="1" si="36"/>
        <v>-1.4496931808021256</v>
      </c>
      <c r="BQ42">
        <f t="shared" ca="1" si="36"/>
        <v>-0.88096413179165278</v>
      </c>
      <c r="BR42">
        <f t="shared" ca="1" si="36"/>
        <v>-0.32829282634673024</v>
      </c>
      <c r="BS42">
        <f t="shared" ca="1" si="36"/>
        <v>-1.3135984014120345</v>
      </c>
      <c r="BT42">
        <f t="shared" ca="1" si="36"/>
        <v>0.49005159320483149</v>
      </c>
      <c r="BU42">
        <f t="shared" ca="1" si="36"/>
        <v>0.37850971379361054</v>
      </c>
      <c r="BV42">
        <f t="shared" ca="1" si="36"/>
        <v>-1.6587097577773755</v>
      </c>
      <c r="BW42">
        <f t="shared" ca="1" si="36"/>
        <v>8.6843926827154611E-2</v>
      </c>
      <c r="BX42">
        <f t="shared" ca="1" si="37"/>
        <v>1.5757197881115748</v>
      </c>
      <c r="BY42">
        <f t="shared" ca="1" si="37"/>
        <v>-0.57298615168163392</v>
      </c>
      <c r="BZ42">
        <f t="shared" ca="1" si="37"/>
        <v>-1.4564044638019151</v>
      </c>
      <c r="CA42">
        <f t="shared" ca="1" si="37"/>
        <v>-2.7508567495045817</v>
      </c>
      <c r="CB42">
        <f t="shared" ca="1" si="37"/>
        <v>0.51778899945649393</v>
      </c>
      <c r="CC42">
        <f t="shared" ca="1" si="37"/>
        <v>1.6020308750125229</v>
      </c>
      <c r="CD42">
        <f t="shared" ca="1" si="37"/>
        <v>0.71267752148793084</v>
      </c>
      <c r="CE42">
        <f t="shared" ca="1" si="37"/>
        <v>-1.1562052351182244</v>
      </c>
      <c r="CF42">
        <f t="shared" ca="1" si="37"/>
        <v>6.9117937213315189E-2</v>
      </c>
      <c r="CG42">
        <f t="shared" ca="1" si="37"/>
        <v>-0.20806206014170603</v>
      </c>
      <c r="CH42">
        <f t="shared" ca="1" si="38"/>
        <v>0.88841745627129731</v>
      </c>
      <c r="CI42">
        <f t="shared" ca="1" si="38"/>
        <v>-1.8921703121960916</v>
      </c>
      <c r="CJ42">
        <f t="shared" ca="1" si="38"/>
        <v>-1.5113510028954829</v>
      </c>
      <c r="CK42">
        <f t="shared" ca="1" si="38"/>
        <v>-1.0319447760131348</v>
      </c>
      <c r="CL42">
        <f t="shared" ca="1" si="38"/>
        <v>-0.76139948279709424</v>
      </c>
      <c r="CM42">
        <f t="shared" ca="1" si="38"/>
        <v>-1.4518328123367308</v>
      </c>
      <c r="CN42">
        <f t="shared" ca="1" si="38"/>
        <v>-0.46982852725054053</v>
      </c>
      <c r="CO42">
        <f t="shared" ca="1" si="38"/>
        <v>-0.30438482279987983</v>
      </c>
      <c r="CP42">
        <f t="shared" ca="1" si="38"/>
        <v>1.487077795369143</v>
      </c>
      <c r="CQ42">
        <f t="shared" ca="1" si="38"/>
        <v>-0.90805630364718015</v>
      </c>
      <c r="CR42">
        <f t="shared" ca="1" si="39"/>
        <v>-0.69410889420662292</v>
      </c>
      <c r="CS42">
        <f t="shared" ca="1" si="39"/>
        <v>-0.59467900325833101</v>
      </c>
      <c r="CT42">
        <f t="shared" ca="1" si="39"/>
        <v>-0.91132657726029564</v>
      </c>
      <c r="CU42">
        <f t="shared" ca="1" si="39"/>
        <v>2.490059186823169</v>
      </c>
      <c r="CV42">
        <f t="shared" ca="1" si="39"/>
        <v>-0.56398664095729012</v>
      </c>
      <c r="CW42">
        <f t="shared" ca="1" si="39"/>
        <v>-0.11363846053262124</v>
      </c>
      <c r="CX42">
        <f t="shared" ca="1" si="39"/>
        <v>0.68000472778964272</v>
      </c>
      <c r="CY42">
        <f t="shared" ca="1" si="39"/>
        <v>2.3954052909622106</v>
      </c>
      <c r="CZ42">
        <f t="shared" ca="1" si="39"/>
        <v>-0.50257861744930643</v>
      </c>
      <c r="DA42">
        <f t="shared" ca="1" si="39"/>
        <v>0.52900885799590913</v>
      </c>
    </row>
    <row r="43" spans="5:105" x14ac:dyDescent="0.25">
      <c r="E43">
        <f>S_plus!L43</f>
        <v>0.4100000000000002</v>
      </c>
      <c r="F43">
        <f t="shared" ref="F43:O52" ca="1" si="40">_xlfn.NORM.S.INV(RAND())</f>
        <v>-0.4276251574374989</v>
      </c>
      <c r="G43">
        <f t="shared" ca="1" si="40"/>
        <v>1.6549742287553193</v>
      </c>
      <c r="H43">
        <f t="shared" ca="1" si="40"/>
        <v>-0.69597588188427717</v>
      </c>
      <c r="I43">
        <f t="shared" ca="1" si="40"/>
        <v>-0.14700670782317996</v>
      </c>
      <c r="J43">
        <f t="shared" ca="1" si="40"/>
        <v>-0.97665731741323736</v>
      </c>
      <c r="K43">
        <f t="shared" ca="1" si="40"/>
        <v>-4.7643935890718123E-2</v>
      </c>
      <c r="L43">
        <f t="shared" ca="1" si="40"/>
        <v>0.81640404243400599</v>
      </c>
      <c r="M43">
        <f t="shared" ca="1" si="40"/>
        <v>1.1011208868200566</v>
      </c>
      <c r="N43">
        <f t="shared" ca="1" si="40"/>
        <v>-0.93440377235927963</v>
      </c>
      <c r="O43">
        <f t="shared" ca="1" si="40"/>
        <v>-0.616317374697119</v>
      </c>
      <c r="P43">
        <f t="shared" ref="P43:Y52" ca="1" si="41">_xlfn.NORM.S.INV(RAND())</f>
        <v>0.65360721390073195</v>
      </c>
      <c r="Q43">
        <f t="shared" ca="1" si="41"/>
        <v>-1.2708259819843316E-2</v>
      </c>
      <c r="R43">
        <f t="shared" ca="1" si="41"/>
        <v>-0.65132661675167225</v>
      </c>
      <c r="S43">
        <f t="shared" ca="1" si="41"/>
        <v>1.3370070517621677</v>
      </c>
      <c r="T43">
        <f t="shared" ca="1" si="41"/>
        <v>1.2520603880283432</v>
      </c>
      <c r="U43">
        <f t="shared" ca="1" si="41"/>
        <v>2.4352058294250538</v>
      </c>
      <c r="V43">
        <f t="shared" ca="1" si="41"/>
        <v>-0.60026932905984276</v>
      </c>
      <c r="W43">
        <f t="shared" ca="1" si="41"/>
        <v>0.73807258103497009</v>
      </c>
      <c r="X43">
        <f t="shared" ca="1" si="41"/>
        <v>0.16366424009043887</v>
      </c>
      <c r="Y43">
        <f t="shared" ca="1" si="41"/>
        <v>-0.96926620534829033</v>
      </c>
      <c r="Z43">
        <f t="shared" ref="Z43:AI52" ca="1" si="42">_xlfn.NORM.S.INV(RAND())</f>
        <v>-0.34787468437373059</v>
      </c>
      <c r="AA43">
        <f t="shared" ca="1" si="42"/>
        <v>0.96839897388852791</v>
      </c>
      <c r="AB43">
        <f t="shared" ca="1" si="42"/>
        <v>1.3846940121315381</v>
      </c>
      <c r="AC43">
        <f t="shared" ca="1" si="42"/>
        <v>1.6085855538606191</v>
      </c>
      <c r="AD43">
        <f t="shared" ca="1" si="42"/>
        <v>-1.0252902853220633</v>
      </c>
      <c r="AE43">
        <f t="shared" ca="1" si="42"/>
        <v>0.17745980243956644</v>
      </c>
      <c r="AF43">
        <f t="shared" ca="1" si="42"/>
        <v>-1.4442571833705649</v>
      </c>
      <c r="AG43">
        <f t="shared" ca="1" si="42"/>
        <v>-0.40079018502233926</v>
      </c>
      <c r="AH43">
        <f t="shared" ca="1" si="42"/>
        <v>1.5338536416498947</v>
      </c>
      <c r="AI43">
        <f t="shared" ca="1" si="42"/>
        <v>-0.85930581545154594</v>
      </c>
      <c r="AJ43">
        <f t="shared" ref="AJ43:AS52" ca="1" si="43">_xlfn.NORM.S.INV(RAND())</f>
        <v>0.84262182262923524</v>
      </c>
      <c r="AK43">
        <f t="shared" ca="1" si="43"/>
        <v>0.67615016517642168</v>
      </c>
      <c r="AL43">
        <f t="shared" ca="1" si="43"/>
        <v>-0.32802152333531553</v>
      </c>
      <c r="AM43">
        <f t="shared" ca="1" si="43"/>
        <v>1.4422778902207906E-2</v>
      </c>
      <c r="AN43">
        <f t="shared" ca="1" si="43"/>
        <v>0.80038351134361529</v>
      </c>
      <c r="AO43">
        <f t="shared" ca="1" si="43"/>
        <v>0.13739206441723886</v>
      </c>
      <c r="AP43">
        <f t="shared" ca="1" si="43"/>
        <v>-1.4829967511094015</v>
      </c>
      <c r="AQ43">
        <f t="shared" ca="1" si="43"/>
        <v>0.83020008723626681</v>
      </c>
      <c r="AR43">
        <f t="shared" ca="1" si="43"/>
        <v>1.2554537576516118</v>
      </c>
      <c r="AS43">
        <f t="shared" ca="1" si="43"/>
        <v>-1.4062014508175953</v>
      </c>
      <c r="AT43">
        <f t="shared" ref="AT43:BC52" ca="1" si="44">_xlfn.NORM.S.INV(RAND())</f>
        <v>-0.21138214675541231</v>
      </c>
      <c r="AU43">
        <f t="shared" ca="1" si="44"/>
        <v>-1.2353519269051807</v>
      </c>
      <c r="AV43">
        <f t="shared" ca="1" si="44"/>
        <v>-0.98052622703611292</v>
      </c>
      <c r="AW43">
        <f t="shared" ca="1" si="44"/>
        <v>-0.20495981728073981</v>
      </c>
      <c r="AX43">
        <f t="shared" ca="1" si="44"/>
        <v>0.10860868812220401</v>
      </c>
      <c r="AY43">
        <f t="shared" ca="1" si="44"/>
        <v>-0.75115482261178612</v>
      </c>
      <c r="AZ43">
        <f t="shared" ca="1" si="44"/>
        <v>-0.28101824574514822</v>
      </c>
      <c r="BA43">
        <f t="shared" ca="1" si="44"/>
        <v>0.41232083686207466</v>
      </c>
      <c r="BB43">
        <f t="shared" ca="1" si="44"/>
        <v>0.81775775218775104</v>
      </c>
      <c r="BC43">
        <f t="shared" ca="1" si="44"/>
        <v>0.62534565879360893</v>
      </c>
      <c r="BD43">
        <f t="shared" ref="BD43:BM52" ca="1" si="45">_xlfn.NORM.S.INV(RAND())</f>
        <v>-0.39049596145254561</v>
      </c>
      <c r="BE43">
        <f t="shared" ca="1" si="45"/>
        <v>1.1099105491825392</v>
      </c>
      <c r="BF43">
        <f t="shared" ca="1" si="45"/>
        <v>0.96379368814840383</v>
      </c>
      <c r="BG43">
        <f t="shared" ca="1" si="45"/>
        <v>-1.3047922095798927</v>
      </c>
      <c r="BH43">
        <f t="shared" ca="1" si="45"/>
        <v>-0.74262018407380936</v>
      </c>
      <c r="BI43">
        <f t="shared" ca="1" si="45"/>
        <v>-0.40361799323804559</v>
      </c>
      <c r="BJ43">
        <f t="shared" ca="1" si="45"/>
        <v>-0.63164137385599073</v>
      </c>
      <c r="BK43">
        <f t="shared" ca="1" si="45"/>
        <v>0.49905279849747675</v>
      </c>
      <c r="BL43">
        <f t="shared" ca="1" si="45"/>
        <v>-0.69639088309197106</v>
      </c>
      <c r="BM43">
        <f t="shared" ca="1" si="45"/>
        <v>-1.0034323470131306</v>
      </c>
      <c r="BN43">
        <f t="shared" ref="BN43:BW52" ca="1" si="46">_xlfn.NORM.S.INV(RAND())</f>
        <v>-2.0275115042585283</v>
      </c>
      <c r="BO43">
        <f t="shared" ca="1" si="46"/>
        <v>-0.27512992328747671</v>
      </c>
      <c r="BP43">
        <f t="shared" ca="1" si="46"/>
        <v>-1.6685801274496739</v>
      </c>
      <c r="BQ43">
        <f t="shared" ca="1" si="46"/>
        <v>1.552547886751384</v>
      </c>
      <c r="BR43">
        <f t="shared" ca="1" si="46"/>
        <v>-0.77877392333105255</v>
      </c>
      <c r="BS43">
        <f t="shared" ca="1" si="46"/>
        <v>-1.2094910743296574</v>
      </c>
      <c r="BT43">
        <f t="shared" ca="1" si="46"/>
        <v>-0.14380434734416417</v>
      </c>
      <c r="BU43">
        <f t="shared" ca="1" si="46"/>
        <v>-0.24344575390066031</v>
      </c>
      <c r="BV43">
        <f t="shared" ca="1" si="46"/>
        <v>1.2092246956518256</v>
      </c>
      <c r="BW43">
        <f t="shared" ca="1" si="46"/>
        <v>0.36473706799823347</v>
      </c>
      <c r="BX43">
        <f t="shared" ref="BX43:CG52" ca="1" si="47">_xlfn.NORM.S.INV(RAND())</f>
        <v>1.5580272687856602</v>
      </c>
      <c r="BY43">
        <f t="shared" ca="1" si="47"/>
        <v>-4.9215204028663459E-2</v>
      </c>
      <c r="BZ43">
        <f t="shared" ca="1" si="47"/>
        <v>0.33688471725369545</v>
      </c>
      <c r="CA43">
        <f t="shared" ca="1" si="47"/>
        <v>-2.2555283885930169</v>
      </c>
      <c r="CB43">
        <f t="shared" ca="1" si="47"/>
        <v>0.9756083151616991</v>
      </c>
      <c r="CC43">
        <f t="shared" ca="1" si="47"/>
        <v>-0.24575863289299091</v>
      </c>
      <c r="CD43">
        <f t="shared" ca="1" si="47"/>
        <v>1.4452330667544349</v>
      </c>
      <c r="CE43">
        <f t="shared" ca="1" si="47"/>
        <v>0.86797101410319877</v>
      </c>
      <c r="CF43">
        <f t="shared" ca="1" si="47"/>
        <v>0.2387508109752402</v>
      </c>
      <c r="CG43">
        <f t="shared" ca="1" si="47"/>
        <v>-0.88721069995748325</v>
      </c>
      <c r="CH43">
        <f t="shared" ref="CH43:CQ52" ca="1" si="48">_xlfn.NORM.S.INV(RAND())</f>
        <v>1.5860065217416199</v>
      </c>
      <c r="CI43">
        <f t="shared" ca="1" si="48"/>
        <v>0.3507683175975464</v>
      </c>
      <c r="CJ43">
        <f t="shared" ca="1" si="48"/>
        <v>0.32270175927408656</v>
      </c>
      <c r="CK43">
        <f t="shared" ca="1" si="48"/>
        <v>-0.75694506217938284</v>
      </c>
      <c r="CL43">
        <f t="shared" ca="1" si="48"/>
        <v>-1.6694760070348971</v>
      </c>
      <c r="CM43">
        <f t="shared" ca="1" si="48"/>
        <v>0.57449724591901796</v>
      </c>
      <c r="CN43">
        <f t="shared" ca="1" si="48"/>
        <v>0.15115107813667125</v>
      </c>
      <c r="CO43">
        <f t="shared" ca="1" si="48"/>
        <v>-9.0866445072129445E-2</v>
      </c>
      <c r="CP43">
        <f t="shared" ca="1" si="48"/>
        <v>-0.80031626140065082</v>
      </c>
      <c r="CQ43">
        <f t="shared" ca="1" si="48"/>
        <v>1.7123359613473648</v>
      </c>
      <c r="CR43">
        <f t="shared" ref="CR43:DA52" ca="1" si="49">_xlfn.NORM.S.INV(RAND())</f>
        <v>8.0508060247197546E-3</v>
      </c>
      <c r="CS43">
        <f t="shared" ca="1" si="49"/>
        <v>3.6099914303020786E-2</v>
      </c>
      <c r="CT43">
        <f t="shared" ca="1" si="49"/>
        <v>1.6606491727727286</v>
      </c>
      <c r="CU43">
        <f t="shared" ca="1" si="49"/>
        <v>0.39989909023107267</v>
      </c>
      <c r="CV43">
        <f t="shared" ca="1" si="49"/>
        <v>-1.0625149114793964</v>
      </c>
      <c r="CW43">
        <f t="shared" ca="1" si="49"/>
        <v>-0.4591146036690274</v>
      </c>
      <c r="CX43">
        <f t="shared" ca="1" si="49"/>
        <v>1.1911449806741325</v>
      </c>
      <c r="CY43">
        <f t="shared" ca="1" si="49"/>
        <v>0.37474900967586211</v>
      </c>
      <c r="CZ43">
        <f t="shared" ca="1" si="49"/>
        <v>1.198737350394868</v>
      </c>
      <c r="DA43">
        <f t="shared" ca="1" si="49"/>
        <v>-8.2434929116656674E-2</v>
      </c>
    </row>
    <row r="44" spans="5:105" x14ac:dyDescent="0.25">
      <c r="E44">
        <f>S_plus!L44</f>
        <v>0.42000000000000021</v>
      </c>
      <c r="F44">
        <f t="shared" ca="1" si="40"/>
        <v>-0.49653898698739207</v>
      </c>
      <c r="G44">
        <f t="shared" ca="1" si="40"/>
        <v>-0.11147442389267496</v>
      </c>
      <c r="H44">
        <f t="shared" ca="1" si="40"/>
        <v>-0.36973996975349771</v>
      </c>
      <c r="I44">
        <f t="shared" ca="1" si="40"/>
        <v>0.19654124454262417</v>
      </c>
      <c r="J44">
        <f t="shared" ca="1" si="40"/>
        <v>-0.17538186742359407</v>
      </c>
      <c r="K44">
        <f t="shared" ca="1" si="40"/>
        <v>7.0717651050886454E-2</v>
      </c>
      <c r="L44">
        <f t="shared" ca="1" si="40"/>
        <v>1.1432198644307898</v>
      </c>
      <c r="M44">
        <f t="shared" ca="1" si="40"/>
        <v>-0.6507785954159937</v>
      </c>
      <c r="N44">
        <f t="shared" ca="1" si="40"/>
        <v>-1.1553170371289487</v>
      </c>
      <c r="O44">
        <f t="shared" ca="1" si="40"/>
        <v>-0.40568789852723919</v>
      </c>
      <c r="P44">
        <f t="shared" ca="1" si="41"/>
        <v>-0.87041434277707763</v>
      </c>
      <c r="Q44">
        <f t="shared" ca="1" si="41"/>
        <v>0.89601159516569784</v>
      </c>
      <c r="R44">
        <f t="shared" ca="1" si="41"/>
        <v>4.8271229115212512E-2</v>
      </c>
      <c r="S44">
        <f t="shared" ca="1" si="41"/>
        <v>0.43653849181525062</v>
      </c>
      <c r="T44">
        <f t="shared" ca="1" si="41"/>
        <v>-0.1269772447975421</v>
      </c>
      <c r="U44">
        <f t="shared" ca="1" si="41"/>
        <v>0.10741316131984092</v>
      </c>
      <c r="V44">
        <f t="shared" ca="1" si="41"/>
        <v>-0.94662511326032761</v>
      </c>
      <c r="W44">
        <f t="shared" ca="1" si="41"/>
        <v>-1.8636168665802333</v>
      </c>
      <c r="X44">
        <f t="shared" ca="1" si="41"/>
        <v>-1.0483089357854964</v>
      </c>
      <c r="Y44">
        <f t="shared" ca="1" si="41"/>
        <v>0.35352629342751873</v>
      </c>
      <c r="Z44">
        <f t="shared" ca="1" si="42"/>
        <v>0.75078875104128318</v>
      </c>
      <c r="AA44">
        <f t="shared" ca="1" si="42"/>
        <v>0.4858034291782522</v>
      </c>
      <c r="AB44">
        <f t="shared" ca="1" si="42"/>
        <v>-0.68353443178423579</v>
      </c>
      <c r="AC44">
        <f t="shared" ca="1" si="42"/>
        <v>0.93238309989309209</v>
      </c>
      <c r="AD44">
        <f t="shared" ca="1" si="42"/>
        <v>-0.85059160217479624</v>
      </c>
      <c r="AE44">
        <f t="shared" ca="1" si="42"/>
        <v>-0.81429298665209471</v>
      </c>
      <c r="AF44">
        <f t="shared" ca="1" si="42"/>
        <v>-1.1266341691081101</v>
      </c>
      <c r="AG44">
        <f t="shared" ca="1" si="42"/>
        <v>0.5820418720726126</v>
      </c>
      <c r="AH44">
        <f t="shared" ca="1" si="42"/>
        <v>-0.21492284020388411</v>
      </c>
      <c r="AI44">
        <f t="shared" ca="1" si="42"/>
        <v>-0.20776966995529711</v>
      </c>
      <c r="AJ44">
        <f t="shared" ca="1" si="43"/>
        <v>-1.7698428360802125</v>
      </c>
      <c r="AK44">
        <f t="shared" ca="1" si="43"/>
        <v>-1.5759909826004563</v>
      </c>
      <c r="AL44">
        <f t="shared" ca="1" si="43"/>
        <v>-0.43231051239986612</v>
      </c>
      <c r="AM44">
        <f t="shared" ca="1" si="43"/>
        <v>0.59338135329555663</v>
      </c>
      <c r="AN44">
        <f t="shared" ca="1" si="43"/>
        <v>-1.0131065048660313</v>
      </c>
      <c r="AO44">
        <f t="shared" ca="1" si="43"/>
        <v>1.106928162211779</v>
      </c>
      <c r="AP44">
        <f t="shared" ca="1" si="43"/>
        <v>-0.30540016945775716</v>
      </c>
      <c r="AQ44">
        <f t="shared" ca="1" si="43"/>
        <v>3.2163951827422102E-3</v>
      </c>
      <c r="AR44">
        <f t="shared" ca="1" si="43"/>
        <v>1.6361282285124055</v>
      </c>
      <c r="AS44">
        <f t="shared" ca="1" si="43"/>
        <v>-1.078217181073752</v>
      </c>
      <c r="AT44">
        <f t="shared" ca="1" si="44"/>
        <v>-1.9897120919054403</v>
      </c>
      <c r="AU44">
        <f t="shared" ca="1" si="44"/>
        <v>-9.9795909626185494E-2</v>
      </c>
      <c r="AV44">
        <f t="shared" ca="1" si="44"/>
        <v>1.3283181326400826</v>
      </c>
      <c r="AW44">
        <f t="shared" ca="1" si="44"/>
        <v>-0.37245379741325901</v>
      </c>
      <c r="AX44">
        <f t="shared" ca="1" si="44"/>
        <v>-0.1863823125487572</v>
      </c>
      <c r="AY44">
        <f t="shared" ca="1" si="44"/>
        <v>0.96836118187096232</v>
      </c>
      <c r="AZ44">
        <f t="shared" ca="1" si="44"/>
        <v>1.4961265831832655</v>
      </c>
      <c r="BA44">
        <f t="shared" ca="1" si="44"/>
        <v>-0.7591168681656465</v>
      </c>
      <c r="BB44">
        <f t="shared" ca="1" si="44"/>
        <v>2.1230311352806628</v>
      </c>
      <c r="BC44">
        <f t="shared" ca="1" si="44"/>
        <v>-1.1124838157647081</v>
      </c>
      <c r="BD44">
        <f t="shared" ca="1" si="45"/>
        <v>2.2537943534699085</v>
      </c>
      <c r="BE44">
        <f t="shared" ca="1" si="45"/>
        <v>-1.130199593106811</v>
      </c>
      <c r="BF44">
        <f t="shared" ca="1" si="45"/>
        <v>4.3624764091070467E-2</v>
      </c>
      <c r="BG44">
        <f t="shared" ca="1" si="45"/>
        <v>0.7311211987710392</v>
      </c>
      <c r="BH44">
        <f t="shared" ca="1" si="45"/>
        <v>0.79430712831769179</v>
      </c>
      <c r="BI44">
        <f t="shared" ca="1" si="45"/>
        <v>0.43378159578663616</v>
      </c>
      <c r="BJ44">
        <f t="shared" ca="1" si="45"/>
        <v>-9.5635867001991892E-2</v>
      </c>
      <c r="BK44">
        <f t="shared" ca="1" si="45"/>
        <v>-0.65576957904023869</v>
      </c>
      <c r="BL44">
        <f t="shared" ca="1" si="45"/>
        <v>-0.71929779006022665</v>
      </c>
      <c r="BM44">
        <f t="shared" ca="1" si="45"/>
        <v>0.5474778629851661</v>
      </c>
      <c r="BN44">
        <f t="shared" ca="1" si="46"/>
        <v>-8.8196911601914452E-2</v>
      </c>
      <c r="BO44">
        <f t="shared" ca="1" si="46"/>
        <v>0.6073496978065015</v>
      </c>
      <c r="BP44">
        <f t="shared" ca="1" si="46"/>
        <v>1.6754647120929</v>
      </c>
      <c r="BQ44">
        <f t="shared" ca="1" si="46"/>
        <v>0.76535649473293077</v>
      </c>
      <c r="BR44">
        <f t="shared" ca="1" si="46"/>
        <v>2.3202589959322437</v>
      </c>
      <c r="BS44">
        <f t="shared" ca="1" si="46"/>
        <v>-0.20648777650350258</v>
      </c>
      <c r="BT44">
        <f t="shared" ca="1" si="46"/>
        <v>-0.51190466659568068</v>
      </c>
      <c r="BU44">
        <f t="shared" ca="1" si="46"/>
        <v>-1.8689347043249513</v>
      </c>
      <c r="BV44">
        <f t="shared" ca="1" si="46"/>
        <v>-0.52780427785648698</v>
      </c>
      <c r="BW44">
        <f t="shared" ca="1" si="46"/>
        <v>-1.1550339384839128</v>
      </c>
      <c r="BX44">
        <f t="shared" ca="1" si="47"/>
        <v>-0.98088770537350189</v>
      </c>
      <c r="BY44">
        <f t="shared" ca="1" si="47"/>
        <v>-0.29722175845071763</v>
      </c>
      <c r="BZ44">
        <f t="shared" ca="1" si="47"/>
        <v>-2.1269705655801285</v>
      </c>
      <c r="CA44">
        <f t="shared" ca="1" si="47"/>
        <v>-0.68439251677407986</v>
      </c>
      <c r="CB44">
        <f t="shared" ca="1" si="47"/>
        <v>-0.25543000208383748</v>
      </c>
      <c r="CC44">
        <f t="shared" ca="1" si="47"/>
        <v>0.89354074718104326</v>
      </c>
      <c r="CD44">
        <f t="shared" ca="1" si="47"/>
        <v>-0.68815556899451069</v>
      </c>
      <c r="CE44">
        <f t="shared" ca="1" si="47"/>
        <v>-5.4460334464479887E-4</v>
      </c>
      <c r="CF44">
        <f t="shared" ca="1" si="47"/>
        <v>-8.2559594932972311E-2</v>
      </c>
      <c r="CG44">
        <f t="shared" ca="1" si="47"/>
        <v>1.1790048248674454</v>
      </c>
      <c r="CH44">
        <f t="shared" ca="1" si="48"/>
        <v>-1.9348008343147971</v>
      </c>
      <c r="CI44">
        <f t="shared" ca="1" si="48"/>
        <v>0.2700214822995099</v>
      </c>
      <c r="CJ44">
        <f t="shared" ca="1" si="48"/>
        <v>1.4117735526573205</v>
      </c>
      <c r="CK44">
        <f t="shared" ca="1" si="48"/>
        <v>-0.34615305693711973</v>
      </c>
      <c r="CL44">
        <f t="shared" ca="1" si="48"/>
        <v>-0.38328731622844731</v>
      </c>
      <c r="CM44">
        <f t="shared" ca="1" si="48"/>
        <v>-1.0492256914120945</v>
      </c>
      <c r="CN44">
        <f t="shared" ca="1" si="48"/>
        <v>1.4924592511498853</v>
      </c>
      <c r="CO44">
        <f t="shared" ca="1" si="48"/>
        <v>-0.92690102153981913</v>
      </c>
      <c r="CP44">
        <f t="shared" ca="1" si="48"/>
        <v>1.649559345706207</v>
      </c>
      <c r="CQ44">
        <f t="shared" ca="1" si="48"/>
        <v>-4.2225934519291707E-2</v>
      </c>
      <c r="CR44">
        <f t="shared" ca="1" si="49"/>
        <v>-1.8513565873703612</v>
      </c>
      <c r="CS44">
        <f t="shared" ca="1" si="49"/>
        <v>0.13456067907358363</v>
      </c>
      <c r="CT44">
        <f t="shared" ca="1" si="49"/>
        <v>0.50464990641462371</v>
      </c>
      <c r="CU44">
        <f t="shared" ca="1" si="49"/>
        <v>0.21911980911938284</v>
      </c>
      <c r="CV44">
        <f t="shared" ca="1" si="49"/>
        <v>-0.87823424979317311</v>
      </c>
      <c r="CW44">
        <f t="shared" ca="1" si="49"/>
        <v>0.76369459887307112</v>
      </c>
      <c r="CX44">
        <f t="shared" ca="1" si="49"/>
        <v>0.2605410382723784</v>
      </c>
      <c r="CY44">
        <f t="shared" ca="1" si="49"/>
        <v>-0.28708950591343863</v>
      </c>
      <c r="CZ44">
        <f t="shared" ca="1" si="49"/>
        <v>-0.35426676916315941</v>
      </c>
      <c r="DA44">
        <f t="shared" ca="1" si="49"/>
        <v>-0.69694294929055578</v>
      </c>
    </row>
    <row r="45" spans="5:105" x14ac:dyDescent="0.25">
      <c r="E45">
        <f>S_plus!L45</f>
        <v>0.43000000000000022</v>
      </c>
      <c r="F45">
        <f t="shared" ca="1" si="40"/>
        <v>0.67848561508569272</v>
      </c>
      <c r="G45">
        <f t="shared" ca="1" si="40"/>
        <v>-1.0651945231126445</v>
      </c>
      <c r="H45">
        <f t="shared" ca="1" si="40"/>
        <v>-0.25850086234592384</v>
      </c>
      <c r="I45">
        <f t="shared" ca="1" si="40"/>
        <v>-0.93484174916131602</v>
      </c>
      <c r="J45">
        <f t="shared" ca="1" si="40"/>
        <v>0.13658328120317331</v>
      </c>
      <c r="K45">
        <f t="shared" ca="1" si="40"/>
        <v>0.18392482612233138</v>
      </c>
      <c r="L45">
        <f t="shared" ca="1" si="40"/>
        <v>-1.1527023550745519</v>
      </c>
      <c r="M45">
        <f t="shared" ca="1" si="40"/>
        <v>-0.78653189510496591</v>
      </c>
      <c r="N45">
        <f t="shared" ca="1" si="40"/>
        <v>-0.49230867449219556</v>
      </c>
      <c r="O45">
        <f t="shared" ca="1" si="40"/>
        <v>-1.8029104834613905</v>
      </c>
      <c r="P45">
        <f t="shared" ca="1" si="41"/>
        <v>0.15689236196920819</v>
      </c>
      <c r="Q45">
        <f t="shared" ca="1" si="41"/>
        <v>-1.2203431797714006</v>
      </c>
      <c r="R45">
        <f t="shared" ca="1" si="41"/>
        <v>0.55155001277425875</v>
      </c>
      <c r="S45">
        <f t="shared" ca="1" si="41"/>
        <v>-1.8598028031232814</v>
      </c>
      <c r="T45">
        <f t="shared" ca="1" si="41"/>
        <v>0.47472810680051092</v>
      </c>
      <c r="U45">
        <f t="shared" ca="1" si="41"/>
        <v>1.902770839356009</v>
      </c>
      <c r="V45">
        <f t="shared" ca="1" si="41"/>
        <v>1.1818818490621303</v>
      </c>
      <c r="W45">
        <f t="shared" ca="1" si="41"/>
        <v>-9.3055625343785295E-2</v>
      </c>
      <c r="X45">
        <f t="shared" ca="1" si="41"/>
        <v>-0.95154128266047411</v>
      </c>
      <c r="Y45">
        <f t="shared" ca="1" si="41"/>
        <v>1.4431979943420956</v>
      </c>
      <c r="Z45">
        <f t="shared" ca="1" si="42"/>
        <v>-1.1925248921929363</v>
      </c>
      <c r="AA45">
        <f t="shared" ca="1" si="42"/>
        <v>-0.10715773242230575</v>
      </c>
      <c r="AB45">
        <f t="shared" ca="1" si="42"/>
        <v>0.31333971814953249</v>
      </c>
      <c r="AC45">
        <f t="shared" ca="1" si="42"/>
        <v>0.88401314917072171</v>
      </c>
      <c r="AD45">
        <f t="shared" ca="1" si="42"/>
        <v>0.6023473501240979</v>
      </c>
      <c r="AE45">
        <f t="shared" ca="1" si="42"/>
        <v>-9.6161632840171485E-2</v>
      </c>
      <c r="AF45">
        <f t="shared" ca="1" si="42"/>
        <v>1.0724495860020333</v>
      </c>
      <c r="AG45">
        <f t="shared" ca="1" si="42"/>
        <v>0.5609358792086595</v>
      </c>
      <c r="AH45">
        <f t="shared" ca="1" si="42"/>
        <v>0.1942908692061073</v>
      </c>
      <c r="AI45">
        <f t="shared" ca="1" si="42"/>
        <v>-1.7331764281299751</v>
      </c>
      <c r="AJ45">
        <f t="shared" ca="1" si="43"/>
        <v>-0.52711306529943147</v>
      </c>
      <c r="AK45">
        <f t="shared" ca="1" si="43"/>
        <v>0.84971674530246577</v>
      </c>
      <c r="AL45">
        <f t="shared" ca="1" si="43"/>
        <v>-0.80495920737763127</v>
      </c>
      <c r="AM45">
        <f t="shared" ca="1" si="43"/>
        <v>0.88407591096989357</v>
      </c>
      <c r="AN45">
        <f t="shared" ca="1" si="43"/>
        <v>-0.11891728598055071</v>
      </c>
      <c r="AO45">
        <f t="shared" ca="1" si="43"/>
        <v>-1.102458929450626</v>
      </c>
      <c r="AP45">
        <f t="shared" ca="1" si="43"/>
        <v>-0.81529966666576581</v>
      </c>
      <c r="AQ45">
        <f t="shared" ca="1" si="43"/>
        <v>0.37734753631418516</v>
      </c>
      <c r="AR45">
        <f t="shared" ca="1" si="43"/>
        <v>-0.1154031490249478</v>
      </c>
      <c r="AS45">
        <f t="shared" ca="1" si="43"/>
        <v>0.34761988059441784</v>
      </c>
      <c r="AT45">
        <f t="shared" ca="1" si="44"/>
        <v>-0.5362663316829861</v>
      </c>
      <c r="AU45">
        <f t="shared" ca="1" si="44"/>
        <v>0.90153740918936431</v>
      </c>
      <c r="AV45">
        <f t="shared" ca="1" si="44"/>
        <v>0.16251494927415389</v>
      </c>
      <c r="AW45">
        <f t="shared" ca="1" si="44"/>
        <v>-0.61856567291895659</v>
      </c>
      <c r="AX45">
        <f t="shared" ca="1" si="44"/>
        <v>1.2408430304511895</v>
      </c>
      <c r="AY45">
        <f t="shared" ca="1" si="44"/>
        <v>1.558613484427624</v>
      </c>
      <c r="AZ45">
        <f t="shared" ca="1" si="44"/>
        <v>0.15105959955120835</v>
      </c>
      <c r="BA45">
        <f t="shared" ca="1" si="44"/>
        <v>-0.66611568739843507</v>
      </c>
      <c r="BB45">
        <f t="shared" ca="1" si="44"/>
        <v>2.158726759294114</v>
      </c>
      <c r="BC45">
        <f t="shared" ca="1" si="44"/>
        <v>-1.06524195954554</v>
      </c>
      <c r="BD45">
        <f t="shared" ca="1" si="45"/>
        <v>4.0655278726143093E-2</v>
      </c>
      <c r="BE45">
        <f t="shared" ca="1" si="45"/>
        <v>-0.19651390969030788</v>
      </c>
      <c r="BF45">
        <f t="shared" ca="1" si="45"/>
        <v>0.80908277463222966</v>
      </c>
      <c r="BG45">
        <f t="shared" ca="1" si="45"/>
        <v>-0.84236792901861657</v>
      </c>
      <c r="BH45">
        <f t="shared" ca="1" si="45"/>
        <v>-0.76294673676187152</v>
      </c>
      <c r="BI45">
        <f t="shared" ca="1" si="45"/>
        <v>0.65742502125039837</v>
      </c>
      <c r="BJ45">
        <f t="shared" ca="1" si="45"/>
        <v>-2.0505492822468292</v>
      </c>
      <c r="BK45">
        <f t="shared" ca="1" si="45"/>
        <v>-0.11926360576959981</v>
      </c>
      <c r="BL45">
        <f t="shared" ca="1" si="45"/>
        <v>0.12607302963657804</v>
      </c>
      <c r="BM45">
        <f t="shared" ca="1" si="45"/>
        <v>-2.0044605807460383</v>
      </c>
      <c r="BN45">
        <f t="shared" ca="1" si="46"/>
        <v>-1.1195527140430863</v>
      </c>
      <c r="BO45">
        <f t="shared" ca="1" si="46"/>
        <v>0.34586283043245358</v>
      </c>
      <c r="BP45">
        <f t="shared" ca="1" si="46"/>
        <v>-0.58294229411965481</v>
      </c>
      <c r="BQ45">
        <f t="shared" ca="1" si="46"/>
        <v>-0.53800115073800348</v>
      </c>
      <c r="BR45">
        <f t="shared" ca="1" si="46"/>
        <v>-0.82935613290950916</v>
      </c>
      <c r="BS45">
        <f t="shared" ca="1" si="46"/>
        <v>-0.90296713849186216</v>
      </c>
      <c r="BT45">
        <f t="shared" ca="1" si="46"/>
        <v>-1.1026889726290616</v>
      </c>
      <c r="BU45">
        <f t="shared" ca="1" si="46"/>
        <v>-1.264213946170919</v>
      </c>
      <c r="BV45">
        <f t="shared" ca="1" si="46"/>
        <v>-2.8103761362986708</v>
      </c>
      <c r="BW45">
        <f t="shared" ca="1" si="46"/>
        <v>0.75279740625534686</v>
      </c>
      <c r="BX45">
        <f t="shared" ca="1" si="47"/>
        <v>-1.6715247219769878</v>
      </c>
      <c r="BY45">
        <f t="shared" ca="1" si="47"/>
        <v>1.876106590893257</v>
      </c>
      <c r="BZ45">
        <f t="shared" ca="1" si="47"/>
        <v>0.41374917491239233</v>
      </c>
      <c r="CA45">
        <f t="shared" ca="1" si="47"/>
        <v>0.42893269575171278</v>
      </c>
      <c r="CB45">
        <f t="shared" ca="1" si="47"/>
        <v>0.75757123107059998</v>
      </c>
      <c r="CC45">
        <f t="shared" ca="1" si="47"/>
        <v>0.15543696564116746</v>
      </c>
      <c r="CD45">
        <f t="shared" ca="1" si="47"/>
        <v>1.8784040989380308</v>
      </c>
      <c r="CE45">
        <f t="shared" ca="1" si="47"/>
        <v>6.9842988033915199E-2</v>
      </c>
      <c r="CF45">
        <f t="shared" ca="1" si="47"/>
        <v>-0.52129641013858219</v>
      </c>
      <c r="CG45">
        <f t="shared" ca="1" si="47"/>
        <v>-1.2708861487202985</v>
      </c>
      <c r="CH45">
        <f t="shared" ca="1" si="48"/>
        <v>0.57310031117720017</v>
      </c>
      <c r="CI45">
        <f t="shared" ca="1" si="48"/>
        <v>-0.22268299891219892</v>
      </c>
      <c r="CJ45">
        <f t="shared" ca="1" si="48"/>
        <v>-2.1986211176117185E-2</v>
      </c>
      <c r="CK45">
        <f t="shared" ca="1" si="48"/>
        <v>-0.3835697870867899</v>
      </c>
      <c r="CL45">
        <f t="shared" ca="1" si="48"/>
        <v>-0.70146799581249231</v>
      </c>
      <c r="CM45">
        <f t="shared" ca="1" si="48"/>
        <v>-0.70188846678417482</v>
      </c>
      <c r="CN45">
        <f t="shared" ca="1" si="48"/>
        <v>-0.52079483447267783</v>
      </c>
      <c r="CO45">
        <f t="shared" ca="1" si="48"/>
        <v>-8.0745739544630726E-2</v>
      </c>
      <c r="CP45">
        <f t="shared" ca="1" si="48"/>
        <v>-1.5395626301166738</v>
      </c>
      <c r="CQ45">
        <f t="shared" ca="1" si="48"/>
        <v>0.29424655475629991</v>
      </c>
      <c r="CR45">
        <f t="shared" ca="1" si="49"/>
        <v>0.33060359338183176</v>
      </c>
      <c r="CS45">
        <f t="shared" ca="1" si="49"/>
        <v>1.3758810081636106</v>
      </c>
      <c r="CT45">
        <f t="shared" ca="1" si="49"/>
        <v>-7.2059713277444162E-2</v>
      </c>
      <c r="CU45">
        <f t="shared" ca="1" si="49"/>
        <v>-2.6304979978627547</v>
      </c>
      <c r="CV45">
        <f t="shared" ca="1" si="49"/>
        <v>7.8940367294664152E-2</v>
      </c>
      <c r="CW45">
        <f t="shared" ca="1" si="49"/>
        <v>-0.37030529427247599</v>
      </c>
      <c r="CX45">
        <f t="shared" ca="1" si="49"/>
        <v>-0.76489115386680329</v>
      </c>
      <c r="CY45">
        <f t="shared" ca="1" si="49"/>
        <v>-1.4850501267874572</v>
      </c>
      <c r="CZ45">
        <f t="shared" ca="1" si="49"/>
        <v>0.39998979461593892</v>
      </c>
      <c r="DA45">
        <f t="shared" ca="1" si="49"/>
        <v>-0.10522162117709648</v>
      </c>
    </row>
    <row r="46" spans="5:105" x14ac:dyDescent="0.25">
      <c r="E46">
        <f>S_plus!L46</f>
        <v>0.44000000000000022</v>
      </c>
      <c r="F46">
        <f t="shared" ca="1" si="40"/>
        <v>-0.69999624978666952</v>
      </c>
      <c r="G46">
        <f t="shared" ca="1" si="40"/>
        <v>1.0095742270639925</v>
      </c>
      <c r="H46">
        <f t="shared" ca="1" si="40"/>
        <v>0.4751487158018875</v>
      </c>
      <c r="I46">
        <f t="shared" ca="1" si="40"/>
        <v>-1.0086918649731507</v>
      </c>
      <c r="J46">
        <f t="shared" ca="1" si="40"/>
        <v>0.27827767063713332</v>
      </c>
      <c r="K46">
        <f t="shared" ca="1" si="40"/>
        <v>1.14197586601875</v>
      </c>
      <c r="L46">
        <f t="shared" ca="1" si="40"/>
        <v>0.48079028706218357</v>
      </c>
      <c r="M46">
        <f t="shared" ca="1" si="40"/>
        <v>-0.78329718004001003</v>
      </c>
      <c r="N46">
        <f t="shared" ca="1" si="40"/>
        <v>1.4437779002037856</v>
      </c>
      <c r="O46">
        <f t="shared" ca="1" si="40"/>
        <v>1.1026319940873275</v>
      </c>
      <c r="P46">
        <f t="shared" ca="1" si="41"/>
        <v>-9.7952678344552638E-2</v>
      </c>
      <c r="Q46">
        <f t="shared" ca="1" si="41"/>
        <v>-1.3822425528719063E-2</v>
      </c>
      <c r="R46">
        <f t="shared" ca="1" si="41"/>
        <v>1.5083815915821277</v>
      </c>
      <c r="S46">
        <f t="shared" ca="1" si="41"/>
        <v>1.4747333166938088</v>
      </c>
      <c r="T46">
        <f t="shared" ca="1" si="41"/>
        <v>-0.11105841865789751</v>
      </c>
      <c r="U46">
        <f t="shared" ca="1" si="41"/>
        <v>-0.6557483599111682</v>
      </c>
      <c r="V46">
        <f t="shared" ca="1" si="41"/>
        <v>-0.20201577043820723</v>
      </c>
      <c r="W46">
        <f t="shared" ca="1" si="41"/>
        <v>0.67798580282201015</v>
      </c>
      <c r="X46">
        <f t="shared" ca="1" si="41"/>
        <v>-0.3096903026078468</v>
      </c>
      <c r="Y46">
        <f t="shared" ca="1" si="41"/>
        <v>0.89961417131270005</v>
      </c>
      <c r="Z46">
        <f t="shared" ca="1" si="42"/>
        <v>0.18261891317898377</v>
      </c>
      <c r="AA46">
        <f t="shared" ca="1" si="42"/>
        <v>-0.63728337244187649</v>
      </c>
      <c r="AB46">
        <f t="shared" ca="1" si="42"/>
        <v>-0.82285841451977515</v>
      </c>
      <c r="AC46">
        <f t="shared" ca="1" si="42"/>
        <v>3.1152703811786697E-2</v>
      </c>
      <c r="AD46">
        <f t="shared" ca="1" si="42"/>
        <v>-0.73007190195346738</v>
      </c>
      <c r="AE46">
        <f t="shared" ca="1" si="42"/>
        <v>-0.19659828029555365</v>
      </c>
      <c r="AF46">
        <f t="shared" ca="1" si="42"/>
        <v>0.21330560833896114</v>
      </c>
      <c r="AG46">
        <f t="shared" ca="1" si="42"/>
        <v>-0.11384677965818367</v>
      </c>
      <c r="AH46">
        <f t="shared" ca="1" si="42"/>
        <v>1.307083709805636</v>
      </c>
      <c r="AI46">
        <f t="shared" ca="1" si="42"/>
        <v>-0.64818454561794059</v>
      </c>
      <c r="AJ46">
        <f t="shared" ca="1" si="43"/>
        <v>-0.49473023828804591</v>
      </c>
      <c r="AK46">
        <f t="shared" ca="1" si="43"/>
        <v>-0.80549230431156194</v>
      </c>
      <c r="AL46">
        <f t="shared" ca="1" si="43"/>
        <v>-1.209343563539069</v>
      </c>
      <c r="AM46">
        <f t="shared" ca="1" si="43"/>
        <v>-1.1737031760345555</v>
      </c>
      <c r="AN46">
        <f t="shared" ca="1" si="43"/>
        <v>0.74141205864275161</v>
      </c>
      <c r="AO46">
        <f t="shared" ca="1" si="43"/>
        <v>-1.3737051223096772</v>
      </c>
      <c r="AP46">
        <f t="shared" ca="1" si="43"/>
        <v>0.25823922550647821</v>
      </c>
      <c r="AQ46">
        <f t="shared" ca="1" si="43"/>
        <v>1.347889690165855</v>
      </c>
      <c r="AR46">
        <f t="shared" ca="1" si="43"/>
        <v>-0.48691143565665235</v>
      </c>
      <c r="AS46">
        <f t="shared" ca="1" si="43"/>
        <v>0.50001328396240263</v>
      </c>
      <c r="AT46">
        <f t="shared" ca="1" si="44"/>
        <v>0.31105483889258984</v>
      </c>
      <c r="AU46">
        <f t="shared" ca="1" si="44"/>
        <v>-7.3263023402211871E-2</v>
      </c>
      <c r="AV46">
        <f t="shared" ca="1" si="44"/>
        <v>-7.6146124254856576E-2</v>
      </c>
      <c r="AW46">
        <f t="shared" ca="1" si="44"/>
        <v>-0.74515311282465257</v>
      </c>
      <c r="AX46">
        <f t="shared" ca="1" si="44"/>
        <v>-5.1775113568790332E-2</v>
      </c>
      <c r="AY46">
        <f t="shared" ca="1" si="44"/>
        <v>0.63120918398001513</v>
      </c>
      <c r="AZ46">
        <f t="shared" ca="1" si="44"/>
        <v>0.36573647876087734</v>
      </c>
      <c r="BA46">
        <f t="shared" ca="1" si="44"/>
        <v>-0.97980050741241942</v>
      </c>
      <c r="BB46">
        <f t="shared" ca="1" si="44"/>
        <v>0.24736853956110166</v>
      </c>
      <c r="BC46">
        <f t="shared" ca="1" si="44"/>
        <v>-1.1307870751851454</v>
      </c>
      <c r="BD46">
        <f t="shared" ca="1" si="45"/>
        <v>0.16425008085388745</v>
      </c>
      <c r="BE46">
        <f t="shared" ca="1" si="45"/>
        <v>-0.1173414429915335</v>
      </c>
      <c r="BF46">
        <f t="shared" ca="1" si="45"/>
        <v>0.63724617653779914</v>
      </c>
      <c r="BG46">
        <f t="shared" ca="1" si="45"/>
        <v>-1.2439503516912733</v>
      </c>
      <c r="BH46">
        <f t="shared" ca="1" si="45"/>
        <v>1.4964102518710845</v>
      </c>
      <c r="BI46">
        <f t="shared" ca="1" si="45"/>
        <v>-1.3152187897998198</v>
      </c>
      <c r="BJ46">
        <f t="shared" ca="1" si="45"/>
        <v>-6.8105432569005248E-3</v>
      </c>
      <c r="BK46">
        <f t="shared" ca="1" si="45"/>
        <v>-0.88952879777232874</v>
      </c>
      <c r="BL46">
        <f t="shared" ca="1" si="45"/>
        <v>-2.1200675697882572</v>
      </c>
      <c r="BM46">
        <f t="shared" ca="1" si="45"/>
        <v>-1.3844482688491582</v>
      </c>
      <c r="BN46">
        <f t="shared" ca="1" si="46"/>
        <v>-0.22986295474923898</v>
      </c>
      <c r="BO46">
        <f t="shared" ca="1" si="46"/>
        <v>0.2975663718859039</v>
      </c>
      <c r="BP46">
        <f t="shared" ca="1" si="46"/>
        <v>-1.4596840284473431</v>
      </c>
      <c r="BQ46">
        <f t="shared" ca="1" si="46"/>
        <v>0.25721103863087702</v>
      </c>
      <c r="BR46">
        <f t="shared" ca="1" si="46"/>
        <v>-1.7262378816893318</v>
      </c>
      <c r="BS46">
        <f t="shared" ca="1" si="46"/>
        <v>0.60822472982594256</v>
      </c>
      <c r="BT46">
        <f t="shared" ca="1" si="46"/>
        <v>0.45979760573603096</v>
      </c>
      <c r="BU46">
        <f t="shared" ca="1" si="46"/>
        <v>1.7132996340119522</v>
      </c>
      <c r="BV46">
        <f t="shared" ca="1" si="46"/>
        <v>0.3932902808243593</v>
      </c>
      <c r="BW46">
        <f t="shared" ca="1" si="46"/>
        <v>0.82301708750440827</v>
      </c>
      <c r="BX46">
        <f t="shared" ca="1" si="47"/>
        <v>-1.4278198943566058</v>
      </c>
      <c r="BY46">
        <f t="shared" ca="1" si="47"/>
        <v>0.16106451674807981</v>
      </c>
      <c r="BZ46">
        <f t="shared" ca="1" si="47"/>
        <v>-0.73605984795135415</v>
      </c>
      <c r="CA46">
        <f t="shared" ca="1" si="47"/>
        <v>-0.84491151412079235</v>
      </c>
      <c r="CB46">
        <f t="shared" ca="1" si="47"/>
        <v>1.5146467433348763</v>
      </c>
      <c r="CC46">
        <f t="shared" ca="1" si="47"/>
        <v>1.6466760488595487</v>
      </c>
      <c r="CD46">
        <f t="shared" ca="1" si="47"/>
        <v>-9.2707917427541794E-2</v>
      </c>
      <c r="CE46">
        <f t="shared" ca="1" si="47"/>
        <v>1.2111517439953516</v>
      </c>
      <c r="CF46">
        <f t="shared" ca="1" si="47"/>
        <v>-0.87022014906699585</v>
      </c>
      <c r="CG46">
        <f t="shared" ca="1" si="47"/>
        <v>1.2958992045728457</v>
      </c>
      <c r="CH46">
        <f t="shared" ca="1" si="48"/>
        <v>7.237776143547503E-2</v>
      </c>
      <c r="CI46">
        <f t="shared" ca="1" si="48"/>
        <v>-2.2122288196021422</v>
      </c>
      <c r="CJ46">
        <f t="shared" ca="1" si="48"/>
        <v>-0.76039564697329609</v>
      </c>
      <c r="CK46">
        <f t="shared" ca="1" si="48"/>
        <v>-1.9484849830044739</v>
      </c>
      <c r="CL46">
        <f t="shared" ca="1" si="48"/>
        <v>0.56038236086650062</v>
      </c>
      <c r="CM46">
        <f t="shared" ca="1" si="48"/>
        <v>-0.39714202267447002</v>
      </c>
      <c r="CN46">
        <f t="shared" ca="1" si="48"/>
        <v>0.85211954860420869</v>
      </c>
      <c r="CO46">
        <f t="shared" ca="1" si="48"/>
        <v>-0.39624095496772838</v>
      </c>
      <c r="CP46">
        <f t="shared" ca="1" si="48"/>
        <v>0.49566032823002848</v>
      </c>
      <c r="CQ46">
        <f t="shared" ca="1" si="48"/>
        <v>0.50656826379550512</v>
      </c>
      <c r="CR46">
        <f t="shared" ca="1" si="49"/>
        <v>2.1455016253236741</v>
      </c>
      <c r="CS46">
        <f t="shared" ca="1" si="49"/>
        <v>-1.2430931781693744</v>
      </c>
      <c r="CT46">
        <f t="shared" ca="1" si="49"/>
        <v>-0.2696941138287598</v>
      </c>
      <c r="CU46">
        <f t="shared" ca="1" si="49"/>
        <v>0.25357772456754857</v>
      </c>
      <c r="CV46">
        <f t="shared" ca="1" si="49"/>
        <v>-1.577881089981354</v>
      </c>
      <c r="CW46">
        <f t="shared" ca="1" si="49"/>
        <v>-0.54572190123456898</v>
      </c>
      <c r="CX46">
        <f t="shared" ca="1" si="49"/>
        <v>0.27253684286711999</v>
      </c>
      <c r="CY46">
        <f t="shared" ca="1" si="49"/>
        <v>0.92724805845220826</v>
      </c>
      <c r="CZ46">
        <f t="shared" ca="1" si="49"/>
        <v>-0.99132609601555122</v>
      </c>
      <c r="DA46">
        <f t="shared" ca="1" si="49"/>
        <v>1.0920019580555238</v>
      </c>
    </row>
    <row r="47" spans="5:105" x14ac:dyDescent="0.25">
      <c r="E47">
        <f>S_plus!L47</f>
        <v>0.45000000000000023</v>
      </c>
      <c r="F47">
        <f t="shared" ca="1" si="40"/>
        <v>-0.46214419951729541</v>
      </c>
      <c r="G47">
        <f t="shared" ca="1" si="40"/>
        <v>0.44153514715002318</v>
      </c>
      <c r="H47">
        <f t="shared" ca="1" si="40"/>
        <v>0.96240887888110827</v>
      </c>
      <c r="I47">
        <f t="shared" ca="1" si="40"/>
        <v>-0.74464798021132472</v>
      </c>
      <c r="J47">
        <f t="shared" ca="1" si="40"/>
        <v>-0.93588762410597259</v>
      </c>
      <c r="K47">
        <f t="shared" ca="1" si="40"/>
        <v>1.6952505821655119</v>
      </c>
      <c r="L47">
        <f t="shared" ca="1" si="40"/>
        <v>-0.20235956621980977</v>
      </c>
      <c r="M47">
        <f t="shared" ca="1" si="40"/>
        <v>-0.28255228468829652</v>
      </c>
      <c r="N47">
        <f t="shared" ca="1" si="40"/>
        <v>-0.96283508755919822</v>
      </c>
      <c r="O47">
        <f t="shared" ca="1" si="40"/>
        <v>0.98451395859577229</v>
      </c>
      <c r="P47">
        <f t="shared" ca="1" si="41"/>
        <v>-0.10746794243275545</v>
      </c>
      <c r="Q47">
        <f t="shared" ca="1" si="41"/>
        <v>0.12899404888728305</v>
      </c>
      <c r="R47">
        <f t="shared" ca="1" si="41"/>
        <v>2.0902861536860325E-2</v>
      </c>
      <c r="S47">
        <f t="shared" ca="1" si="41"/>
        <v>1.4223611754715993E-2</v>
      </c>
      <c r="T47">
        <f t="shared" ca="1" si="41"/>
        <v>-0.47395276509641049</v>
      </c>
      <c r="U47">
        <f t="shared" ca="1" si="41"/>
        <v>0.75624807962541052</v>
      </c>
      <c r="V47">
        <f t="shared" ca="1" si="41"/>
        <v>-0.22443604414254315</v>
      </c>
      <c r="W47">
        <f t="shared" ca="1" si="41"/>
        <v>0.28755937983788749</v>
      </c>
      <c r="X47">
        <f t="shared" ca="1" si="41"/>
        <v>0.27917442036184958</v>
      </c>
      <c r="Y47">
        <f t="shared" ca="1" si="41"/>
        <v>0.95292133594249828</v>
      </c>
      <c r="Z47">
        <f t="shared" ca="1" si="42"/>
        <v>-0.48798885077907428</v>
      </c>
      <c r="AA47">
        <f t="shared" ca="1" si="42"/>
        <v>0.66097991887045671</v>
      </c>
      <c r="AB47">
        <f t="shared" ca="1" si="42"/>
        <v>0.54597253933688239</v>
      </c>
      <c r="AC47">
        <f t="shared" ca="1" si="42"/>
        <v>-0.16586894831789389</v>
      </c>
      <c r="AD47">
        <f t="shared" ca="1" si="42"/>
        <v>-6.1129163531665788E-2</v>
      </c>
      <c r="AE47">
        <f t="shared" ca="1" si="42"/>
        <v>0.18960851719373123</v>
      </c>
      <c r="AF47">
        <f t="shared" ca="1" si="42"/>
        <v>1.0412852035407016</v>
      </c>
      <c r="AG47">
        <f t="shared" ca="1" si="42"/>
        <v>-0.33887881327591363</v>
      </c>
      <c r="AH47">
        <f t="shared" ca="1" si="42"/>
        <v>-0.49006651467327106</v>
      </c>
      <c r="AI47">
        <f t="shared" ca="1" si="42"/>
        <v>-0.52270100237761552</v>
      </c>
      <c r="AJ47">
        <f t="shared" ca="1" si="43"/>
        <v>0.31373442552333264</v>
      </c>
      <c r="AK47">
        <f t="shared" ca="1" si="43"/>
        <v>0.91008666784266168</v>
      </c>
      <c r="AL47">
        <f t="shared" ca="1" si="43"/>
        <v>-1.6484917583334455E-2</v>
      </c>
      <c r="AM47">
        <f t="shared" ca="1" si="43"/>
        <v>-0.14772706252062598</v>
      </c>
      <c r="AN47">
        <f t="shared" ca="1" si="43"/>
        <v>2.6714691787618627</v>
      </c>
      <c r="AO47">
        <f t="shared" ca="1" si="43"/>
        <v>-0.17111328394886971</v>
      </c>
      <c r="AP47">
        <f t="shared" ca="1" si="43"/>
        <v>-0.40416650734572418</v>
      </c>
      <c r="AQ47">
        <f t="shared" ca="1" si="43"/>
        <v>0.28101190812180377</v>
      </c>
      <c r="AR47">
        <f t="shared" ca="1" si="43"/>
        <v>-1.6068634608070191</v>
      </c>
      <c r="AS47">
        <f t="shared" ca="1" si="43"/>
        <v>0.36010340462414187</v>
      </c>
      <c r="AT47">
        <f t="shared" ca="1" si="44"/>
        <v>0.61183090836920473</v>
      </c>
      <c r="AU47">
        <f t="shared" ca="1" si="44"/>
        <v>-0.41199156210903104</v>
      </c>
      <c r="AV47">
        <f t="shared" ca="1" si="44"/>
        <v>0.62283573742463849</v>
      </c>
      <c r="AW47">
        <f t="shared" ca="1" si="44"/>
        <v>0.18005677787011837</v>
      </c>
      <c r="AX47">
        <f t="shared" ca="1" si="44"/>
        <v>-0.31628809375315092</v>
      </c>
      <c r="AY47">
        <f t="shared" ca="1" si="44"/>
        <v>0.97158762102752871</v>
      </c>
      <c r="AZ47">
        <f t="shared" ca="1" si="44"/>
        <v>0.92808387792314351</v>
      </c>
      <c r="BA47">
        <f t="shared" ca="1" si="44"/>
        <v>-0.18513696313860808</v>
      </c>
      <c r="BB47">
        <f t="shared" ca="1" si="44"/>
        <v>-0.2009079404062884</v>
      </c>
      <c r="BC47">
        <f t="shared" ca="1" si="44"/>
        <v>-0.84271987838816054</v>
      </c>
      <c r="BD47">
        <f t="shared" ca="1" si="45"/>
        <v>-1.2500478381701221</v>
      </c>
      <c r="BE47">
        <f t="shared" ca="1" si="45"/>
        <v>-0.89886793009430221</v>
      </c>
      <c r="BF47">
        <f t="shared" ca="1" si="45"/>
        <v>-0.4085577718275199</v>
      </c>
      <c r="BG47">
        <f t="shared" ca="1" si="45"/>
        <v>0.29456521692561477</v>
      </c>
      <c r="BH47">
        <f t="shared" ca="1" si="45"/>
        <v>0.56235646984456777</v>
      </c>
      <c r="BI47">
        <f t="shared" ca="1" si="45"/>
        <v>-0.24709705892954964</v>
      </c>
      <c r="BJ47">
        <f t="shared" ca="1" si="45"/>
        <v>-0.53391900419804816</v>
      </c>
      <c r="BK47">
        <f t="shared" ca="1" si="45"/>
        <v>1.2746511107461624</v>
      </c>
      <c r="BL47">
        <f t="shared" ca="1" si="45"/>
        <v>0.33266766888609878</v>
      </c>
      <c r="BM47">
        <f t="shared" ca="1" si="45"/>
        <v>-0.73227578053731979</v>
      </c>
      <c r="BN47">
        <f t="shared" ca="1" si="46"/>
        <v>-0.49289998274789587</v>
      </c>
      <c r="BO47">
        <f t="shared" ca="1" si="46"/>
        <v>0.1604730524984585</v>
      </c>
      <c r="BP47">
        <f t="shared" ca="1" si="46"/>
        <v>0.15465056166827176</v>
      </c>
      <c r="BQ47">
        <f t="shared" ca="1" si="46"/>
        <v>1.1089170998071463</v>
      </c>
      <c r="BR47">
        <f t="shared" ca="1" si="46"/>
        <v>1.0566623635715554E-2</v>
      </c>
      <c r="BS47">
        <f t="shared" ca="1" si="46"/>
        <v>0.57509367394870325</v>
      </c>
      <c r="BT47">
        <f t="shared" ca="1" si="46"/>
        <v>-0.73591206600836079</v>
      </c>
      <c r="BU47">
        <f t="shared" ca="1" si="46"/>
        <v>-0.71320876608197503</v>
      </c>
      <c r="BV47">
        <f t="shared" ca="1" si="46"/>
        <v>-0.84422253557316251</v>
      </c>
      <c r="BW47">
        <f t="shared" ca="1" si="46"/>
        <v>-0.41954595792470939</v>
      </c>
      <c r="BX47">
        <f t="shared" ca="1" si="47"/>
        <v>0.27103387848172872</v>
      </c>
      <c r="BY47">
        <f t="shared" ca="1" si="47"/>
        <v>0.55008929466237477</v>
      </c>
      <c r="BZ47">
        <f t="shared" ca="1" si="47"/>
        <v>0.93165406606924017</v>
      </c>
      <c r="CA47">
        <f t="shared" ca="1" si="47"/>
        <v>-1.4601023673311204</v>
      </c>
      <c r="CB47">
        <f t="shared" ca="1" si="47"/>
        <v>-0.34203632459673439</v>
      </c>
      <c r="CC47">
        <f t="shared" ca="1" si="47"/>
        <v>1.0688230356481843</v>
      </c>
      <c r="CD47">
        <f t="shared" ca="1" si="47"/>
        <v>-1.1165154866916609</v>
      </c>
      <c r="CE47">
        <f t="shared" ca="1" si="47"/>
        <v>-0.43859768406956029</v>
      </c>
      <c r="CF47">
        <f t="shared" ca="1" si="47"/>
        <v>0.10828647698179959</v>
      </c>
      <c r="CG47">
        <f t="shared" ca="1" si="47"/>
        <v>0.10579731078596552</v>
      </c>
      <c r="CH47">
        <f t="shared" ca="1" si="48"/>
        <v>0.8347368824648298</v>
      </c>
      <c r="CI47">
        <f t="shared" ca="1" si="48"/>
        <v>-3.9396891960268146E-2</v>
      </c>
      <c r="CJ47">
        <f t="shared" ca="1" si="48"/>
        <v>-0.24689050494600875</v>
      </c>
      <c r="CK47">
        <f t="shared" ca="1" si="48"/>
        <v>-0.33949599393985758</v>
      </c>
      <c r="CL47">
        <f t="shared" ca="1" si="48"/>
        <v>-0.32540505145233156</v>
      </c>
      <c r="CM47">
        <f t="shared" ca="1" si="48"/>
        <v>-0.24374357201370134</v>
      </c>
      <c r="CN47">
        <f t="shared" ca="1" si="48"/>
        <v>-0.57029563465451083</v>
      </c>
      <c r="CO47">
        <f t="shared" ca="1" si="48"/>
        <v>0.86051552208805626</v>
      </c>
      <c r="CP47">
        <f t="shared" ca="1" si="48"/>
        <v>0.84938406193760907</v>
      </c>
      <c r="CQ47">
        <f t="shared" ca="1" si="48"/>
        <v>0.28020971890710195</v>
      </c>
      <c r="CR47">
        <f t="shared" ca="1" si="49"/>
        <v>1.6612352672896813</v>
      </c>
      <c r="CS47">
        <f t="shared" ca="1" si="49"/>
        <v>0.50115455987540536</v>
      </c>
      <c r="CT47">
        <f t="shared" ca="1" si="49"/>
        <v>0.92446160592161586</v>
      </c>
      <c r="CU47">
        <f t="shared" ca="1" si="49"/>
        <v>-1.7661445006290797</v>
      </c>
      <c r="CV47">
        <f t="shared" ca="1" si="49"/>
        <v>-0.84963932407346365</v>
      </c>
      <c r="CW47">
        <f t="shared" ca="1" si="49"/>
        <v>1.4624165460255254</v>
      </c>
      <c r="CX47">
        <f t="shared" ca="1" si="49"/>
        <v>-3.8597649595759634E-2</v>
      </c>
      <c r="CY47">
        <f t="shared" ca="1" si="49"/>
        <v>-0.67488774446823951</v>
      </c>
      <c r="CZ47">
        <f t="shared" ca="1" si="49"/>
        <v>0.75005791022508594</v>
      </c>
      <c r="DA47">
        <f t="shared" ca="1" si="49"/>
        <v>-0.67389517826652923</v>
      </c>
    </row>
    <row r="48" spans="5:105" x14ac:dyDescent="0.25">
      <c r="E48">
        <f>S_plus!L48</f>
        <v>0.46000000000000024</v>
      </c>
      <c r="F48">
        <f t="shared" ca="1" si="40"/>
        <v>-0.25214215833531378</v>
      </c>
      <c r="G48">
        <f t="shared" ca="1" si="40"/>
        <v>-4.0984243840617683E-2</v>
      </c>
      <c r="H48">
        <f t="shared" ca="1" si="40"/>
        <v>0.7403540869785139</v>
      </c>
      <c r="I48">
        <f t="shared" ca="1" si="40"/>
        <v>1.576580745033249</v>
      </c>
      <c r="J48">
        <f t="shared" ca="1" si="40"/>
        <v>3.3738912352326275E-2</v>
      </c>
      <c r="K48">
        <f t="shared" ca="1" si="40"/>
        <v>0.45319843446150915</v>
      </c>
      <c r="L48">
        <f t="shared" ca="1" si="40"/>
        <v>-0.14717029468003331</v>
      </c>
      <c r="M48">
        <f t="shared" ca="1" si="40"/>
        <v>0.1369800171219426</v>
      </c>
      <c r="N48">
        <f t="shared" ca="1" si="40"/>
        <v>1.7771000114217981</v>
      </c>
      <c r="O48">
        <f t="shared" ca="1" si="40"/>
        <v>-1.361546175679252</v>
      </c>
      <c r="P48">
        <f t="shared" ca="1" si="41"/>
        <v>5.4465426572518086E-2</v>
      </c>
      <c r="Q48">
        <f t="shared" ca="1" si="41"/>
        <v>-0.22937450040346846</v>
      </c>
      <c r="R48">
        <f t="shared" ca="1" si="41"/>
        <v>-1.3973396230923618</v>
      </c>
      <c r="S48">
        <f t="shared" ca="1" si="41"/>
        <v>-0.33765838624745731</v>
      </c>
      <c r="T48">
        <f t="shared" ca="1" si="41"/>
        <v>-0.53972868161388077</v>
      </c>
      <c r="U48">
        <f t="shared" ca="1" si="41"/>
        <v>-9.7335895340674924E-2</v>
      </c>
      <c r="V48">
        <f t="shared" ca="1" si="41"/>
        <v>-0.53335697172625351</v>
      </c>
      <c r="W48">
        <f t="shared" ca="1" si="41"/>
        <v>1.0893606871905148</v>
      </c>
      <c r="X48">
        <f t="shared" ca="1" si="41"/>
        <v>0.14630032517647767</v>
      </c>
      <c r="Y48">
        <f t="shared" ca="1" si="41"/>
        <v>-1.1468620312155118</v>
      </c>
      <c r="Z48">
        <f t="shared" ca="1" si="42"/>
        <v>-2.1564784338642164</v>
      </c>
      <c r="AA48">
        <f t="shared" ca="1" si="42"/>
        <v>1.1799511103136362</v>
      </c>
      <c r="AB48">
        <f t="shared" ca="1" si="42"/>
        <v>0.53728098362839405</v>
      </c>
      <c r="AC48">
        <f t="shared" ca="1" si="42"/>
        <v>-1.2253290407914117</v>
      </c>
      <c r="AD48">
        <f t="shared" ca="1" si="42"/>
        <v>-1.1036761600993732</v>
      </c>
      <c r="AE48">
        <f t="shared" ca="1" si="42"/>
        <v>-1.1341741518970714</v>
      </c>
      <c r="AF48">
        <f t="shared" ca="1" si="42"/>
        <v>0.20996000247279503</v>
      </c>
      <c r="AG48">
        <f t="shared" ca="1" si="42"/>
        <v>-2.3692800668164868</v>
      </c>
      <c r="AH48">
        <f t="shared" ca="1" si="42"/>
        <v>-1.5122308362142156</v>
      </c>
      <c r="AI48">
        <f t="shared" ca="1" si="42"/>
        <v>-0.58144218332440889</v>
      </c>
      <c r="AJ48">
        <f t="shared" ca="1" si="43"/>
        <v>0.13028586751374382</v>
      </c>
      <c r="AK48">
        <f t="shared" ca="1" si="43"/>
        <v>0.52501346241481173</v>
      </c>
      <c r="AL48">
        <f t="shared" ca="1" si="43"/>
        <v>0.58446153881041096</v>
      </c>
      <c r="AM48">
        <f t="shared" ca="1" si="43"/>
        <v>1.6325276059449727</v>
      </c>
      <c r="AN48">
        <f t="shared" ca="1" si="43"/>
        <v>1.7747186247236737</v>
      </c>
      <c r="AO48">
        <f t="shared" ca="1" si="43"/>
        <v>-0.89845324060164733</v>
      </c>
      <c r="AP48">
        <f t="shared" ca="1" si="43"/>
        <v>-1.1661027054354747</v>
      </c>
      <c r="AQ48">
        <f t="shared" ca="1" si="43"/>
        <v>-0.47739614797507846</v>
      </c>
      <c r="AR48">
        <f t="shared" ca="1" si="43"/>
        <v>0.16852924572832725</v>
      </c>
      <c r="AS48">
        <f t="shared" ca="1" si="43"/>
        <v>0.48816508044629792</v>
      </c>
      <c r="AT48">
        <f t="shared" ca="1" si="44"/>
        <v>0.54174584642320134</v>
      </c>
      <c r="AU48">
        <f t="shared" ca="1" si="44"/>
        <v>0.77442943533773101</v>
      </c>
      <c r="AV48">
        <f t="shared" ca="1" si="44"/>
        <v>1.458813297790629</v>
      </c>
      <c r="AW48">
        <f t="shared" ca="1" si="44"/>
        <v>-1.2972483772900387</v>
      </c>
      <c r="AX48">
        <f t="shared" ca="1" si="44"/>
        <v>0.83078092649280955</v>
      </c>
      <c r="AY48">
        <f t="shared" ca="1" si="44"/>
        <v>0.21418743359951647</v>
      </c>
      <c r="AZ48">
        <f t="shared" ca="1" si="44"/>
        <v>-5.2966622081810348E-2</v>
      </c>
      <c r="BA48">
        <f t="shared" ca="1" si="44"/>
        <v>0.87133465972652446</v>
      </c>
      <c r="BB48">
        <f t="shared" ca="1" si="44"/>
        <v>1.5068779438632305</v>
      </c>
      <c r="BC48">
        <f t="shared" ca="1" si="44"/>
        <v>-1.4169805609821573</v>
      </c>
      <c r="BD48">
        <f t="shared" ca="1" si="45"/>
        <v>-0.56747907523367314</v>
      </c>
      <c r="BE48">
        <f t="shared" ca="1" si="45"/>
        <v>-0.45878336462260483</v>
      </c>
      <c r="BF48">
        <f t="shared" ca="1" si="45"/>
        <v>0.20092656833507169</v>
      </c>
      <c r="BG48">
        <f t="shared" ca="1" si="45"/>
        <v>0.85123749443190022</v>
      </c>
      <c r="BH48">
        <f t="shared" ca="1" si="45"/>
        <v>0.63567739182324046</v>
      </c>
      <c r="BI48">
        <f t="shared" ca="1" si="45"/>
        <v>0.1360253400295352</v>
      </c>
      <c r="BJ48">
        <f t="shared" ca="1" si="45"/>
        <v>0.83373096790405621</v>
      </c>
      <c r="BK48">
        <f t="shared" ca="1" si="45"/>
        <v>1.1830500376680582</v>
      </c>
      <c r="BL48">
        <f t="shared" ca="1" si="45"/>
        <v>5.0106103506400435E-2</v>
      </c>
      <c r="BM48">
        <f t="shared" ca="1" si="45"/>
        <v>0.32403574982378475</v>
      </c>
      <c r="BN48">
        <f t="shared" ca="1" si="46"/>
        <v>-1.4225363507893329</v>
      </c>
      <c r="BO48">
        <f t="shared" ca="1" si="46"/>
        <v>0.22124749517202871</v>
      </c>
      <c r="BP48">
        <f t="shared" ca="1" si="46"/>
        <v>1.0600517352355117</v>
      </c>
      <c r="BQ48">
        <f t="shared" ca="1" si="46"/>
        <v>1.1409038654732206</v>
      </c>
      <c r="BR48">
        <f t="shared" ca="1" si="46"/>
        <v>-0.77562026805683282</v>
      </c>
      <c r="BS48">
        <f t="shared" ca="1" si="46"/>
        <v>-0.30442576233721524</v>
      </c>
      <c r="BT48">
        <f t="shared" ca="1" si="46"/>
        <v>0.19034655119236565</v>
      </c>
      <c r="BU48">
        <f t="shared" ca="1" si="46"/>
        <v>-0.28831967200323588</v>
      </c>
      <c r="BV48">
        <f t="shared" ca="1" si="46"/>
        <v>-1.5458107001912674E-2</v>
      </c>
      <c r="BW48">
        <f t="shared" ca="1" si="46"/>
        <v>0.28871128709639565</v>
      </c>
      <c r="BX48">
        <f t="shared" ca="1" si="47"/>
        <v>0.11184320069621399</v>
      </c>
      <c r="BY48">
        <f t="shared" ca="1" si="47"/>
        <v>-0.29292635974991632</v>
      </c>
      <c r="BZ48">
        <f t="shared" ca="1" si="47"/>
        <v>-1.8290763528502014</v>
      </c>
      <c r="CA48">
        <f t="shared" ca="1" si="47"/>
        <v>-0.1625994523008793</v>
      </c>
      <c r="CB48">
        <f t="shared" ca="1" si="47"/>
        <v>0.4554747640647161</v>
      </c>
      <c r="CC48">
        <f t="shared" ca="1" si="47"/>
        <v>0.20474663681564101</v>
      </c>
      <c r="CD48">
        <f t="shared" ca="1" si="47"/>
        <v>0.74296385032088785</v>
      </c>
      <c r="CE48">
        <f t="shared" ca="1" si="47"/>
        <v>-1.6379649590189249</v>
      </c>
      <c r="CF48">
        <f t="shared" ca="1" si="47"/>
        <v>0.18155730566190509</v>
      </c>
      <c r="CG48">
        <f t="shared" ca="1" si="47"/>
        <v>-3.185010063832884</v>
      </c>
      <c r="CH48">
        <f t="shared" ca="1" si="48"/>
        <v>-2.1697127336290674</v>
      </c>
      <c r="CI48">
        <f t="shared" ca="1" si="48"/>
        <v>0.55131717407278491</v>
      </c>
      <c r="CJ48">
        <f t="shared" ca="1" si="48"/>
        <v>1.2766194936850388</v>
      </c>
      <c r="CK48">
        <f t="shared" ca="1" si="48"/>
        <v>-0.48586847367423525</v>
      </c>
      <c r="CL48">
        <f t="shared" ca="1" si="48"/>
        <v>-1.1404177473953898E-2</v>
      </c>
      <c r="CM48">
        <f t="shared" ca="1" si="48"/>
        <v>-0.88397443212024418</v>
      </c>
      <c r="CN48">
        <f t="shared" ca="1" si="48"/>
        <v>1.054203184202898</v>
      </c>
      <c r="CO48">
        <f t="shared" ca="1" si="48"/>
        <v>1.457906259772916</v>
      </c>
      <c r="CP48">
        <f t="shared" ca="1" si="48"/>
        <v>0.86831875019023008</v>
      </c>
      <c r="CQ48">
        <f t="shared" ca="1" si="48"/>
        <v>0.6012022199060153</v>
      </c>
      <c r="CR48">
        <f t="shared" ca="1" si="49"/>
        <v>-1.0520681265580797E-3</v>
      </c>
      <c r="CS48">
        <f t="shared" ca="1" si="49"/>
        <v>0.11962588151350517</v>
      </c>
      <c r="CT48">
        <f t="shared" ca="1" si="49"/>
        <v>-0.93901765397294235</v>
      </c>
      <c r="CU48">
        <f t="shared" ca="1" si="49"/>
        <v>1.502809596081657</v>
      </c>
      <c r="CV48">
        <f t="shared" ca="1" si="49"/>
        <v>-0.22372815341055385</v>
      </c>
      <c r="CW48">
        <f t="shared" ca="1" si="49"/>
        <v>-0.7360902566886891</v>
      </c>
      <c r="CX48">
        <f t="shared" ca="1" si="49"/>
        <v>0.25890217605130278</v>
      </c>
      <c r="CY48">
        <f t="shared" ca="1" si="49"/>
        <v>-1.1226152700493772</v>
      </c>
      <c r="CZ48">
        <f t="shared" ca="1" si="49"/>
        <v>-0.86136370100803106</v>
      </c>
      <c r="DA48">
        <f t="shared" ca="1" si="49"/>
        <v>0.45531076458300901</v>
      </c>
    </row>
    <row r="49" spans="5:105" x14ac:dyDescent="0.25">
      <c r="E49">
        <f>S_plus!L49</f>
        <v>0.47000000000000025</v>
      </c>
      <c r="F49">
        <f t="shared" ca="1" si="40"/>
        <v>-1.6400015425860512</v>
      </c>
      <c r="G49">
        <f t="shared" ca="1" si="40"/>
        <v>0.65046395683944813</v>
      </c>
      <c r="H49">
        <f t="shared" ca="1" si="40"/>
        <v>-8.5454736163318307E-2</v>
      </c>
      <c r="I49">
        <f t="shared" ca="1" si="40"/>
        <v>1.7477068348486726</v>
      </c>
      <c r="J49">
        <f t="shared" ca="1" si="40"/>
        <v>0.50988338872999162</v>
      </c>
      <c r="K49">
        <f t="shared" ca="1" si="40"/>
        <v>0.7975867259115027</v>
      </c>
      <c r="L49">
        <f t="shared" ca="1" si="40"/>
        <v>-1.4337931418212582</v>
      </c>
      <c r="M49">
        <f t="shared" ca="1" si="40"/>
        <v>1.4658424442618661</v>
      </c>
      <c r="N49">
        <f t="shared" ca="1" si="40"/>
        <v>-1.6335434427864512</v>
      </c>
      <c r="O49">
        <f t="shared" ca="1" si="40"/>
        <v>0.36008407994610131</v>
      </c>
      <c r="P49">
        <f t="shared" ca="1" si="41"/>
        <v>-0.22995840474063767</v>
      </c>
      <c r="Q49">
        <f t="shared" ca="1" si="41"/>
        <v>1.0037014688465145</v>
      </c>
      <c r="R49">
        <f t="shared" ca="1" si="41"/>
        <v>5.0747712252632235E-2</v>
      </c>
      <c r="S49">
        <f t="shared" ca="1" si="41"/>
        <v>-1.4720156762907413</v>
      </c>
      <c r="T49">
        <f t="shared" ca="1" si="41"/>
        <v>0.63814701358559545</v>
      </c>
      <c r="U49">
        <f t="shared" ca="1" si="41"/>
        <v>0.70038854762448455</v>
      </c>
      <c r="V49">
        <f t="shared" ca="1" si="41"/>
        <v>-0.54907325272781671</v>
      </c>
      <c r="W49">
        <f t="shared" ca="1" si="41"/>
        <v>1.1978142096173612</v>
      </c>
      <c r="X49">
        <f t="shared" ca="1" si="41"/>
        <v>-0.53087768228923005</v>
      </c>
      <c r="Y49">
        <f t="shared" ca="1" si="41"/>
        <v>-1.0431363863497316</v>
      </c>
      <c r="Z49">
        <f t="shared" ca="1" si="42"/>
        <v>-1.044328363042178</v>
      </c>
      <c r="AA49">
        <f t="shared" ca="1" si="42"/>
        <v>3.594840381668029E-3</v>
      </c>
      <c r="AB49">
        <f t="shared" ca="1" si="42"/>
        <v>0.73537909283510883</v>
      </c>
      <c r="AC49">
        <f t="shared" ca="1" si="42"/>
        <v>2.5980558569200798E-3</v>
      </c>
      <c r="AD49">
        <f t="shared" ca="1" si="42"/>
        <v>0.74582079386099587</v>
      </c>
      <c r="AE49">
        <f t="shared" ca="1" si="42"/>
        <v>-0.36430088487661655</v>
      </c>
      <c r="AF49">
        <f t="shared" ca="1" si="42"/>
        <v>1.3374363514084757</v>
      </c>
      <c r="AG49">
        <f t="shared" ca="1" si="42"/>
        <v>-0.60382994984519212</v>
      </c>
      <c r="AH49">
        <f t="shared" ca="1" si="42"/>
        <v>-0.10792336325306055</v>
      </c>
      <c r="AI49">
        <f t="shared" ca="1" si="42"/>
        <v>0.20389892936454868</v>
      </c>
      <c r="AJ49">
        <f t="shared" ca="1" si="43"/>
        <v>0.31399720287735083</v>
      </c>
      <c r="AK49">
        <f t="shared" ca="1" si="43"/>
        <v>0.76521197733483026</v>
      </c>
      <c r="AL49">
        <f t="shared" ca="1" si="43"/>
        <v>-0.76274311429295871</v>
      </c>
      <c r="AM49">
        <f t="shared" ca="1" si="43"/>
        <v>-1.1390538518192606</v>
      </c>
      <c r="AN49">
        <f t="shared" ca="1" si="43"/>
        <v>0.92914343898882046</v>
      </c>
      <c r="AO49">
        <f t="shared" ca="1" si="43"/>
        <v>0.47844706361951694</v>
      </c>
      <c r="AP49">
        <f t="shared" ca="1" si="43"/>
        <v>-2.0281587835375956</v>
      </c>
      <c r="AQ49">
        <f t="shared" ca="1" si="43"/>
        <v>0.56214115591479374</v>
      </c>
      <c r="AR49">
        <f t="shared" ca="1" si="43"/>
        <v>0.41383076419137987</v>
      </c>
      <c r="AS49">
        <f t="shared" ca="1" si="43"/>
        <v>2.2280252059598831</v>
      </c>
      <c r="AT49">
        <f t="shared" ca="1" si="44"/>
        <v>-0.48819993349948354</v>
      </c>
      <c r="AU49">
        <f t="shared" ca="1" si="44"/>
        <v>-0.46449600147015141</v>
      </c>
      <c r="AV49">
        <f t="shared" ca="1" si="44"/>
        <v>0.10011512353349286</v>
      </c>
      <c r="AW49">
        <f t="shared" ca="1" si="44"/>
        <v>-1.3255806826279308</v>
      </c>
      <c r="AX49">
        <f t="shared" ca="1" si="44"/>
        <v>-4.0739701463414893E-2</v>
      </c>
      <c r="AY49">
        <f t="shared" ca="1" si="44"/>
        <v>-1.0983511392092893</v>
      </c>
      <c r="AZ49">
        <f t="shared" ca="1" si="44"/>
        <v>0.60400078880157648</v>
      </c>
      <c r="BA49">
        <f t="shared" ca="1" si="44"/>
        <v>-1.7786315061748399</v>
      </c>
      <c r="BB49">
        <f t="shared" ca="1" si="44"/>
        <v>0.21512166569650179</v>
      </c>
      <c r="BC49">
        <f t="shared" ca="1" si="44"/>
        <v>-6.0285630469741704E-2</v>
      </c>
      <c r="BD49">
        <f t="shared" ca="1" si="45"/>
        <v>1.1719338247349425E-3</v>
      </c>
      <c r="BE49">
        <f t="shared" ca="1" si="45"/>
        <v>-0.26669313780545001</v>
      </c>
      <c r="BF49">
        <f t="shared" ca="1" si="45"/>
        <v>0.38034735314990181</v>
      </c>
      <c r="BG49">
        <f t="shared" ca="1" si="45"/>
        <v>1.0263615158740524</v>
      </c>
      <c r="BH49">
        <f t="shared" ca="1" si="45"/>
        <v>0.80677982178722896</v>
      </c>
      <c r="BI49">
        <f t="shared" ca="1" si="45"/>
        <v>2.0982821835396201</v>
      </c>
      <c r="BJ49">
        <f t="shared" ca="1" si="45"/>
        <v>-0.13966622092783287</v>
      </c>
      <c r="BK49">
        <f t="shared" ca="1" si="45"/>
        <v>-0.23342726322134477</v>
      </c>
      <c r="BL49">
        <f t="shared" ca="1" si="45"/>
        <v>1.4131672422965895</v>
      </c>
      <c r="BM49">
        <f t="shared" ca="1" si="45"/>
        <v>-0.31697040051110231</v>
      </c>
      <c r="BN49">
        <f t="shared" ca="1" si="46"/>
        <v>0.25792228928091099</v>
      </c>
      <c r="BO49">
        <f t="shared" ca="1" si="46"/>
        <v>0.79479263460338168</v>
      </c>
      <c r="BP49">
        <f t="shared" ca="1" si="46"/>
        <v>0.51068908131751523</v>
      </c>
      <c r="BQ49">
        <f t="shared" ca="1" si="46"/>
        <v>-0.31320021875056236</v>
      </c>
      <c r="BR49">
        <f t="shared" ca="1" si="46"/>
        <v>0.22199293825758815</v>
      </c>
      <c r="BS49">
        <f t="shared" ca="1" si="46"/>
        <v>0.4670629425616234</v>
      </c>
      <c r="BT49">
        <f t="shared" ca="1" si="46"/>
        <v>1.1621829111347595</v>
      </c>
      <c r="BU49">
        <f t="shared" ca="1" si="46"/>
        <v>9.6847439513645453E-2</v>
      </c>
      <c r="BV49">
        <f t="shared" ca="1" si="46"/>
        <v>-0.2352420217635473</v>
      </c>
      <c r="BW49">
        <f t="shared" ca="1" si="46"/>
        <v>-1.1658222917240668</v>
      </c>
      <c r="BX49">
        <f t="shared" ca="1" si="47"/>
        <v>-0.87708873130449483</v>
      </c>
      <c r="BY49">
        <f t="shared" ca="1" si="47"/>
        <v>-2.2341912350721165</v>
      </c>
      <c r="BZ49">
        <f t="shared" ca="1" si="47"/>
        <v>-0.40007216422438563</v>
      </c>
      <c r="CA49">
        <f t="shared" ca="1" si="47"/>
        <v>0.1574146238987571</v>
      </c>
      <c r="CB49">
        <f t="shared" ca="1" si="47"/>
        <v>-1.5273440879891034</v>
      </c>
      <c r="CC49">
        <f t="shared" ca="1" si="47"/>
        <v>-0.55715206674860118</v>
      </c>
      <c r="CD49">
        <f t="shared" ca="1" si="47"/>
        <v>0.10465313028880743</v>
      </c>
      <c r="CE49">
        <f t="shared" ca="1" si="47"/>
        <v>-8.8870236332930855E-2</v>
      </c>
      <c r="CF49">
        <f t="shared" ca="1" si="47"/>
        <v>-1.5669223344187058</v>
      </c>
      <c r="CG49">
        <f t="shared" ca="1" si="47"/>
        <v>0.33058186961196012</v>
      </c>
      <c r="CH49">
        <f t="shared" ca="1" si="48"/>
        <v>0.10071545038322879</v>
      </c>
      <c r="CI49">
        <f t="shared" ca="1" si="48"/>
        <v>0.80975805751944951</v>
      </c>
      <c r="CJ49">
        <f t="shared" ca="1" si="48"/>
        <v>-0.21942341464919224</v>
      </c>
      <c r="CK49">
        <f t="shared" ca="1" si="48"/>
        <v>-1.8936576032420769</v>
      </c>
      <c r="CL49">
        <f t="shared" ca="1" si="48"/>
        <v>-0.43864954155293612</v>
      </c>
      <c r="CM49">
        <f t="shared" ca="1" si="48"/>
        <v>-4.0840072109296398E-3</v>
      </c>
      <c r="CN49">
        <f t="shared" ca="1" si="48"/>
        <v>-0.3637569810798667</v>
      </c>
      <c r="CO49">
        <f t="shared" ca="1" si="48"/>
        <v>0.93070700878442991</v>
      </c>
      <c r="CP49">
        <f t="shared" ca="1" si="48"/>
        <v>0.68557242683975761</v>
      </c>
      <c r="CQ49">
        <f t="shared" ca="1" si="48"/>
        <v>1.018089397173346</v>
      </c>
      <c r="CR49">
        <f t="shared" ca="1" si="49"/>
        <v>0.87724286610113389</v>
      </c>
      <c r="CS49">
        <f t="shared" ca="1" si="49"/>
        <v>1.5492431504446291</v>
      </c>
      <c r="CT49">
        <f t="shared" ca="1" si="49"/>
        <v>-0.42954780583866836</v>
      </c>
      <c r="CU49">
        <f t="shared" ca="1" si="49"/>
        <v>-0.69560416031385364</v>
      </c>
      <c r="CV49">
        <f t="shared" ca="1" si="49"/>
        <v>-1.6366825347801777</v>
      </c>
      <c r="CW49">
        <f t="shared" ca="1" si="49"/>
        <v>0.95439706634635446</v>
      </c>
      <c r="CX49">
        <f t="shared" ca="1" si="49"/>
        <v>0.5898102404802037</v>
      </c>
      <c r="CY49">
        <f t="shared" ca="1" si="49"/>
        <v>2.3999677675457267</v>
      </c>
      <c r="CZ49">
        <f t="shared" ca="1" si="49"/>
        <v>1.5402992293642146</v>
      </c>
      <c r="DA49">
        <f t="shared" ca="1" si="49"/>
        <v>-1.9194848137211677</v>
      </c>
    </row>
    <row r="50" spans="5:105" x14ac:dyDescent="0.25">
      <c r="E50">
        <f>S_plus!L50</f>
        <v>0.48000000000000026</v>
      </c>
      <c r="F50">
        <f t="shared" ca="1" si="40"/>
        <v>0.37919622910295525</v>
      </c>
      <c r="G50">
        <f t="shared" ca="1" si="40"/>
        <v>0.99313958938523894</v>
      </c>
      <c r="H50">
        <f t="shared" ca="1" si="40"/>
        <v>0.39906943258123956</v>
      </c>
      <c r="I50">
        <f t="shared" ca="1" si="40"/>
        <v>0.43153088368121284</v>
      </c>
      <c r="J50">
        <f t="shared" ca="1" si="40"/>
        <v>0.94627381707746328</v>
      </c>
      <c r="K50">
        <f t="shared" ca="1" si="40"/>
        <v>0.18277693287507002</v>
      </c>
      <c r="L50">
        <f t="shared" ca="1" si="40"/>
        <v>-0.18035361311573206</v>
      </c>
      <c r="M50">
        <f t="shared" ca="1" si="40"/>
        <v>-1.5041081421687823</v>
      </c>
      <c r="N50">
        <f t="shared" ca="1" si="40"/>
        <v>3.3688783278411821E-2</v>
      </c>
      <c r="O50">
        <f t="shared" ca="1" si="40"/>
        <v>-1.0918182574513902</v>
      </c>
      <c r="P50">
        <f t="shared" ca="1" si="41"/>
        <v>1.1466394410209684</v>
      </c>
      <c r="Q50">
        <f t="shared" ca="1" si="41"/>
        <v>1.5478989901915829</v>
      </c>
      <c r="R50">
        <f t="shared" ca="1" si="41"/>
        <v>1.3270354559487008</v>
      </c>
      <c r="S50">
        <f t="shared" ca="1" si="41"/>
        <v>-1.4677621067374156</v>
      </c>
      <c r="T50">
        <f t="shared" ca="1" si="41"/>
        <v>-0.1652579184556669</v>
      </c>
      <c r="U50">
        <f t="shared" ca="1" si="41"/>
        <v>-0.6280055482166077</v>
      </c>
      <c r="V50">
        <f t="shared" ca="1" si="41"/>
        <v>-0.28846008568076187</v>
      </c>
      <c r="W50">
        <f t="shared" ca="1" si="41"/>
        <v>-0.31845864577234168</v>
      </c>
      <c r="X50">
        <f t="shared" ca="1" si="41"/>
        <v>0.70078114462836349</v>
      </c>
      <c r="Y50">
        <f t="shared" ca="1" si="41"/>
        <v>0.31453040106156499</v>
      </c>
      <c r="Z50">
        <f t="shared" ca="1" si="42"/>
        <v>-0.15668419759071869</v>
      </c>
      <c r="AA50">
        <f t="shared" ca="1" si="42"/>
        <v>0.10971997419277076</v>
      </c>
      <c r="AB50">
        <f t="shared" ca="1" si="42"/>
        <v>-0.55892604011094471</v>
      </c>
      <c r="AC50">
        <f t="shared" ca="1" si="42"/>
        <v>0.82075323293701552</v>
      </c>
      <c r="AD50">
        <f t="shared" ca="1" si="42"/>
        <v>-1.2325811914813378</v>
      </c>
      <c r="AE50">
        <f t="shared" ca="1" si="42"/>
        <v>2.6329511832798307</v>
      </c>
      <c r="AF50">
        <f t="shared" ca="1" si="42"/>
        <v>-0.52497604380539598</v>
      </c>
      <c r="AG50">
        <f t="shared" ca="1" si="42"/>
        <v>-0.21776306632510556</v>
      </c>
      <c r="AH50">
        <f t="shared" ca="1" si="42"/>
        <v>-0.53694625056148515</v>
      </c>
      <c r="AI50">
        <f t="shared" ca="1" si="42"/>
        <v>2.0463946208004224</v>
      </c>
      <c r="AJ50">
        <f t="shared" ca="1" si="43"/>
        <v>0.6373668447063503</v>
      </c>
      <c r="AK50">
        <f t="shared" ca="1" si="43"/>
        <v>-0.51439937252760859</v>
      </c>
      <c r="AL50">
        <f t="shared" ca="1" si="43"/>
        <v>1.5188745891179845</v>
      </c>
      <c r="AM50">
        <f t="shared" ca="1" si="43"/>
        <v>-1.7674678486489781</v>
      </c>
      <c r="AN50">
        <f t="shared" ca="1" si="43"/>
        <v>-1.004240509869661</v>
      </c>
      <c r="AO50">
        <f t="shared" ca="1" si="43"/>
        <v>1.1208964977502229E-2</v>
      </c>
      <c r="AP50">
        <f t="shared" ca="1" si="43"/>
        <v>-0.28584082500140862</v>
      </c>
      <c r="AQ50">
        <f t="shared" ca="1" si="43"/>
        <v>0.43657499713905212</v>
      </c>
      <c r="AR50">
        <f t="shared" ca="1" si="43"/>
        <v>0.41897633670122375</v>
      </c>
      <c r="AS50">
        <f t="shared" ca="1" si="43"/>
        <v>0.63815518729942844</v>
      </c>
      <c r="AT50">
        <f t="shared" ca="1" si="44"/>
        <v>-0.22490526574149652</v>
      </c>
      <c r="AU50">
        <f t="shared" ca="1" si="44"/>
        <v>0.56023870922226038</v>
      </c>
      <c r="AV50">
        <f t="shared" ca="1" si="44"/>
        <v>-0.93094043492779621</v>
      </c>
      <c r="AW50">
        <f t="shared" ca="1" si="44"/>
        <v>-0.30206906850066739</v>
      </c>
      <c r="AX50">
        <f t="shared" ca="1" si="44"/>
        <v>-0.58808003562912037</v>
      </c>
      <c r="AY50">
        <f t="shared" ca="1" si="44"/>
        <v>-0.5819237535082642</v>
      </c>
      <c r="AZ50">
        <f t="shared" ca="1" si="44"/>
        <v>1.7544929515463001</v>
      </c>
      <c r="BA50">
        <f t="shared" ca="1" si="44"/>
        <v>-5.456910458198222E-2</v>
      </c>
      <c r="BB50">
        <f t="shared" ca="1" si="44"/>
        <v>-0.7304352090373869</v>
      </c>
      <c r="BC50">
        <f t="shared" ca="1" si="44"/>
        <v>-0.69891576903245289</v>
      </c>
      <c r="BD50">
        <f t="shared" ca="1" si="45"/>
        <v>1.3035736715558556E-4</v>
      </c>
      <c r="BE50">
        <f t="shared" ca="1" si="45"/>
        <v>-8.9312503247117966E-2</v>
      </c>
      <c r="BF50">
        <f t="shared" ca="1" si="45"/>
        <v>-0.60411760847665374</v>
      </c>
      <c r="BG50">
        <f t="shared" ca="1" si="45"/>
        <v>-1.1297371252018045</v>
      </c>
      <c r="BH50">
        <f t="shared" ca="1" si="45"/>
        <v>0.53876960745833746</v>
      </c>
      <c r="BI50">
        <f t="shared" ca="1" si="45"/>
        <v>1.6671136777111222</v>
      </c>
      <c r="BJ50">
        <f t="shared" ca="1" si="45"/>
        <v>-0.39510019302550764</v>
      </c>
      <c r="BK50">
        <f t="shared" ca="1" si="45"/>
        <v>-1.0787149494314381</v>
      </c>
      <c r="BL50">
        <f t="shared" ca="1" si="45"/>
        <v>-1.8997347902503401</v>
      </c>
      <c r="BM50">
        <f t="shared" ca="1" si="45"/>
        <v>0.13612349954401429</v>
      </c>
      <c r="BN50">
        <f t="shared" ca="1" si="46"/>
        <v>-0.67763871576391177</v>
      </c>
      <c r="BO50">
        <f t="shared" ca="1" si="46"/>
        <v>-0.66604873266994447</v>
      </c>
      <c r="BP50">
        <f t="shared" ca="1" si="46"/>
        <v>-8.6578608146130373E-2</v>
      </c>
      <c r="BQ50">
        <f t="shared" ca="1" si="46"/>
        <v>-1.5444250025184625</v>
      </c>
      <c r="BR50">
        <f t="shared" ca="1" si="46"/>
        <v>-0.76425564579458616</v>
      </c>
      <c r="BS50">
        <f t="shared" ca="1" si="46"/>
        <v>1.4619935991694036E-2</v>
      </c>
      <c r="BT50">
        <f t="shared" ca="1" si="46"/>
        <v>1.089619129588723</v>
      </c>
      <c r="BU50">
        <f t="shared" ca="1" si="46"/>
        <v>0.7820236734445849</v>
      </c>
      <c r="BV50">
        <f t="shared" ca="1" si="46"/>
        <v>-0.76690518390973506</v>
      </c>
      <c r="BW50">
        <f t="shared" ca="1" si="46"/>
        <v>-0.59857658158341931</v>
      </c>
      <c r="BX50">
        <f t="shared" ca="1" si="47"/>
        <v>-0.40892986823705152</v>
      </c>
      <c r="BY50">
        <f t="shared" ca="1" si="47"/>
        <v>-0.76918782696791932</v>
      </c>
      <c r="BZ50">
        <f t="shared" ca="1" si="47"/>
        <v>-1.6271831104923895</v>
      </c>
      <c r="CA50">
        <f t="shared" ca="1" si="47"/>
        <v>0.11660811898201603</v>
      </c>
      <c r="CB50">
        <f t="shared" ca="1" si="47"/>
        <v>1.5640371269818751</v>
      </c>
      <c r="CC50">
        <f t="shared" ca="1" si="47"/>
        <v>-0.10322293704863345</v>
      </c>
      <c r="CD50">
        <f t="shared" ca="1" si="47"/>
        <v>0.70228733678786337</v>
      </c>
      <c r="CE50">
        <f t="shared" ca="1" si="47"/>
        <v>-0.48619387997592844</v>
      </c>
      <c r="CF50">
        <f t="shared" ca="1" si="47"/>
        <v>-0.76449368397206707</v>
      </c>
      <c r="CG50">
        <f t="shared" ca="1" si="47"/>
        <v>0.90802407428067877</v>
      </c>
      <c r="CH50">
        <f t="shared" ca="1" si="48"/>
        <v>4.2514942599099076E-2</v>
      </c>
      <c r="CI50">
        <f t="shared" ca="1" si="48"/>
        <v>0.81306007122951207</v>
      </c>
      <c r="CJ50">
        <f t="shared" ca="1" si="48"/>
        <v>1.8249764431090414</v>
      </c>
      <c r="CK50">
        <f t="shared" ca="1" si="48"/>
        <v>1.4556239667432469</v>
      </c>
      <c r="CL50">
        <f t="shared" ca="1" si="48"/>
        <v>-0.95051089589755022</v>
      </c>
      <c r="CM50">
        <f t="shared" ca="1" si="48"/>
        <v>9.2586171484957971E-2</v>
      </c>
      <c r="CN50">
        <f t="shared" ca="1" si="48"/>
        <v>-1.0198431026804617</v>
      </c>
      <c r="CO50">
        <f t="shared" ca="1" si="48"/>
        <v>-0.48125476477744827</v>
      </c>
      <c r="CP50">
        <f t="shared" ca="1" si="48"/>
        <v>1.170798539554238</v>
      </c>
      <c r="CQ50">
        <f t="shared" ca="1" si="48"/>
        <v>1.4200421376377694</v>
      </c>
      <c r="CR50">
        <f t="shared" ca="1" si="49"/>
        <v>0.89523763072382656</v>
      </c>
      <c r="CS50">
        <f t="shared" ca="1" si="49"/>
        <v>0.14702240553435267</v>
      </c>
      <c r="CT50">
        <f t="shared" ca="1" si="49"/>
        <v>-0.17998233077787767</v>
      </c>
      <c r="CU50">
        <f t="shared" ca="1" si="49"/>
        <v>0.18082557816485501</v>
      </c>
      <c r="CV50">
        <f t="shared" ca="1" si="49"/>
        <v>0.84380712669489577</v>
      </c>
      <c r="CW50">
        <f t="shared" ca="1" si="49"/>
        <v>-0.38633471443437128</v>
      </c>
      <c r="CX50">
        <f t="shared" ca="1" si="49"/>
        <v>0.35694677245064582</v>
      </c>
      <c r="CY50">
        <f t="shared" ca="1" si="49"/>
        <v>-1.4686491614635335</v>
      </c>
      <c r="CZ50">
        <f t="shared" ca="1" si="49"/>
        <v>0.32464571146957522</v>
      </c>
      <c r="DA50">
        <f t="shared" ca="1" si="49"/>
        <v>0.24400269232350277</v>
      </c>
    </row>
    <row r="51" spans="5:105" x14ac:dyDescent="0.25">
      <c r="E51">
        <f>S_plus!L51</f>
        <v>0.49000000000000027</v>
      </c>
      <c r="F51">
        <f t="shared" ca="1" si="40"/>
        <v>1.4271719332543225</v>
      </c>
      <c r="G51">
        <f t="shared" ca="1" si="40"/>
        <v>0.95395174966009422</v>
      </c>
      <c r="H51">
        <f t="shared" ca="1" si="40"/>
        <v>-0.23684426635779174</v>
      </c>
      <c r="I51">
        <f t="shared" ca="1" si="40"/>
        <v>-1.5525395834022062</v>
      </c>
      <c r="J51">
        <f t="shared" ca="1" si="40"/>
        <v>-2.352731471578192</v>
      </c>
      <c r="K51">
        <f t="shared" ca="1" si="40"/>
        <v>1.4391617931789806</v>
      </c>
      <c r="L51">
        <f t="shared" ca="1" si="40"/>
        <v>-1.2841268232407366</v>
      </c>
      <c r="M51">
        <f t="shared" ca="1" si="40"/>
        <v>-0.85941547147528752</v>
      </c>
      <c r="N51">
        <f t="shared" ca="1" si="40"/>
        <v>2.821267827075276</v>
      </c>
      <c r="O51">
        <f t="shared" ca="1" si="40"/>
        <v>-1.937733847987978</v>
      </c>
      <c r="P51">
        <f t="shared" ca="1" si="41"/>
        <v>1.9662271764701929</v>
      </c>
      <c r="Q51">
        <f t="shared" ca="1" si="41"/>
        <v>0.71503433276467976</v>
      </c>
      <c r="R51">
        <f t="shared" ca="1" si="41"/>
        <v>-2.2662755007866364</v>
      </c>
      <c r="S51">
        <f t="shared" ca="1" si="41"/>
        <v>-2.0992937426748549E-2</v>
      </c>
      <c r="T51">
        <f t="shared" ca="1" si="41"/>
        <v>0.73096264019751478</v>
      </c>
      <c r="U51">
        <f t="shared" ca="1" si="41"/>
        <v>-0.1841752411151768</v>
      </c>
      <c r="V51">
        <f t="shared" ca="1" si="41"/>
        <v>-1.3981441796164351</v>
      </c>
      <c r="W51">
        <f t="shared" ca="1" si="41"/>
        <v>2.5598988622148575E-2</v>
      </c>
      <c r="X51">
        <f t="shared" ca="1" si="41"/>
        <v>-0.81063125393863467</v>
      </c>
      <c r="Y51">
        <f t="shared" ca="1" si="41"/>
        <v>1.4960630572712372</v>
      </c>
      <c r="Z51">
        <f t="shared" ca="1" si="42"/>
        <v>-1.7189231292822009</v>
      </c>
      <c r="AA51">
        <f t="shared" ca="1" si="42"/>
        <v>1.5542208634829462</v>
      </c>
      <c r="AB51">
        <f t="shared" ca="1" si="42"/>
        <v>-0.36604265487771026</v>
      </c>
      <c r="AC51">
        <f t="shared" ca="1" si="42"/>
        <v>0.61677300435261428</v>
      </c>
      <c r="AD51">
        <f t="shared" ca="1" si="42"/>
        <v>-5.1692366665194764E-2</v>
      </c>
      <c r="AE51">
        <f t="shared" ca="1" si="42"/>
        <v>1.66732753673524</v>
      </c>
      <c r="AF51">
        <f t="shared" ca="1" si="42"/>
        <v>1.9784036798871696</v>
      </c>
      <c r="AG51">
        <f t="shared" ca="1" si="42"/>
        <v>-1.3248758542811092E-2</v>
      </c>
      <c r="AH51">
        <f t="shared" ca="1" si="42"/>
        <v>0.92325280884084648</v>
      </c>
      <c r="AI51">
        <f t="shared" ca="1" si="42"/>
        <v>0.105551368438992</v>
      </c>
      <c r="AJ51">
        <f t="shared" ca="1" si="43"/>
        <v>0.51574473228045137</v>
      </c>
      <c r="AK51">
        <f t="shared" ca="1" si="43"/>
        <v>0.58600080676475086</v>
      </c>
      <c r="AL51">
        <f t="shared" ca="1" si="43"/>
        <v>1.564104959817407</v>
      </c>
      <c r="AM51">
        <f t="shared" ca="1" si="43"/>
        <v>0.85298247879591615</v>
      </c>
      <c r="AN51">
        <f t="shared" ca="1" si="43"/>
        <v>-0.24563333526239742</v>
      </c>
      <c r="AO51">
        <f t="shared" ca="1" si="43"/>
        <v>0.23894706075627362</v>
      </c>
      <c r="AP51">
        <f t="shared" ca="1" si="43"/>
        <v>-0.71999399639973549</v>
      </c>
      <c r="AQ51">
        <f t="shared" ca="1" si="43"/>
        <v>-8.5406373597867111E-2</v>
      </c>
      <c r="AR51">
        <f t="shared" ca="1" si="43"/>
        <v>-0.3457476548876196</v>
      </c>
      <c r="AS51">
        <f t="shared" ca="1" si="43"/>
        <v>-1.2283434561138327</v>
      </c>
      <c r="AT51">
        <f t="shared" ca="1" si="44"/>
        <v>0.50413353499687796</v>
      </c>
      <c r="AU51">
        <f t="shared" ca="1" si="44"/>
        <v>-1.1584344584163713</v>
      </c>
      <c r="AV51">
        <f t="shared" ca="1" si="44"/>
        <v>-0.12145417287039163</v>
      </c>
      <c r="AW51">
        <f t="shared" ca="1" si="44"/>
        <v>-0.66345528347618199</v>
      </c>
      <c r="AX51">
        <f t="shared" ca="1" si="44"/>
        <v>-0.48138847367051801</v>
      </c>
      <c r="AY51">
        <f t="shared" ca="1" si="44"/>
        <v>0.38236254336938458</v>
      </c>
      <c r="AZ51">
        <f t="shared" ca="1" si="44"/>
        <v>1.506686387272447</v>
      </c>
      <c r="BA51">
        <f t="shared" ca="1" si="44"/>
        <v>1.2478057459790195</v>
      </c>
      <c r="BB51">
        <f t="shared" ca="1" si="44"/>
        <v>-0.36244080721140987</v>
      </c>
      <c r="BC51">
        <f t="shared" ca="1" si="44"/>
        <v>-0.8031142740132573</v>
      </c>
      <c r="BD51">
        <f t="shared" ca="1" si="45"/>
        <v>0.81672578532026696</v>
      </c>
      <c r="BE51">
        <f t="shared" ca="1" si="45"/>
        <v>2.1275103912002487</v>
      </c>
      <c r="BF51">
        <f t="shared" ca="1" si="45"/>
        <v>0.36534555969993548</v>
      </c>
      <c r="BG51">
        <f t="shared" ca="1" si="45"/>
        <v>-0.3682495129298935</v>
      </c>
      <c r="BH51">
        <f t="shared" ca="1" si="45"/>
        <v>-0.23641306505576284</v>
      </c>
      <c r="BI51">
        <f t="shared" ca="1" si="45"/>
        <v>-2.4440778974116149</v>
      </c>
      <c r="BJ51">
        <f t="shared" ca="1" si="45"/>
        <v>2.071145618210701E-2</v>
      </c>
      <c r="BK51">
        <f t="shared" ca="1" si="45"/>
        <v>0.23833948035888686</v>
      </c>
      <c r="BL51">
        <f t="shared" ca="1" si="45"/>
        <v>-1.3484489618459099</v>
      </c>
      <c r="BM51">
        <f t="shared" ca="1" si="45"/>
        <v>-1.7995659385845775</v>
      </c>
      <c r="BN51">
        <f t="shared" ca="1" si="46"/>
        <v>0.10822050464443228</v>
      </c>
      <c r="BO51">
        <f t="shared" ca="1" si="46"/>
        <v>-7.4319577893442096E-2</v>
      </c>
      <c r="BP51">
        <f t="shared" ca="1" si="46"/>
        <v>-0.45762878926102785</v>
      </c>
      <c r="BQ51">
        <f t="shared" ca="1" si="46"/>
        <v>0.19423803432925216</v>
      </c>
      <c r="BR51">
        <f t="shared" ca="1" si="46"/>
        <v>-0.68595415911221358</v>
      </c>
      <c r="BS51">
        <f t="shared" ca="1" si="46"/>
        <v>0.94684029456299135</v>
      </c>
      <c r="BT51">
        <f t="shared" ca="1" si="46"/>
        <v>-1.3128916584914128</v>
      </c>
      <c r="BU51">
        <f t="shared" ca="1" si="46"/>
        <v>-0.2595992010889891</v>
      </c>
      <c r="BV51">
        <f t="shared" ca="1" si="46"/>
        <v>-0.976611564213265</v>
      </c>
      <c r="BW51">
        <f t="shared" ca="1" si="46"/>
        <v>-0.43081662480679378</v>
      </c>
      <c r="BX51">
        <f t="shared" ca="1" si="47"/>
        <v>0.15902781336261015</v>
      </c>
      <c r="BY51">
        <f t="shared" ca="1" si="47"/>
        <v>-1.2905135049596563</v>
      </c>
      <c r="BZ51">
        <f t="shared" ca="1" si="47"/>
        <v>0.758415581441369</v>
      </c>
      <c r="CA51">
        <f t="shared" ca="1" si="47"/>
        <v>0.513243359866003</v>
      </c>
      <c r="CB51">
        <f t="shared" ca="1" si="47"/>
        <v>-1.0054807011037561</v>
      </c>
      <c r="CC51">
        <f t="shared" ca="1" si="47"/>
        <v>-1.2473626623081577</v>
      </c>
      <c r="CD51">
        <f t="shared" ca="1" si="47"/>
        <v>0.86281367011592025</v>
      </c>
      <c r="CE51">
        <f t="shared" ca="1" si="47"/>
        <v>-0.79736017888154809</v>
      </c>
      <c r="CF51">
        <f t="shared" ca="1" si="47"/>
        <v>0.99890337498880655</v>
      </c>
      <c r="CG51">
        <f t="shared" ca="1" si="47"/>
        <v>0.55886147005887832</v>
      </c>
      <c r="CH51">
        <f t="shared" ca="1" si="48"/>
        <v>4.6983452446777742E-2</v>
      </c>
      <c r="CI51">
        <f t="shared" ca="1" si="48"/>
        <v>0.87501642307647109</v>
      </c>
      <c r="CJ51">
        <f t="shared" ca="1" si="48"/>
        <v>-1.0105562126999439</v>
      </c>
      <c r="CK51">
        <f t="shared" ca="1" si="48"/>
        <v>0.45678662844425472</v>
      </c>
      <c r="CL51">
        <f t="shared" ca="1" si="48"/>
        <v>0.88022355293706578</v>
      </c>
      <c r="CM51">
        <f t="shared" ca="1" si="48"/>
        <v>-1.0253463875361346</v>
      </c>
      <c r="CN51">
        <f t="shared" ca="1" si="48"/>
        <v>0.95087742286488453</v>
      </c>
      <c r="CO51">
        <f t="shared" ca="1" si="48"/>
        <v>-0.32843886740715672</v>
      </c>
      <c r="CP51">
        <f t="shared" ca="1" si="48"/>
        <v>0.6082776662700925</v>
      </c>
      <c r="CQ51">
        <f t="shared" ca="1" si="48"/>
        <v>-0.14063664099051063</v>
      </c>
      <c r="CR51">
        <f t="shared" ca="1" si="49"/>
        <v>-0.15574163114437287</v>
      </c>
      <c r="CS51">
        <f t="shared" ca="1" si="49"/>
        <v>-0.4173834105563719</v>
      </c>
      <c r="CT51">
        <f t="shared" ca="1" si="49"/>
        <v>-0.39486245412958371</v>
      </c>
      <c r="CU51">
        <f t="shared" ca="1" si="49"/>
        <v>0.11129304245870898</v>
      </c>
      <c r="CV51">
        <f t="shared" ca="1" si="49"/>
        <v>0.65127160121820815</v>
      </c>
      <c r="CW51">
        <f t="shared" ca="1" si="49"/>
        <v>-0.27611365577892222</v>
      </c>
      <c r="CX51">
        <f t="shared" ca="1" si="49"/>
        <v>2.2028330839812678</v>
      </c>
      <c r="CY51">
        <f t="shared" ca="1" si="49"/>
        <v>0.24287611081384616</v>
      </c>
      <c r="CZ51">
        <f t="shared" ca="1" si="49"/>
        <v>1.0535463700407737</v>
      </c>
      <c r="DA51">
        <f t="shared" ca="1" si="49"/>
        <v>-0.21790178102261754</v>
      </c>
    </row>
    <row r="52" spans="5:105" x14ac:dyDescent="0.25">
      <c r="E52">
        <f>S_plus!L52</f>
        <v>0.50000000000000022</v>
      </c>
      <c r="F52">
        <f t="shared" ca="1" si="40"/>
        <v>-1.1411161550681876</v>
      </c>
      <c r="G52">
        <f t="shared" ca="1" si="40"/>
        <v>-0.50030853490450089</v>
      </c>
      <c r="H52">
        <f t="shared" ca="1" si="40"/>
        <v>-0.89325846812692034</v>
      </c>
      <c r="I52">
        <f t="shared" ca="1" si="40"/>
        <v>0.79613175631908084</v>
      </c>
      <c r="J52">
        <f t="shared" ca="1" si="40"/>
        <v>-0.47345741186144513</v>
      </c>
      <c r="K52">
        <f t="shared" ca="1" si="40"/>
        <v>1.8616006136563235</v>
      </c>
      <c r="L52">
        <f t="shared" ca="1" si="40"/>
        <v>0.37689858015883143</v>
      </c>
      <c r="M52">
        <f t="shared" ca="1" si="40"/>
        <v>-0.42335136310093019</v>
      </c>
      <c r="N52">
        <f t="shared" ca="1" si="40"/>
        <v>-0.39766567885808901</v>
      </c>
      <c r="O52">
        <f t="shared" ca="1" si="40"/>
        <v>0.54945263543367784</v>
      </c>
      <c r="P52">
        <f t="shared" ca="1" si="41"/>
        <v>0.17785505467006188</v>
      </c>
      <c r="Q52">
        <f t="shared" ca="1" si="41"/>
        <v>0.6767564798961091</v>
      </c>
      <c r="R52">
        <f t="shared" ca="1" si="41"/>
        <v>-0.27609985738976772</v>
      </c>
      <c r="S52">
        <f t="shared" ca="1" si="41"/>
        <v>-0.37599020392998161</v>
      </c>
      <c r="T52">
        <f t="shared" ca="1" si="41"/>
        <v>7.4297910810452533E-2</v>
      </c>
      <c r="U52">
        <f t="shared" ca="1" si="41"/>
        <v>-0.87718146298560795</v>
      </c>
      <c r="V52">
        <f t="shared" ca="1" si="41"/>
        <v>-1.3409237770517966</v>
      </c>
      <c r="W52">
        <f t="shared" ca="1" si="41"/>
        <v>-6.8972301257581192E-2</v>
      </c>
      <c r="X52">
        <f t="shared" ca="1" si="41"/>
        <v>-0.4796949160074766</v>
      </c>
      <c r="Y52">
        <f t="shared" ca="1" si="41"/>
        <v>1.8030245910168128</v>
      </c>
      <c r="Z52">
        <f t="shared" ca="1" si="42"/>
        <v>-5.0445944101505909E-3</v>
      </c>
      <c r="AA52">
        <f t="shared" ca="1" si="42"/>
        <v>0.25766668224497463</v>
      </c>
      <c r="AB52">
        <f t="shared" ca="1" si="42"/>
        <v>-1.3304299843922829</v>
      </c>
      <c r="AC52">
        <f t="shared" ca="1" si="42"/>
        <v>0.81216996478180603</v>
      </c>
      <c r="AD52">
        <f t="shared" ca="1" si="42"/>
        <v>-0.14127866130107358</v>
      </c>
      <c r="AE52">
        <f t="shared" ca="1" si="42"/>
        <v>0.11325668475135853</v>
      </c>
      <c r="AF52">
        <f t="shared" ca="1" si="42"/>
        <v>-0.20188078275885393</v>
      </c>
      <c r="AG52">
        <f t="shared" ca="1" si="42"/>
        <v>-1.2697410545123999</v>
      </c>
      <c r="AH52">
        <f t="shared" ca="1" si="42"/>
        <v>-5.2962947033323875E-2</v>
      </c>
      <c r="AI52">
        <f t="shared" ca="1" si="42"/>
        <v>-5.9849311215424229E-2</v>
      </c>
      <c r="AJ52">
        <f t="shared" ca="1" si="43"/>
        <v>-1.0495933308637284</v>
      </c>
      <c r="AK52">
        <f t="shared" ca="1" si="43"/>
        <v>-0.6996015903882058</v>
      </c>
      <c r="AL52">
        <f t="shared" ca="1" si="43"/>
        <v>1.0910062224660202</v>
      </c>
      <c r="AM52">
        <f t="shared" ca="1" si="43"/>
        <v>-0.49071226246853006</v>
      </c>
      <c r="AN52">
        <f t="shared" ca="1" si="43"/>
        <v>-0.26726164237057887</v>
      </c>
      <c r="AO52">
        <f t="shared" ca="1" si="43"/>
        <v>0.12066072081536625</v>
      </c>
      <c r="AP52">
        <f t="shared" ca="1" si="43"/>
        <v>-0.25848567466497613</v>
      </c>
      <c r="AQ52">
        <f t="shared" ca="1" si="43"/>
        <v>-1.2134360315596393</v>
      </c>
      <c r="AR52">
        <f t="shared" ca="1" si="43"/>
        <v>8.6097657186961322E-3</v>
      </c>
      <c r="AS52">
        <f t="shared" ca="1" si="43"/>
        <v>-0.39389791868484214</v>
      </c>
      <c r="AT52">
        <f t="shared" ca="1" si="44"/>
        <v>-1.3754622883167655</v>
      </c>
      <c r="AU52">
        <f t="shared" ca="1" si="44"/>
        <v>0.12233115437123122</v>
      </c>
      <c r="AV52">
        <f t="shared" ca="1" si="44"/>
        <v>-7.1478935801996185E-2</v>
      </c>
      <c r="AW52">
        <f t="shared" ca="1" si="44"/>
        <v>9.2116760497620836E-3</v>
      </c>
      <c r="AX52">
        <f t="shared" ca="1" si="44"/>
        <v>1.1330474820641756</v>
      </c>
      <c r="AY52">
        <f t="shared" ca="1" si="44"/>
        <v>-0.95775417464491952</v>
      </c>
      <c r="AZ52">
        <f t="shared" ca="1" si="44"/>
        <v>5.0510725530950727E-2</v>
      </c>
      <c r="BA52">
        <f t="shared" ca="1" si="44"/>
        <v>2.5875835448683063E-2</v>
      </c>
      <c r="BB52">
        <f t="shared" ca="1" si="44"/>
        <v>-0.50451465919553951</v>
      </c>
      <c r="BC52">
        <f t="shared" ca="1" si="44"/>
        <v>0.68624575394638765</v>
      </c>
      <c r="BD52">
        <f t="shared" ca="1" si="45"/>
        <v>-0.59162418842059006</v>
      </c>
      <c r="BE52">
        <f t="shared" ca="1" si="45"/>
        <v>1.6785081589481434</v>
      </c>
      <c r="BF52">
        <f t="shared" ca="1" si="45"/>
        <v>-0.23492759603781085</v>
      </c>
      <c r="BG52">
        <f t="shared" ca="1" si="45"/>
        <v>1.9160231154531211</v>
      </c>
      <c r="BH52">
        <f t="shared" ca="1" si="45"/>
        <v>-1.185194355861648</v>
      </c>
      <c r="BI52">
        <f t="shared" ca="1" si="45"/>
        <v>-0.501565781600121</v>
      </c>
      <c r="BJ52">
        <f t="shared" ca="1" si="45"/>
        <v>-0.35473635438936774</v>
      </c>
      <c r="BK52">
        <f t="shared" ca="1" si="45"/>
        <v>0.15503947014952246</v>
      </c>
      <c r="BL52">
        <f t="shared" ca="1" si="45"/>
        <v>0.98184430551706059</v>
      </c>
      <c r="BM52">
        <f t="shared" ca="1" si="45"/>
        <v>2.6053672618772343</v>
      </c>
      <c r="BN52">
        <f t="shared" ca="1" si="46"/>
        <v>-0.61268518907152869</v>
      </c>
      <c r="BO52">
        <f t="shared" ca="1" si="46"/>
        <v>1.1428358298642394</v>
      </c>
      <c r="BP52">
        <f t="shared" ca="1" si="46"/>
        <v>-0.51690436340704449</v>
      </c>
      <c r="BQ52">
        <f t="shared" ca="1" si="46"/>
        <v>0.25558518901232585</v>
      </c>
      <c r="BR52">
        <f t="shared" ca="1" si="46"/>
        <v>-0.7768262845851126</v>
      </c>
      <c r="BS52">
        <f t="shared" ca="1" si="46"/>
        <v>1.7570103850063343</v>
      </c>
      <c r="BT52">
        <f t="shared" ca="1" si="46"/>
        <v>0.25531620684356898</v>
      </c>
      <c r="BU52">
        <f t="shared" ca="1" si="46"/>
        <v>-1.9172247403476601</v>
      </c>
      <c r="BV52">
        <f t="shared" ca="1" si="46"/>
        <v>0.38789998381349816</v>
      </c>
      <c r="BW52">
        <f t="shared" ca="1" si="46"/>
        <v>0.2369554795357732</v>
      </c>
      <c r="BX52">
        <f t="shared" ca="1" si="47"/>
        <v>-0.96592846486647088</v>
      </c>
      <c r="BY52">
        <f t="shared" ca="1" si="47"/>
        <v>-0.25694609643993166</v>
      </c>
      <c r="BZ52">
        <f t="shared" ca="1" si="47"/>
        <v>-1.1055068884150741</v>
      </c>
      <c r="CA52">
        <f t="shared" ca="1" si="47"/>
        <v>-0.27343039408084913</v>
      </c>
      <c r="CB52">
        <f t="shared" ca="1" si="47"/>
        <v>0.55508950256393974</v>
      </c>
      <c r="CC52">
        <f t="shared" ca="1" si="47"/>
        <v>-0.33726773993905484</v>
      </c>
      <c r="CD52">
        <f t="shared" ca="1" si="47"/>
        <v>-1.3685795580346447</v>
      </c>
      <c r="CE52">
        <f t="shared" ca="1" si="47"/>
        <v>0.87448547419195144</v>
      </c>
      <c r="CF52">
        <f t="shared" ca="1" si="47"/>
        <v>-1.4181024969969309</v>
      </c>
      <c r="CG52">
        <f t="shared" ca="1" si="47"/>
        <v>1.3473830299107166</v>
      </c>
      <c r="CH52">
        <f t="shared" ca="1" si="48"/>
        <v>0.25763993844885374</v>
      </c>
      <c r="CI52">
        <f t="shared" ca="1" si="48"/>
        <v>-1.5405313364703277</v>
      </c>
      <c r="CJ52">
        <f t="shared" ca="1" si="48"/>
        <v>0.34334608782969928</v>
      </c>
      <c r="CK52">
        <f t="shared" ca="1" si="48"/>
        <v>0.43029749244865217</v>
      </c>
      <c r="CL52">
        <f t="shared" ca="1" si="48"/>
        <v>0.22689930083289755</v>
      </c>
      <c r="CM52">
        <f t="shared" ca="1" si="48"/>
        <v>-0.8525676554399193</v>
      </c>
      <c r="CN52">
        <f t="shared" ca="1" si="48"/>
        <v>-1.3823450242437889</v>
      </c>
      <c r="CO52">
        <f t="shared" ca="1" si="48"/>
        <v>-8.9919330717033202E-2</v>
      </c>
      <c r="CP52">
        <f t="shared" ca="1" si="48"/>
        <v>-0.6420420546647827</v>
      </c>
      <c r="CQ52">
        <f t="shared" ca="1" si="48"/>
        <v>-0.33573132794058891</v>
      </c>
      <c r="CR52">
        <f t="shared" ca="1" si="49"/>
        <v>-0.55690035541236171</v>
      </c>
      <c r="CS52">
        <f t="shared" ca="1" si="49"/>
        <v>1.7741658339627568</v>
      </c>
      <c r="CT52">
        <f t="shared" ca="1" si="49"/>
        <v>0.43457182655407617</v>
      </c>
      <c r="CU52">
        <f t="shared" ca="1" si="49"/>
        <v>0.92155038635042852</v>
      </c>
      <c r="CV52">
        <f t="shared" ca="1" si="49"/>
        <v>0.16783219930696075</v>
      </c>
      <c r="CW52">
        <f t="shared" ca="1" si="49"/>
        <v>-0.30239659414433412</v>
      </c>
      <c r="CX52">
        <f t="shared" ca="1" si="49"/>
        <v>1.0165807810799172</v>
      </c>
      <c r="CY52">
        <f t="shared" ca="1" si="49"/>
        <v>0.5336347415329229</v>
      </c>
      <c r="CZ52">
        <f t="shared" ca="1" si="49"/>
        <v>0.10964816877088894</v>
      </c>
      <c r="DA52">
        <f t="shared" ca="1" si="49"/>
        <v>-0.92969373568322478</v>
      </c>
    </row>
    <row r="53" spans="5:105" x14ac:dyDescent="0.25">
      <c r="E53">
        <f>S_plus!L53</f>
        <v>0.51000000000000023</v>
      </c>
      <c r="F53">
        <f t="shared" ref="F53:O62" ca="1" si="50">_xlfn.NORM.S.INV(RAND())</f>
        <v>-1.4875387052972848</v>
      </c>
      <c r="G53">
        <f t="shared" ca="1" si="50"/>
        <v>1.3720720604539298</v>
      </c>
      <c r="H53">
        <f t="shared" ca="1" si="50"/>
        <v>-1.1368420983473537</v>
      </c>
      <c r="I53">
        <f t="shared" ca="1" si="50"/>
        <v>1.7769461781769744</v>
      </c>
      <c r="J53">
        <f t="shared" ca="1" si="50"/>
        <v>-1.3956574843782794</v>
      </c>
      <c r="K53">
        <f t="shared" ca="1" si="50"/>
        <v>-0.64541732589974454</v>
      </c>
      <c r="L53">
        <f t="shared" ca="1" si="50"/>
        <v>0.50794480887572835</v>
      </c>
      <c r="M53">
        <f t="shared" ca="1" si="50"/>
        <v>-0.3361786698037566</v>
      </c>
      <c r="N53">
        <f t="shared" ca="1" si="50"/>
        <v>1.9511003282613275</v>
      </c>
      <c r="O53">
        <f t="shared" ca="1" si="50"/>
        <v>0.69422943106337398</v>
      </c>
      <c r="P53">
        <f t="shared" ref="P53:Y62" ca="1" si="51">_xlfn.NORM.S.INV(RAND())</f>
        <v>1.5551403827866073</v>
      </c>
      <c r="Q53">
        <f t="shared" ca="1" si="51"/>
        <v>-0.32119308610575303</v>
      </c>
      <c r="R53">
        <f t="shared" ca="1" si="51"/>
        <v>-1.0400879726527497</v>
      </c>
      <c r="S53">
        <f t="shared" ca="1" si="51"/>
        <v>-0.35768321288010596</v>
      </c>
      <c r="T53">
        <f t="shared" ca="1" si="51"/>
        <v>0.27571926087309279</v>
      </c>
      <c r="U53">
        <f t="shared" ca="1" si="51"/>
        <v>0.39825565527235429</v>
      </c>
      <c r="V53">
        <f t="shared" ca="1" si="51"/>
        <v>-0.49578730920515635</v>
      </c>
      <c r="W53">
        <f t="shared" ca="1" si="51"/>
        <v>7.7800428094126711E-2</v>
      </c>
      <c r="X53">
        <f t="shared" ca="1" si="51"/>
        <v>-0.70332731616023303</v>
      </c>
      <c r="Y53">
        <f t="shared" ca="1" si="51"/>
        <v>0.10826119697273993</v>
      </c>
      <c r="Z53">
        <f t="shared" ref="Z53:AI62" ca="1" si="52">_xlfn.NORM.S.INV(RAND())</f>
        <v>-0.24101841430212054</v>
      </c>
      <c r="AA53">
        <f t="shared" ca="1" si="52"/>
        <v>0.3879829107062972</v>
      </c>
      <c r="AB53">
        <f t="shared" ca="1" si="52"/>
        <v>0.90268508409355863</v>
      </c>
      <c r="AC53">
        <f t="shared" ca="1" si="52"/>
        <v>-0.95137489130970043</v>
      </c>
      <c r="AD53">
        <f t="shared" ca="1" si="52"/>
        <v>0.10741203748480617</v>
      </c>
      <c r="AE53">
        <f t="shared" ca="1" si="52"/>
        <v>0.55737069920599192</v>
      </c>
      <c r="AF53">
        <f t="shared" ca="1" si="52"/>
        <v>-0.22625647892660591</v>
      </c>
      <c r="AG53">
        <f t="shared" ca="1" si="52"/>
        <v>0.95143047024092797</v>
      </c>
      <c r="AH53">
        <f t="shared" ca="1" si="52"/>
        <v>-0.87510301186882089</v>
      </c>
      <c r="AI53">
        <f t="shared" ca="1" si="52"/>
        <v>0.86954229306955388</v>
      </c>
      <c r="AJ53">
        <f t="shared" ref="AJ53:AS62" ca="1" si="53">_xlfn.NORM.S.INV(RAND())</f>
        <v>-0.18666197114367941</v>
      </c>
      <c r="AK53">
        <f t="shared" ca="1" si="53"/>
        <v>0.53549730436100484</v>
      </c>
      <c r="AL53">
        <f t="shared" ca="1" si="53"/>
        <v>0.77034289630737329</v>
      </c>
      <c r="AM53">
        <f t="shared" ca="1" si="53"/>
        <v>0.29953602201488766</v>
      </c>
      <c r="AN53">
        <f t="shared" ca="1" si="53"/>
        <v>-1.9817389007421977</v>
      </c>
      <c r="AO53">
        <f t="shared" ca="1" si="53"/>
        <v>-0.20068540530641443</v>
      </c>
      <c r="AP53">
        <f t="shared" ca="1" si="53"/>
        <v>0.91347560042004849</v>
      </c>
      <c r="AQ53">
        <f t="shared" ca="1" si="53"/>
        <v>-0.89228192613047941</v>
      </c>
      <c r="AR53">
        <f t="shared" ca="1" si="53"/>
        <v>-0.4377849388426206</v>
      </c>
      <c r="AS53">
        <f t="shared" ca="1" si="53"/>
        <v>-1.5485627838060609</v>
      </c>
      <c r="AT53">
        <f t="shared" ref="AT53:BC62" ca="1" si="54">_xlfn.NORM.S.INV(RAND())</f>
        <v>0.73018777506341226</v>
      </c>
      <c r="AU53">
        <f t="shared" ca="1" si="54"/>
        <v>0.1320122123775703</v>
      </c>
      <c r="AV53">
        <f t="shared" ca="1" si="54"/>
        <v>-0.55865161717461476</v>
      </c>
      <c r="AW53">
        <f t="shared" ca="1" si="54"/>
        <v>-0.21776042541756391</v>
      </c>
      <c r="AX53">
        <f t="shared" ca="1" si="54"/>
        <v>-0.68136100907802544</v>
      </c>
      <c r="AY53">
        <f t="shared" ca="1" si="54"/>
        <v>-0.41714882968180311</v>
      </c>
      <c r="AZ53">
        <f t="shared" ca="1" si="54"/>
        <v>-0.14384095600544605</v>
      </c>
      <c r="BA53">
        <f t="shared" ca="1" si="54"/>
        <v>-0.44927883821661302</v>
      </c>
      <c r="BB53">
        <f t="shared" ca="1" si="54"/>
        <v>-2.6135236733975515E-4</v>
      </c>
      <c r="BC53">
        <f t="shared" ca="1" si="54"/>
        <v>-1.7413111886464132</v>
      </c>
      <c r="BD53">
        <f t="shared" ref="BD53:BM62" ca="1" si="55">_xlfn.NORM.S.INV(RAND())</f>
        <v>-0.40053134947410396</v>
      </c>
      <c r="BE53">
        <f t="shared" ca="1" si="55"/>
        <v>-1.2067871377837303</v>
      </c>
      <c r="BF53">
        <f t="shared" ca="1" si="55"/>
        <v>0.37682185782488054</v>
      </c>
      <c r="BG53">
        <f t="shared" ca="1" si="55"/>
        <v>0.93665108782095585</v>
      </c>
      <c r="BH53">
        <f t="shared" ca="1" si="55"/>
        <v>-0.34080300551252712</v>
      </c>
      <c r="BI53">
        <f t="shared" ca="1" si="55"/>
        <v>-0.45057974705736187</v>
      </c>
      <c r="BJ53">
        <f t="shared" ca="1" si="55"/>
        <v>1.0691285788963454</v>
      </c>
      <c r="BK53">
        <f t="shared" ca="1" si="55"/>
        <v>1.9178607082698278</v>
      </c>
      <c r="BL53">
        <f t="shared" ca="1" si="55"/>
        <v>0.50241311486458939</v>
      </c>
      <c r="BM53">
        <f t="shared" ca="1" si="55"/>
        <v>-1.1622144103954204</v>
      </c>
      <c r="BN53">
        <f t="shared" ref="BN53:BW62" ca="1" si="56">_xlfn.NORM.S.INV(RAND())</f>
        <v>0.53136029352735448</v>
      </c>
      <c r="BO53">
        <f t="shared" ca="1" si="56"/>
        <v>0.65407442957246309</v>
      </c>
      <c r="BP53">
        <f t="shared" ca="1" si="56"/>
        <v>-1.9756658445053947</v>
      </c>
      <c r="BQ53">
        <f t="shared" ca="1" si="56"/>
        <v>-0.18640820367118494</v>
      </c>
      <c r="BR53">
        <f t="shared" ca="1" si="56"/>
        <v>-0.36079708782792586</v>
      </c>
      <c r="BS53">
        <f t="shared" ca="1" si="56"/>
        <v>1.8057342383620005</v>
      </c>
      <c r="BT53">
        <f t="shared" ca="1" si="56"/>
        <v>-1.0303170894979712</v>
      </c>
      <c r="BU53">
        <f t="shared" ca="1" si="56"/>
        <v>-0.20669889468569702</v>
      </c>
      <c r="BV53">
        <f t="shared" ca="1" si="56"/>
        <v>0.98255289886678077</v>
      </c>
      <c r="BW53">
        <f t="shared" ca="1" si="56"/>
        <v>0.22744620834582913</v>
      </c>
      <c r="BX53">
        <f t="shared" ref="BX53:CG62" ca="1" si="57">_xlfn.NORM.S.INV(RAND())</f>
        <v>0.37158906978076683</v>
      </c>
      <c r="BY53">
        <f t="shared" ca="1" si="57"/>
        <v>-1.5389269192286361</v>
      </c>
      <c r="BZ53">
        <f t="shared" ca="1" si="57"/>
        <v>-0.81417349434375985</v>
      </c>
      <c r="CA53">
        <f t="shared" ca="1" si="57"/>
        <v>0.15044745163528048</v>
      </c>
      <c r="CB53">
        <f t="shared" ca="1" si="57"/>
        <v>-1.0184311658280483</v>
      </c>
      <c r="CC53">
        <f t="shared" ca="1" si="57"/>
        <v>-0.55414796334525485</v>
      </c>
      <c r="CD53">
        <f t="shared" ca="1" si="57"/>
        <v>1.7762649747698076</v>
      </c>
      <c r="CE53">
        <f t="shared" ca="1" si="57"/>
        <v>-1.8898419722623918</v>
      </c>
      <c r="CF53">
        <f t="shared" ca="1" si="57"/>
        <v>-0.54239852835589097</v>
      </c>
      <c r="CG53">
        <f t="shared" ca="1" si="57"/>
        <v>-0.36433213315784235</v>
      </c>
      <c r="CH53">
        <f t="shared" ref="CH53:CQ62" ca="1" si="58">_xlfn.NORM.S.INV(RAND())</f>
        <v>0.44654325153770552</v>
      </c>
      <c r="CI53">
        <f t="shared" ca="1" si="58"/>
        <v>0.63586749517677377</v>
      </c>
      <c r="CJ53">
        <f t="shared" ca="1" si="58"/>
        <v>-0.24002804641136133</v>
      </c>
      <c r="CK53">
        <f t="shared" ca="1" si="58"/>
        <v>-9.8749997644255599E-3</v>
      </c>
      <c r="CL53">
        <f t="shared" ca="1" si="58"/>
        <v>-2.1760889692731902</v>
      </c>
      <c r="CM53">
        <f t="shared" ca="1" si="58"/>
        <v>0.78400774157191711</v>
      </c>
      <c r="CN53">
        <f t="shared" ca="1" si="58"/>
        <v>-0.79346878959029465</v>
      </c>
      <c r="CO53">
        <f t="shared" ca="1" si="58"/>
        <v>0.2825892264155434</v>
      </c>
      <c r="CP53">
        <f t="shared" ca="1" si="58"/>
        <v>0.14629813028813193</v>
      </c>
      <c r="CQ53">
        <f t="shared" ca="1" si="58"/>
        <v>7.8948922200607105E-2</v>
      </c>
      <c r="CR53">
        <f t="shared" ref="CR53:DA62" ca="1" si="59">_xlfn.NORM.S.INV(RAND())</f>
        <v>1.0335971189915765</v>
      </c>
      <c r="CS53">
        <f t="shared" ca="1" si="59"/>
        <v>-0.64699308423457769</v>
      </c>
      <c r="CT53">
        <f t="shared" ca="1" si="59"/>
        <v>9.3042284418093479E-2</v>
      </c>
      <c r="CU53">
        <f t="shared" ca="1" si="59"/>
        <v>-0.32491267265278423</v>
      </c>
      <c r="CV53">
        <f t="shared" ca="1" si="59"/>
        <v>0.37691752116132765</v>
      </c>
      <c r="CW53">
        <f t="shared" ca="1" si="59"/>
        <v>-1.8906055902400101</v>
      </c>
      <c r="CX53">
        <f t="shared" ca="1" si="59"/>
        <v>-1.6781633161956213E-2</v>
      </c>
      <c r="CY53">
        <f t="shared" ca="1" si="59"/>
        <v>1.1665724047430235</v>
      </c>
      <c r="CZ53">
        <f t="shared" ca="1" si="59"/>
        <v>-0.70929025028016779</v>
      </c>
      <c r="DA53">
        <f t="shared" ca="1" si="59"/>
        <v>-1.108540873537426</v>
      </c>
    </row>
    <row r="54" spans="5:105" x14ac:dyDescent="0.25">
      <c r="E54">
        <f>S_plus!L54</f>
        <v>0.52000000000000024</v>
      </c>
      <c r="F54">
        <f t="shared" ca="1" si="50"/>
        <v>0.27394976826500878</v>
      </c>
      <c r="G54">
        <f t="shared" ca="1" si="50"/>
        <v>-1.2225184354249337</v>
      </c>
      <c r="H54">
        <f t="shared" ca="1" si="50"/>
        <v>0.43201447372704332</v>
      </c>
      <c r="I54">
        <f t="shared" ca="1" si="50"/>
        <v>-0.30420372416396957</v>
      </c>
      <c r="J54">
        <f t="shared" ca="1" si="50"/>
        <v>-0.36138487457193014</v>
      </c>
      <c r="K54">
        <f t="shared" ca="1" si="50"/>
        <v>-1.6591295668274113</v>
      </c>
      <c r="L54">
        <f t="shared" ca="1" si="50"/>
        <v>-1.7671916946963413</v>
      </c>
      <c r="M54">
        <f t="shared" ca="1" si="50"/>
        <v>-1.8780653721625684</v>
      </c>
      <c r="N54">
        <f t="shared" ca="1" si="50"/>
        <v>-0.98855434622842353</v>
      </c>
      <c r="O54">
        <f t="shared" ca="1" si="50"/>
        <v>0.28341925119498035</v>
      </c>
      <c r="P54">
        <f t="shared" ca="1" si="51"/>
        <v>6.5821747612367185E-2</v>
      </c>
      <c r="Q54">
        <f t="shared" ca="1" si="51"/>
        <v>-0.80682110919996786</v>
      </c>
      <c r="R54">
        <f t="shared" ca="1" si="51"/>
        <v>-1.0593962797631409</v>
      </c>
      <c r="S54">
        <f t="shared" ca="1" si="51"/>
        <v>1.645215326363892</v>
      </c>
      <c r="T54">
        <f t="shared" ca="1" si="51"/>
        <v>-1.3600901360502189</v>
      </c>
      <c r="U54">
        <f t="shared" ca="1" si="51"/>
        <v>-0.41961360839869927</v>
      </c>
      <c r="V54">
        <f t="shared" ca="1" si="51"/>
        <v>0.13306772063457431</v>
      </c>
      <c r="W54">
        <f t="shared" ca="1" si="51"/>
        <v>0.62937803258622949</v>
      </c>
      <c r="X54">
        <f t="shared" ca="1" si="51"/>
        <v>-0.43785740525508687</v>
      </c>
      <c r="Y54">
        <f t="shared" ca="1" si="51"/>
        <v>-1.1241684016068818</v>
      </c>
      <c r="Z54">
        <f t="shared" ca="1" si="52"/>
        <v>0.33368519253128281</v>
      </c>
      <c r="AA54">
        <f t="shared" ca="1" si="52"/>
        <v>9.056557889981412E-2</v>
      </c>
      <c r="AB54">
        <f t="shared" ca="1" si="52"/>
        <v>1.0111377868016485</v>
      </c>
      <c r="AC54">
        <f t="shared" ca="1" si="52"/>
        <v>-0.53345856026110838</v>
      </c>
      <c r="AD54">
        <f t="shared" ca="1" si="52"/>
        <v>-0.36905854799288357</v>
      </c>
      <c r="AE54">
        <f t="shared" ca="1" si="52"/>
        <v>1.3848300721120728</v>
      </c>
      <c r="AF54">
        <f t="shared" ca="1" si="52"/>
        <v>-1.6368889445235284</v>
      </c>
      <c r="AG54">
        <f t="shared" ca="1" si="52"/>
        <v>0.38731823154106026</v>
      </c>
      <c r="AH54">
        <f t="shared" ca="1" si="52"/>
        <v>0.83331833444865411</v>
      </c>
      <c r="AI54">
        <f t="shared" ca="1" si="52"/>
        <v>0.37333745304357285</v>
      </c>
      <c r="AJ54">
        <f t="shared" ca="1" si="53"/>
        <v>-8.4043732971530144E-2</v>
      </c>
      <c r="AK54">
        <f t="shared" ca="1" si="53"/>
        <v>-5.6991957742670317E-2</v>
      </c>
      <c r="AL54">
        <f t="shared" ca="1" si="53"/>
        <v>-2.456175410727039</v>
      </c>
      <c r="AM54">
        <f t="shared" ca="1" si="53"/>
        <v>-1.2386188505454547</v>
      </c>
      <c r="AN54">
        <f t="shared" ca="1" si="53"/>
        <v>5.7247905911053547E-2</v>
      </c>
      <c r="AO54">
        <f t="shared" ca="1" si="53"/>
        <v>-0.98723234062368415</v>
      </c>
      <c r="AP54">
        <f t="shared" ca="1" si="53"/>
        <v>0.45449480274286441</v>
      </c>
      <c r="AQ54">
        <f t="shared" ca="1" si="53"/>
        <v>0.93392000444951262</v>
      </c>
      <c r="AR54">
        <f t="shared" ca="1" si="53"/>
        <v>0.86157794317203162</v>
      </c>
      <c r="AS54">
        <f t="shared" ca="1" si="53"/>
        <v>1.9921092406375189</v>
      </c>
      <c r="AT54">
        <f t="shared" ca="1" si="54"/>
        <v>0.51848156629166109</v>
      </c>
      <c r="AU54">
        <f t="shared" ca="1" si="54"/>
        <v>-0.53101112713135434</v>
      </c>
      <c r="AV54">
        <f t="shared" ca="1" si="54"/>
        <v>0.56069888045727734</v>
      </c>
      <c r="AW54">
        <f t="shared" ca="1" si="54"/>
        <v>-0.2305124159421062</v>
      </c>
      <c r="AX54">
        <f t="shared" ca="1" si="54"/>
        <v>0.56093921032246485</v>
      </c>
      <c r="AY54">
        <f t="shared" ca="1" si="54"/>
        <v>1.5228065200677616</v>
      </c>
      <c r="AZ54">
        <f t="shared" ca="1" si="54"/>
        <v>-1.5698411872057918</v>
      </c>
      <c r="BA54">
        <f t="shared" ca="1" si="54"/>
        <v>-0.48144212768768141</v>
      </c>
      <c r="BB54">
        <f t="shared" ca="1" si="54"/>
        <v>-1.3062902171784565</v>
      </c>
      <c r="BC54">
        <f t="shared" ca="1" si="54"/>
        <v>-0.58539329548222507</v>
      </c>
      <c r="BD54">
        <f t="shared" ca="1" si="55"/>
        <v>1.2317344238024317</v>
      </c>
      <c r="BE54">
        <f t="shared" ca="1" si="55"/>
        <v>-0.13861540621864196</v>
      </c>
      <c r="BF54">
        <f t="shared" ca="1" si="55"/>
        <v>-0.59970148302135762</v>
      </c>
      <c r="BG54">
        <f t="shared" ca="1" si="55"/>
        <v>-0.19423178161561705</v>
      </c>
      <c r="BH54">
        <f t="shared" ca="1" si="55"/>
        <v>0.49261940841319329</v>
      </c>
      <c r="BI54">
        <f t="shared" ca="1" si="55"/>
        <v>0.14969192613382218</v>
      </c>
      <c r="BJ54">
        <f t="shared" ca="1" si="55"/>
        <v>-0.83924540912505552</v>
      </c>
      <c r="BK54">
        <f t="shared" ca="1" si="55"/>
        <v>5.4630116066388013E-2</v>
      </c>
      <c r="BL54">
        <f t="shared" ca="1" si="55"/>
        <v>-0.89076616431247713</v>
      </c>
      <c r="BM54">
        <f t="shared" ca="1" si="55"/>
        <v>-0.49464126403142095</v>
      </c>
      <c r="BN54">
        <f t="shared" ca="1" si="56"/>
        <v>2.0312419299620825</v>
      </c>
      <c r="BO54">
        <f t="shared" ca="1" si="56"/>
        <v>-1.950149762106981</v>
      </c>
      <c r="BP54">
        <f t="shared" ca="1" si="56"/>
        <v>-0.62868830186877855</v>
      </c>
      <c r="BQ54">
        <f t="shared" ca="1" si="56"/>
        <v>0.87485815036730841</v>
      </c>
      <c r="BR54">
        <f t="shared" ca="1" si="56"/>
        <v>0.89657164934161293</v>
      </c>
      <c r="BS54">
        <f t="shared" ca="1" si="56"/>
        <v>-0.30074379959367087</v>
      </c>
      <c r="BT54">
        <f t="shared" ca="1" si="56"/>
        <v>4.289140894824627E-3</v>
      </c>
      <c r="BU54">
        <f t="shared" ca="1" si="56"/>
        <v>-1.6222404396976093</v>
      </c>
      <c r="BV54">
        <f t="shared" ca="1" si="56"/>
        <v>-1.3035456083734267</v>
      </c>
      <c r="BW54">
        <f t="shared" ca="1" si="56"/>
        <v>0.30213733333162823</v>
      </c>
      <c r="BX54">
        <f t="shared" ca="1" si="57"/>
        <v>0.57655713960763422</v>
      </c>
      <c r="BY54">
        <f t="shared" ca="1" si="57"/>
        <v>1.717530545582348</v>
      </c>
      <c r="BZ54">
        <f t="shared" ca="1" si="57"/>
        <v>-0.20772529772507914</v>
      </c>
      <c r="CA54">
        <f t="shared" ca="1" si="57"/>
        <v>-1.0865095525395052</v>
      </c>
      <c r="CB54">
        <f t="shared" ca="1" si="57"/>
        <v>1.1861640638091118</v>
      </c>
      <c r="CC54">
        <f t="shared" ca="1" si="57"/>
        <v>0.41521713554756406</v>
      </c>
      <c r="CD54">
        <f t="shared" ca="1" si="57"/>
        <v>0.10215146911155223</v>
      </c>
      <c r="CE54">
        <f t="shared" ca="1" si="57"/>
        <v>-1.0401980200498291</v>
      </c>
      <c r="CF54">
        <f t="shared" ca="1" si="57"/>
        <v>1.0466654157257353</v>
      </c>
      <c r="CG54">
        <f t="shared" ca="1" si="57"/>
        <v>0.54856011617811706</v>
      </c>
      <c r="CH54">
        <f t="shared" ca="1" si="58"/>
        <v>-0.2691860380780009</v>
      </c>
      <c r="CI54">
        <f t="shared" ca="1" si="58"/>
        <v>1.2856569263915014</v>
      </c>
      <c r="CJ54">
        <f t="shared" ca="1" si="58"/>
        <v>1.0373545349055044</v>
      </c>
      <c r="CK54">
        <f t="shared" ca="1" si="58"/>
        <v>-0.42168745772152694</v>
      </c>
      <c r="CL54">
        <f t="shared" ca="1" si="58"/>
        <v>0.89354327318093296</v>
      </c>
      <c r="CM54">
        <f t="shared" ca="1" si="58"/>
        <v>-1.3287578323403855</v>
      </c>
      <c r="CN54">
        <f t="shared" ca="1" si="58"/>
        <v>1.263203175327105E-2</v>
      </c>
      <c r="CO54">
        <f t="shared" ca="1" si="58"/>
        <v>-0.81098875642215318</v>
      </c>
      <c r="CP54">
        <f t="shared" ca="1" si="58"/>
        <v>-0.9411988193692995</v>
      </c>
      <c r="CQ54">
        <f t="shared" ca="1" si="58"/>
        <v>0.25531058404898849</v>
      </c>
      <c r="CR54">
        <f t="shared" ca="1" si="59"/>
        <v>-1.6991305801237391</v>
      </c>
      <c r="CS54">
        <f t="shared" ca="1" si="59"/>
        <v>-0.29870057016041202</v>
      </c>
      <c r="CT54">
        <f t="shared" ca="1" si="59"/>
        <v>0.69941662489925738</v>
      </c>
      <c r="CU54">
        <f t="shared" ca="1" si="59"/>
        <v>1.0922979684023331</v>
      </c>
      <c r="CV54">
        <f t="shared" ca="1" si="59"/>
        <v>-0.47055557379122381</v>
      </c>
      <c r="CW54">
        <f t="shared" ca="1" si="59"/>
        <v>-0.43023275601402927</v>
      </c>
      <c r="CX54">
        <f t="shared" ca="1" si="59"/>
        <v>0.37756233022043378</v>
      </c>
      <c r="CY54">
        <f t="shared" ca="1" si="59"/>
        <v>0.61473445302193452</v>
      </c>
      <c r="CZ54">
        <f t="shared" ca="1" si="59"/>
        <v>0.37847251697461254</v>
      </c>
      <c r="DA54">
        <f t="shared" ca="1" si="59"/>
        <v>1.3068180077165297</v>
      </c>
    </row>
    <row r="55" spans="5:105" x14ac:dyDescent="0.25">
      <c r="E55">
        <f>S_plus!L55</f>
        <v>0.53000000000000025</v>
      </c>
      <c r="F55">
        <f t="shared" ca="1" si="50"/>
        <v>-1.1556164432802565</v>
      </c>
      <c r="G55">
        <f t="shared" ca="1" si="50"/>
        <v>1.0891051157503882</v>
      </c>
      <c r="H55">
        <f t="shared" ca="1" si="50"/>
        <v>-4.5636697741768893E-2</v>
      </c>
      <c r="I55">
        <f t="shared" ca="1" si="50"/>
        <v>0.68516136524820348</v>
      </c>
      <c r="J55">
        <f t="shared" ca="1" si="50"/>
        <v>-0.91048199447271783</v>
      </c>
      <c r="K55">
        <f t="shared" ca="1" si="50"/>
        <v>-0.66613046159489753</v>
      </c>
      <c r="L55">
        <f t="shared" ca="1" si="50"/>
        <v>0.22947268656306682</v>
      </c>
      <c r="M55">
        <f t="shared" ca="1" si="50"/>
        <v>-0.51629191601044389</v>
      </c>
      <c r="N55">
        <f t="shared" ca="1" si="50"/>
        <v>-9.1265091043655197E-2</v>
      </c>
      <c r="O55">
        <f t="shared" ca="1" si="50"/>
        <v>-0.73458976338226167</v>
      </c>
      <c r="P55">
        <f t="shared" ca="1" si="51"/>
        <v>1.0890903135188477</v>
      </c>
      <c r="Q55">
        <f t="shared" ca="1" si="51"/>
        <v>-1.3767386091130553</v>
      </c>
      <c r="R55">
        <f t="shared" ca="1" si="51"/>
        <v>0.19500837876749413</v>
      </c>
      <c r="S55">
        <f t="shared" ca="1" si="51"/>
        <v>0.46349049088938138</v>
      </c>
      <c r="T55">
        <f t="shared" ca="1" si="51"/>
        <v>0.47094692491543005</v>
      </c>
      <c r="U55">
        <f t="shared" ca="1" si="51"/>
        <v>-0.74736984393293215</v>
      </c>
      <c r="V55">
        <f t="shared" ca="1" si="51"/>
        <v>-4.6093746487934267E-2</v>
      </c>
      <c r="W55">
        <f t="shared" ca="1" si="51"/>
        <v>-0.56888589482401664</v>
      </c>
      <c r="X55">
        <f t="shared" ca="1" si="51"/>
        <v>0.44548148348037775</v>
      </c>
      <c r="Y55">
        <f t="shared" ca="1" si="51"/>
        <v>0.73156253627665602</v>
      </c>
      <c r="Z55">
        <f t="shared" ca="1" si="52"/>
        <v>-1.3657002103078584</v>
      </c>
      <c r="AA55">
        <f t="shared" ca="1" si="52"/>
        <v>-1.2076676479973167</v>
      </c>
      <c r="AB55">
        <f t="shared" ca="1" si="52"/>
        <v>1.4295002302702462</v>
      </c>
      <c r="AC55">
        <f t="shared" ca="1" si="52"/>
        <v>-0.99219312500173906</v>
      </c>
      <c r="AD55">
        <f t="shared" ca="1" si="52"/>
        <v>-1.2218340237455549</v>
      </c>
      <c r="AE55">
        <f t="shared" ca="1" si="52"/>
        <v>-0.20951340101781515</v>
      </c>
      <c r="AF55">
        <f t="shared" ca="1" si="52"/>
        <v>-0.62133011016951056</v>
      </c>
      <c r="AG55">
        <f t="shared" ca="1" si="52"/>
        <v>-9.4518761994538111E-2</v>
      </c>
      <c r="AH55">
        <f t="shared" ca="1" si="52"/>
        <v>0.17086273905175384</v>
      </c>
      <c r="AI55">
        <f t="shared" ca="1" si="52"/>
        <v>1.1711108828189454</v>
      </c>
      <c r="AJ55">
        <f t="shared" ca="1" si="53"/>
        <v>0.90942438820580396</v>
      </c>
      <c r="AK55">
        <f t="shared" ca="1" si="53"/>
        <v>0.14019648827191838</v>
      </c>
      <c r="AL55">
        <f t="shared" ca="1" si="53"/>
        <v>0.16578339741736131</v>
      </c>
      <c r="AM55">
        <f t="shared" ca="1" si="53"/>
        <v>-0.67598402683713998</v>
      </c>
      <c r="AN55">
        <f t="shared" ca="1" si="53"/>
        <v>-4.6214204878811768E-2</v>
      </c>
      <c r="AO55">
        <f t="shared" ca="1" si="53"/>
        <v>0.25247450052584552</v>
      </c>
      <c r="AP55">
        <f t="shared" ca="1" si="53"/>
        <v>0.9460485233939917</v>
      </c>
      <c r="AQ55">
        <f t="shared" ca="1" si="53"/>
        <v>-8.6791230767111567E-4</v>
      </c>
      <c r="AR55">
        <f t="shared" ca="1" si="53"/>
        <v>1.1965283485688956</v>
      </c>
      <c r="AS55">
        <f t="shared" ca="1" si="53"/>
        <v>-1.4179238354108079</v>
      </c>
      <c r="AT55">
        <f t="shared" ca="1" si="54"/>
        <v>-0.37976446158564098</v>
      </c>
      <c r="AU55">
        <f t="shared" ca="1" si="54"/>
        <v>0.5640148946156549</v>
      </c>
      <c r="AV55">
        <f t="shared" ca="1" si="54"/>
        <v>0.51377488738187149</v>
      </c>
      <c r="AW55">
        <f t="shared" ca="1" si="54"/>
        <v>0.34255299276003254</v>
      </c>
      <c r="AX55">
        <f t="shared" ca="1" si="54"/>
        <v>1.4548241393638885</v>
      </c>
      <c r="AY55">
        <f t="shared" ca="1" si="54"/>
        <v>0.27667185946380218</v>
      </c>
      <c r="AZ55">
        <f t="shared" ca="1" si="54"/>
        <v>0.50197444868069652</v>
      </c>
      <c r="BA55">
        <f t="shared" ca="1" si="54"/>
        <v>5.3750355374562846E-2</v>
      </c>
      <c r="BB55">
        <f t="shared" ca="1" si="54"/>
        <v>-0.67662038423445059</v>
      </c>
      <c r="BC55">
        <f t="shared" ca="1" si="54"/>
        <v>0.56904158220734113</v>
      </c>
      <c r="BD55">
        <f t="shared" ca="1" si="55"/>
        <v>1.274168022082764</v>
      </c>
      <c r="BE55">
        <f t="shared" ca="1" si="55"/>
        <v>1.202580270000013</v>
      </c>
      <c r="BF55">
        <f t="shared" ca="1" si="55"/>
        <v>0.95219392251416002</v>
      </c>
      <c r="BG55">
        <f t="shared" ca="1" si="55"/>
        <v>-1.4289663054703541</v>
      </c>
      <c r="BH55">
        <f t="shared" ca="1" si="55"/>
        <v>-2.9514545563731369</v>
      </c>
      <c r="BI55">
        <f t="shared" ca="1" si="55"/>
        <v>-0.18474769498564661</v>
      </c>
      <c r="BJ55">
        <f t="shared" ca="1" si="55"/>
        <v>-1.4718892238794523</v>
      </c>
      <c r="BK55">
        <f t="shared" ca="1" si="55"/>
        <v>-0.24827935928025435</v>
      </c>
      <c r="BL55">
        <f t="shared" ca="1" si="55"/>
        <v>-0.33145152960219187</v>
      </c>
      <c r="BM55">
        <f t="shared" ca="1" si="55"/>
        <v>-1.0814420057931082</v>
      </c>
      <c r="BN55">
        <f t="shared" ca="1" si="56"/>
        <v>0.514102154719002</v>
      </c>
      <c r="BO55">
        <f t="shared" ca="1" si="56"/>
        <v>1.1587649544360867</v>
      </c>
      <c r="BP55">
        <f t="shared" ca="1" si="56"/>
        <v>0.85992049787330238</v>
      </c>
      <c r="BQ55">
        <f t="shared" ca="1" si="56"/>
        <v>-0.59530512064389651</v>
      </c>
      <c r="BR55">
        <f t="shared" ca="1" si="56"/>
        <v>-1.6739267350138909</v>
      </c>
      <c r="BS55">
        <f t="shared" ca="1" si="56"/>
        <v>-0.27566969500492439</v>
      </c>
      <c r="BT55">
        <f t="shared" ca="1" si="56"/>
        <v>-0.74041899159376634</v>
      </c>
      <c r="BU55">
        <f t="shared" ca="1" si="56"/>
        <v>0.46851560054679808</v>
      </c>
      <c r="BV55">
        <f t="shared" ca="1" si="56"/>
        <v>1.1880001511424714</v>
      </c>
      <c r="BW55">
        <f t="shared" ca="1" si="56"/>
        <v>-0.19249574683564324</v>
      </c>
      <c r="BX55">
        <f t="shared" ca="1" si="57"/>
        <v>-7.4230916736951771E-2</v>
      </c>
      <c r="BY55">
        <f t="shared" ca="1" si="57"/>
        <v>1.3420654475138907</v>
      </c>
      <c r="BZ55">
        <f t="shared" ca="1" si="57"/>
        <v>9.6475879117897165E-2</v>
      </c>
      <c r="CA55">
        <f t="shared" ca="1" si="57"/>
        <v>0.85535868177009367</v>
      </c>
      <c r="CB55">
        <f t="shared" ca="1" si="57"/>
        <v>0.45131516575112074</v>
      </c>
      <c r="CC55">
        <f t="shared" ca="1" si="57"/>
        <v>-2.1646687181021855</v>
      </c>
      <c r="CD55">
        <f t="shared" ca="1" si="57"/>
        <v>-0.13429491536604926</v>
      </c>
      <c r="CE55">
        <f t="shared" ca="1" si="57"/>
        <v>-9.4379015151403844E-2</v>
      </c>
      <c r="CF55">
        <f t="shared" ca="1" si="57"/>
        <v>0.66890715687439473</v>
      </c>
      <c r="CG55">
        <f t="shared" ca="1" si="57"/>
        <v>-0.12866805677848384</v>
      </c>
      <c r="CH55">
        <f t="shared" ca="1" si="58"/>
        <v>0.88362968199936609</v>
      </c>
      <c r="CI55">
        <f t="shared" ca="1" si="58"/>
        <v>-0.18612645832382119</v>
      </c>
      <c r="CJ55">
        <f t="shared" ca="1" si="58"/>
        <v>-0.149770595480781</v>
      </c>
      <c r="CK55">
        <f t="shared" ca="1" si="58"/>
        <v>-0.42870909203024288</v>
      </c>
      <c r="CL55">
        <f t="shared" ca="1" si="58"/>
        <v>-0.3425467046441294</v>
      </c>
      <c r="CM55">
        <f t="shared" ca="1" si="58"/>
        <v>-0.62151119009747124</v>
      </c>
      <c r="CN55">
        <f t="shared" ca="1" si="58"/>
        <v>7.4247837144759396E-2</v>
      </c>
      <c r="CO55">
        <f t="shared" ca="1" si="58"/>
        <v>0.43368205593501086</v>
      </c>
      <c r="CP55">
        <f t="shared" ca="1" si="58"/>
        <v>0.41226258860473536</v>
      </c>
      <c r="CQ55">
        <f t="shared" ca="1" si="58"/>
        <v>0.48942224506332738</v>
      </c>
      <c r="CR55">
        <f t="shared" ca="1" si="59"/>
        <v>0.92847534083479866</v>
      </c>
      <c r="CS55">
        <f t="shared" ca="1" si="59"/>
        <v>-1.7588667444241937</v>
      </c>
      <c r="CT55">
        <f t="shared" ca="1" si="59"/>
        <v>1.6411331142186931</v>
      </c>
      <c r="CU55">
        <f t="shared" ca="1" si="59"/>
        <v>-0.81244862549522867</v>
      </c>
      <c r="CV55">
        <f t="shared" ca="1" si="59"/>
        <v>0.78215434685826069</v>
      </c>
      <c r="CW55">
        <f t="shared" ca="1" si="59"/>
        <v>-1.0532728943106178</v>
      </c>
      <c r="CX55">
        <f t="shared" ca="1" si="59"/>
        <v>0.61031270710966057</v>
      </c>
      <c r="CY55">
        <f t="shared" ca="1" si="59"/>
        <v>-1.6919173677885873</v>
      </c>
      <c r="CZ55">
        <f t="shared" ca="1" si="59"/>
        <v>-0.12335055963349383</v>
      </c>
      <c r="DA55">
        <f t="shared" ca="1" si="59"/>
        <v>-1.2355678546434994</v>
      </c>
    </row>
    <row r="56" spans="5:105" x14ac:dyDescent="0.25">
      <c r="E56">
        <f>S_plus!L56</f>
        <v>0.54000000000000026</v>
      </c>
      <c r="F56">
        <f t="shared" ca="1" si="50"/>
        <v>-0.98983228353532371</v>
      </c>
      <c r="G56">
        <f t="shared" ca="1" si="50"/>
        <v>0.36117612794577697</v>
      </c>
      <c r="H56">
        <f t="shared" ca="1" si="50"/>
        <v>-0.52925244921430181</v>
      </c>
      <c r="I56">
        <f t="shared" ca="1" si="50"/>
        <v>1.8058367858062756</v>
      </c>
      <c r="J56">
        <f t="shared" ca="1" si="50"/>
        <v>0.74497323158834028</v>
      </c>
      <c r="K56">
        <f t="shared" ca="1" si="50"/>
        <v>0.72522107690292792</v>
      </c>
      <c r="L56">
        <f t="shared" ca="1" si="50"/>
        <v>1.1636260755117214</v>
      </c>
      <c r="M56">
        <f t="shared" ca="1" si="50"/>
        <v>-0.14713876101566745</v>
      </c>
      <c r="N56">
        <f t="shared" ca="1" si="50"/>
        <v>-1.8533352697128342</v>
      </c>
      <c r="O56">
        <f t="shared" ca="1" si="50"/>
        <v>1.4176125950682532</v>
      </c>
      <c r="P56">
        <f t="shared" ca="1" si="51"/>
        <v>-4.5504765459174652E-2</v>
      </c>
      <c r="Q56">
        <f t="shared" ca="1" si="51"/>
        <v>0.72635539423876461</v>
      </c>
      <c r="R56">
        <f t="shared" ca="1" si="51"/>
        <v>-2.2033812547412288</v>
      </c>
      <c r="S56">
        <f t="shared" ca="1" si="51"/>
        <v>0.35068033007842292</v>
      </c>
      <c r="T56">
        <f t="shared" ca="1" si="51"/>
        <v>0.7149969966437838</v>
      </c>
      <c r="U56">
        <f t="shared" ca="1" si="51"/>
        <v>-0.45639510577986481</v>
      </c>
      <c r="V56">
        <f t="shared" ca="1" si="51"/>
        <v>0.26343537518855953</v>
      </c>
      <c r="W56">
        <f t="shared" ca="1" si="51"/>
        <v>0.10043538866234453</v>
      </c>
      <c r="X56">
        <f t="shared" ca="1" si="51"/>
        <v>0.63068392263779616</v>
      </c>
      <c r="Y56">
        <f t="shared" ca="1" si="51"/>
        <v>1.2453441254167388</v>
      </c>
      <c r="Z56">
        <f t="shared" ca="1" si="52"/>
        <v>-1.8378012505879625E-3</v>
      </c>
      <c r="AA56">
        <f t="shared" ca="1" si="52"/>
        <v>0.16786059904264719</v>
      </c>
      <c r="AB56">
        <f t="shared" ca="1" si="52"/>
        <v>1.4762721523795022</v>
      </c>
      <c r="AC56">
        <f t="shared" ca="1" si="52"/>
        <v>0.64155243248865068</v>
      </c>
      <c r="AD56">
        <f t="shared" ca="1" si="52"/>
        <v>-0.90638995898003138</v>
      </c>
      <c r="AE56">
        <f t="shared" ca="1" si="52"/>
        <v>0.24515988030128</v>
      </c>
      <c r="AF56">
        <f t="shared" ca="1" si="52"/>
        <v>1.1175120151871407</v>
      </c>
      <c r="AG56">
        <f t="shared" ca="1" si="52"/>
        <v>1.1709922193336433</v>
      </c>
      <c r="AH56">
        <f t="shared" ca="1" si="52"/>
        <v>-9.782062952811256E-2</v>
      </c>
      <c r="AI56">
        <f t="shared" ca="1" si="52"/>
        <v>0.22434415378598255</v>
      </c>
      <c r="AJ56">
        <f t="shared" ca="1" si="53"/>
        <v>0.87979290141823951</v>
      </c>
      <c r="AK56">
        <f t="shared" ca="1" si="53"/>
        <v>-0.44556255957981039</v>
      </c>
      <c r="AL56">
        <f t="shared" ca="1" si="53"/>
        <v>-0.14118903983558878</v>
      </c>
      <c r="AM56">
        <f t="shared" ca="1" si="53"/>
        <v>-4.4007642029249117E-2</v>
      </c>
      <c r="AN56">
        <f t="shared" ca="1" si="53"/>
        <v>0.37715195927419021</v>
      </c>
      <c r="AO56">
        <f t="shared" ca="1" si="53"/>
        <v>8.2841776406600773E-3</v>
      </c>
      <c r="AP56">
        <f t="shared" ca="1" si="53"/>
        <v>1.1811792132320749</v>
      </c>
      <c r="AQ56">
        <f t="shared" ca="1" si="53"/>
        <v>-1.2260445712670678</v>
      </c>
      <c r="AR56">
        <f t="shared" ca="1" si="53"/>
        <v>-1.4784399627022147</v>
      </c>
      <c r="AS56">
        <f t="shared" ca="1" si="53"/>
        <v>-0.4445357834178793</v>
      </c>
      <c r="AT56">
        <f t="shared" ca="1" si="54"/>
        <v>-0.47190071605101075</v>
      </c>
      <c r="AU56">
        <f t="shared" ca="1" si="54"/>
        <v>0.95456324935036985</v>
      </c>
      <c r="AV56">
        <f t="shared" ca="1" si="54"/>
        <v>-5.5621696612201406E-2</v>
      </c>
      <c r="AW56">
        <f t="shared" ca="1" si="54"/>
        <v>-0.37500014064559029</v>
      </c>
      <c r="AX56">
        <f t="shared" ca="1" si="54"/>
        <v>1.3889319936412057</v>
      </c>
      <c r="AY56">
        <f t="shared" ca="1" si="54"/>
        <v>0.84200684517086455</v>
      </c>
      <c r="AZ56">
        <f t="shared" ca="1" si="54"/>
        <v>0.37948597852135002</v>
      </c>
      <c r="BA56">
        <f t="shared" ca="1" si="54"/>
        <v>-2.3573946537456969</v>
      </c>
      <c r="BB56">
        <f t="shared" ca="1" si="54"/>
        <v>-7.2583725402058055E-2</v>
      </c>
      <c r="BC56">
        <f t="shared" ca="1" si="54"/>
        <v>1.272340149018498</v>
      </c>
      <c r="BD56">
        <f t="shared" ca="1" si="55"/>
        <v>-1.7206407289113304</v>
      </c>
      <c r="BE56">
        <f t="shared" ca="1" si="55"/>
        <v>-0.79176335768863582</v>
      </c>
      <c r="BF56">
        <f t="shared" ca="1" si="55"/>
        <v>1.0338739131446011</v>
      </c>
      <c r="BG56">
        <f t="shared" ca="1" si="55"/>
        <v>-0.34727403670966855</v>
      </c>
      <c r="BH56">
        <f t="shared" ca="1" si="55"/>
        <v>0.19758991377162763</v>
      </c>
      <c r="BI56">
        <f t="shared" ca="1" si="55"/>
        <v>0.98488871099292585</v>
      </c>
      <c r="BJ56">
        <f t="shared" ca="1" si="55"/>
        <v>-0.10671546290278688</v>
      </c>
      <c r="BK56">
        <f t="shared" ca="1" si="55"/>
        <v>0.32479021379736911</v>
      </c>
      <c r="BL56">
        <f t="shared" ca="1" si="55"/>
        <v>-0.71861588430643752</v>
      </c>
      <c r="BM56">
        <f t="shared" ca="1" si="55"/>
        <v>-1.4652874522795127</v>
      </c>
      <c r="BN56">
        <f t="shared" ca="1" si="56"/>
        <v>1.2739320835783368</v>
      </c>
      <c r="BO56">
        <f t="shared" ca="1" si="56"/>
        <v>0.1363376896243525</v>
      </c>
      <c r="BP56">
        <f t="shared" ca="1" si="56"/>
        <v>-0.43700226422710964</v>
      </c>
      <c r="BQ56">
        <f t="shared" ca="1" si="56"/>
        <v>0.1456665960206858</v>
      </c>
      <c r="BR56">
        <f t="shared" ca="1" si="56"/>
        <v>2.7603004847754349</v>
      </c>
      <c r="BS56">
        <f t="shared" ca="1" si="56"/>
        <v>-1.4528555308403648</v>
      </c>
      <c r="BT56">
        <f t="shared" ca="1" si="56"/>
        <v>-0.25547995393708584</v>
      </c>
      <c r="BU56">
        <f t="shared" ca="1" si="56"/>
        <v>0.5217652948946957</v>
      </c>
      <c r="BV56">
        <f t="shared" ca="1" si="56"/>
        <v>-1.4314851497358088</v>
      </c>
      <c r="BW56">
        <f t="shared" ca="1" si="56"/>
        <v>-1.4689861444079872</v>
      </c>
      <c r="BX56">
        <f t="shared" ca="1" si="57"/>
        <v>0.22244121269594527</v>
      </c>
      <c r="BY56">
        <f t="shared" ca="1" si="57"/>
        <v>0.77876976105400897</v>
      </c>
      <c r="BZ56">
        <f t="shared" ca="1" si="57"/>
        <v>1.6490074168847997</v>
      </c>
      <c r="CA56">
        <f t="shared" ca="1" si="57"/>
        <v>-0.19229233505879537</v>
      </c>
      <c r="CB56">
        <f t="shared" ca="1" si="57"/>
        <v>1.1058586935611556</v>
      </c>
      <c r="CC56">
        <f t="shared" ca="1" si="57"/>
        <v>1.3788071588574713</v>
      </c>
      <c r="CD56">
        <f t="shared" ca="1" si="57"/>
        <v>0.5998874769797059</v>
      </c>
      <c r="CE56">
        <f t="shared" ca="1" si="57"/>
        <v>1.0965679703215896</v>
      </c>
      <c r="CF56">
        <f t="shared" ca="1" si="57"/>
        <v>-1.6638972781293697</v>
      </c>
      <c r="CG56">
        <f t="shared" ca="1" si="57"/>
        <v>-9.9713852233544037E-2</v>
      </c>
      <c r="CH56">
        <f t="shared" ca="1" si="58"/>
        <v>0.78242596467980097</v>
      </c>
      <c r="CI56">
        <f t="shared" ca="1" si="58"/>
        <v>-0.45519505256719062</v>
      </c>
      <c r="CJ56">
        <f t="shared" ca="1" si="58"/>
        <v>0.17226548168192274</v>
      </c>
      <c r="CK56">
        <f t="shared" ca="1" si="58"/>
        <v>0.77785523105075249</v>
      </c>
      <c r="CL56">
        <f t="shared" ca="1" si="58"/>
        <v>-0.90267672365776386</v>
      </c>
      <c r="CM56">
        <f t="shared" ca="1" si="58"/>
        <v>-0.61100392366836154</v>
      </c>
      <c r="CN56">
        <f t="shared" ca="1" si="58"/>
        <v>0.33435326339416432</v>
      </c>
      <c r="CO56">
        <f t="shared" ca="1" si="58"/>
        <v>1.2322608662404788</v>
      </c>
      <c r="CP56">
        <f t="shared" ca="1" si="58"/>
        <v>1.440711984258924</v>
      </c>
      <c r="CQ56">
        <f t="shared" ca="1" si="58"/>
        <v>-1.8278449015630545</v>
      </c>
      <c r="CR56">
        <f t="shared" ca="1" si="59"/>
        <v>-0.73506220531531274</v>
      </c>
      <c r="CS56">
        <f t="shared" ca="1" si="59"/>
        <v>1.0596641200203847</v>
      </c>
      <c r="CT56">
        <f t="shared" ca="1" si="59"/>
        <v>-0.93061059644974053</v>
      </c>
      <c r="CU56">
        <f t="shared" ca="1" si="59"/>
        <v>0.36978770051036891</v>
      </c>
      <c r="CV56">
        <f t="shared" ca="1" si="59"/>
        <v>2.0605856522570454</v>
      </c>
      <c r="CW56">
        <f t="shared" ca="1" si="59"/>
        <v>-0.14982319277109685</v>
      </c>
      <c r="CX56">
        <f t="shared" ca="1" si="59"/>
        <v>0.38200300092153894</v>
      </c>
      <c r="CY56">
        <f t="shared" ca="1" si="59"/>
        <v>0.97642090993182074</v>
      </c>
      <c r="CZ56">
        <f t="shared" ca="1" si="59"/>
        <v>1.194095616608106</v>
      </c>
      <c r="DA56">
        <f t="shared" ca="1" si="59"/>
        <v>-0.34815107926560585</v>
      </c>
    </row>
    <row r="57" spans="5:105" x14ac:dyDescent="0.25">
      <c r="E57">
        <f>S_plus!L57</f>
        <v>0.55000000000000027</v>
      </c>
      <c r="F57">
        <f t="shared" ca="1" si="50"/>
        <v>1.1463658605293625</v>
      </c>
      <c r="G57">
        <f t="shared" ca="1" si="50"/>
        <v>1.4024933928444558</v>
      </c>
      <c r="H57">
        <f t="shared" ca="1" si="50"/>
        <v>2.5818652201881886</v>
      </c>
      <c r="I57">
        <f t="shared" ca="1" si="50"/>
        <v>1.2942824701456803E-2</v>
      </c>
      <c r="J57">
        <f t="shared" ca="1" si="50"/>
        <v>0.64266930873425476</v>
      </c>
      <c r="K57">
        <f t="shared" ca="1" si="50"/>
        <v>0.58804095270235346</v>
      </c>
      <c r="L57">
        <f t="shared" ca="1" si="50"/>
        <v>-1.0247690427570897</v>
      </c>
      <c r="M57">
        <f t="shared" ca="1" si="50"/>
        <v>0.16204324126710185</v>
      </c>
      <c r="N57">
        <f t="shared" ca="1" si="50"/>
        <v>1.3179534644251401</v>
      </c>
      <c r="O57">
        <f t="shared" ca="1" si="50"/>
        <v>-0.37005606328064372</v>
      </c>
      <c r="P57">
        <f t="shared" ca="1" si="51"/>
        <v>-1.8810917042439125E-2</v>
      </c>
      <c r="Q57">
        <f t="shared" ca="1" si="51"/>
        <v>0.11192808371604171</v>
      </c>
      <c r="R57">
        <f t="shared" ca="1" si="51"/>
        <v>-0.99884684187775141</v>
      </c>
      <c r="S57">
        <f t="shared" ca="1" si="51"/>
        <v>1.5286889085756725</v>
      </c>
      <c r="T57">
        <f t="shared" ca="1" si="51"/>
        <v>9.7272627952429122E-2</v>
      </c>
      <c r="U57">
        <f t="shared" ca="1" si="51"/>
        <v>-0.71570240358075488</v>
      </c>
      <c r="V57">
        <f t="shared" ca="1" si="51"/>
        <v>0.23861146528959445</v>
      </c>
      <c r="W57">
        <f t="shared" ca="1" si="51"/>
        <v>0.71204166913619271</v>
      </c>
      <c r="X57">
        <f t="shared" ca="1" si="51"/>
        <v>-0.65846941636928935</v>
      </c>
      <c r="Y57">
        <f t="shared" ca="1" si="51"/>
        <v>1.0498576461233875</v>
      </c>
      <c r="Z57">
        <f t="shared" ca="1" si="52"/>
        <v>1.3826326397141837</v>
      </c>
      <c r="AA57">
        <f t="shared" ca="1" si="52"/>
        <v>-0.64906702269338179</v>
      </c>
      <c r="AB57">
        <f t="shared" ca="1" si="52"/>
        <v>1.9518852871927162E-2</v>
      </c>
      <c r="AC57">
        <f t="shared" ca="1" si="52"/>
        <v>4.396182643186191E-2</v>
      </c>
      <c r="AD57">
        <f t="shared" ca="1" si="52"/>
        <v>-0.17234331932085761</v>
      </c>
      <c r="AE57">
        <f t="shared" ca="1" si="52"/>
        <v>-0.25886775005737728</v>
      </c>
      <c r="AF57">
        <f t="shared" ca="1" si="52"/>
        <v>-0.62594134392173018</v>
      </c>
      <c r="AG57">
        <f t="shared" ca="1" si="52"/>
        <v>-0.29837876761672771</v>
      </c>
      <c r="AH57">
        <f t="shared" ca="1" si="52"/>
        <v>2.0776784146344576</v>
      </c>
      <c r="AI57">
        <f t="shared" ca="1" si="52"/>
        <v>0.74813703717747737</v>
      </c>
      <c r="AJ57">
        <f t="shared" ca="1" si="53"/>
        <v>0.48738892842781895</v>
      </c>
      <c r="AK57">
        <f t="shared" ca="1" si="53"/>
        <v>-0.65928256691592246</v>
      </c>
      <c r="AL57">
        <f t="shared" ca="1" si="53"/>
        <v>-0.10116823471671114</v>
      </c>
      <c r="AM57">
        <f t="shared" ca="1" si="53"/>
        <v>-1.5617225480293113</v>
      </c>
      <c r="AN57">
        <f t="shared" ca="1" si="53"/>
        <v>-0.15909597718839733</v>
      </c>
      <c r="AO57">
        <f t="shared" ca="1" si="53"/>
        <v>0.43906370653720944</v>
      </c>
      <c r="AP57">
        <f t="shared" ca="1" si="53"/>
        <v>-0.75744841996806156</v>
      </c>
      <c r="AQ57">
        <f t="shared" ca="1" si="53"/>
        <v>-0.32904616616437188</v>
      </c>
      <c r="AR57">
        <f t="shared" ca="1" si="53"/>
        <v>-0.63653353914275468</v>
      </c>
      <c r="AS57">
        <f t="shared" ca="1" si="53"/>
        <v>-0.34098803799554767</v>
      </c>
      <c r="AT57">
        <f t="shared" ca="1" si="54"/>
        <v>0.10200541613987343</v>
      </c>
      <c r="AU57">
        <f t="shared" ca="1" si="54"/>
        <v>1.460523318741636</v>
      </c>
      <c r="AV57">
        <f t="shared" ca="1" si="54"/>
        <v>-1.397699323436228</v>
      </c>
      <c r="AW57">
        <f t="shared" ca="1" si="54"/>
        <v>1.4772058882260395</v>
      </c>
      <c r="AX57">
        <f t="shared" ca="1" si="54"/>
        <v>0.29841235415244932</v>
      </c>
      <c r="AY57">
        <f t="shared" ca="1" si="54"/>
        <v>1.2413429551654789</v>
      </c>
      <c r="AZ57">
        <f t="shared" ca="1" si="54"/>
        <v>-2.3382296171902857</v>
      </c>
      <c r="BA57">
        <f t="shared" ca="1" si="54"/>
        <v>0.17282698972929417</v>
      </c>
      <c r="BB57">
        <f t="shared" ca="1" si="54"/>
        <v>6.8652547861043745E-2</v>
      </c>
      <c r="BC57">
        <f t="shared" ca="1" si="54"/>
        <v>1.1844299888849905</v>
      </c>
      <c r="BD57">
        <f t="shared" ca="1" si="55"/>
        <v>-1.4706606655742416</v>
      </c>
      <c r="BE57">
        <f t="shared" ca="1" si="55"/>
        <v>7.7868430855452392E-2</v>
      </c>
      <c r="BF57">
        <f t="shared" ca="1" si="55"/>
        <v>1.1752655191008483</v>
      </c>
      <c r="BG57">
        <f t="shared" ca="1" si="55"/>
        <v>-1.3383814671885195</v>
      </c>
      <c r="BH57">
        <f t="shared" ca="1" si="55"/>
        <v>-0.8855630453318567</v>
      </c>
      <c r="BI57">
        <f t="shared" ca="1" si="55"/>
        <v>2.2702624986060753</v>
      </c>
      <c r="BJ57">
        <f t="shared" ca="1" si="55"/>
        <v>-0.93592418199046767</v>
      </c>
      <c r="BK57">
        <f t="shared" ca="1" si="55"/>
        <v>0.49637278747720998</v>
      </c>
      <c r="BL57">
        <f t="shared" ca="1" si="55"/>
        <v>-0.86665700113912025</v>
      </c>
      <c r="BM57">
        <f t="shared" ca="1" si="55"/>
        <v>0.85706611756108653</v>
      </c>
      <c r="BN57">
        <f t="shared" ca="1" si="56"/>
        <v>-1.597188399950082</v>
      </c>
      <c r="BO57">
        <f t="shared" ca="1" si="56"/>
        <v>-1.1708358067045481</v>
      </c>
      <c r="BP57">
        <f t="shared" ca="1" si="56"/>
        <v>-0.93754240728887561</v>
      </c>
      <c r="BQ57">
        <f t="shared" ca="1" si="56"/>
        <v>-0.25569798817991612</v>
      </c>
      <c r="BR57">
        <f t="shared" ca="1" si="56"/>
        <v>0.56987357503602054</v>
      </c>
      <c r="BS57">
        <f t="shared" ca="1" si="56"/>
        <v>0.6964079561110591</v>
      </c>
      <c r="BT57">
        <f t="shared" ca="1" si="56"/>
        <v>-0.39089400637725957</v>
      </c>
      <c r="BU57">
        <f t="shared" ca="1" si="56"/>
        <v>-0.28164177590825401</v>
      </c>
      <c r="BV57">
        <f t="shared" ca="1" si="56"/>
        <v>0.10313617155630277</v>
      </c>
      <c r="BW57">
        <f t="shared" ca="1" si="56"/>
        <v>1.2977502063722941</v>
      </c>
      <c r="BX57">
        <f t="shared" ca="1" si="57"/>
        <v>3.41634849089818E-2</v>
      </c>
      <c r="BY57">
        <f t="shared" ca="1" si="57"/>
        <v>0.61005156900263402</v>
      </c>
      <c r="BZ57">
        <f t="shared" ca="1" si="57"/>
        <v>0.58401396307417452</v>
      </c>
      <c r="CA57">
        <f t="shared" ca="1" si="57"/>
        <v>-0.24614277782064956</v>
      </c>
      <c r="CB57">
        <f t="shared" ca="1" si="57"/>
        <v>0.88385397693501633</v>
      </c>
      <c r="CC57">
        <f t="shared" ca="1" si="57"/>
        <v>-0.77598747935245571</v>
      </c>
      <c r="CD57">
        <f t="shared" ca="1" si="57"/>
        <v>-1.0214893207222764</v>
      </c>
      <c r="CE57">
        <f t="shared" ca="1" si="57"/>
        <v>-0.19027444639197991</v>
      </c>
      <c r="CF57">
        <f t="shared" ca="1" si="57"/>
        <v>-4.8680457970772112E-2</v>
      </c>
      <c r="CG57">
        <f t="shared" ca="1" si="57"/>
        <v>-0.7609820500915947</v>
      </c>
      <c r="CH57">
        <f t="shared" ca="1" si="58"/>
        <v>1.0587241322190677</v>
      </c>
      <c r="CI57">
        <f t="shared" ca="1" si="58"/>
        <v>-0.24496321551041644</v>
      </c>
      <c r="CJ57">
        <f t="shared" ca="1" si="58"/>
        <v>-0.80431036525272737</v>
      </c>
      <c r="CK57">
        <f t="shared" ca="1" si="58"/>
        <v>0.16686684917306385</v>
      </c>
      <c r="CL57">
        <f t="shared" ca="1" si="58"/>
        <v>-1.2884313788517705</v>
      </c>
      <c r="CM57">
        <f t="shared" ca="1" si="58"/>
        <v>0.1137352038329344</v>
      </c>
      <c r="CN57">
        <f t="shared" ca="1" si="58"/>
        <v>-1.2536406174570192</v>
      </c>
      <c r="CO57">
        <f t="shared" ca="1" si="58"/>
        <v>-1.0961347428047057</v>
      </c>
      <c r="CP57">
        <f t="shared" ca="1" si="58"/>
        <v>0.24319418735462001</v>
      </c>
      <c r="CQ57">
        <f t="shared" ca="1" si="58"/>
        <v>0.15994555851999892</v>
      </c>
      <c r="CR57">
        <f t="shared" ca="1" si="59"/>
        <v>-0.52776970396194955</v>
      </c>
      <c r="CS57">
        <f t="shared" ca="1" si="59"/>
        <v>-4.2922427488711536E-2</v>
      </c>
      <c r="CT57">
        <f t="shared" ca="1" si="59"/>
        <v>-0.32609309120183799</v>
      </c>
      <c r="CU57">
        <f t="shared" ca="1" si="59"/>
        <v>1.0639150124204715</v>
      </c>
      <c r="CV57">
        <f t="shared" ca="1" si="59"/>
        <v>-0.18091846932609121</v>
      </c>
      <c r="CW57">
        <f t="shared" ca="1" si="59"/>
        <v>-9.768866160971415E-2</v>
      </c>
      <c r="CX57">
        <f t="shared" ca="1" si="59"/>
        <v>0.70543400487975461</v>
      </c>
      <c r="CY57">
        <f t="shared" ca="1" si="59"/>
        <v>-0.72523635047030544</v>
      </c>
      <c r="CZ57">
        <f t="shared" ca="1" si="59"/>
        <v>-0.19989579438243399</v>
      </c>
      <c r="DA57">
        <f t="shared" ca="1" si="59"/>
        <v>-2.4252436733122894E-2</v>
      </c>
    </row>
    <row r="58" spans="5:105" x14ac:dyDescent="0.25">
      <c r="E58">
        <f>S_plus!L58</f>
        <v>0.56000000000000028</v>
      </c>
      <c r="F58">
        <f t="shared" ca="1" si="50"/>
        <v>-0.17139868334933825</v>
      </c>
      <c r="G58">
        <f t="shared" ca="1" si="50"/>
        <v>0.12882276450930022</v>
      </c>
      <c r="H58">
        <f t="shared" ca="1" si="50"/>
        <v>-9.8660595820689825E-2</v>
      </c>
      <c r="I58">
        <f t="shared" ca="1" si="50"/>
        <v>-2.5783632153603677</v>
      </c>
      <c r="J58">
        <f t="shared" ca="1" si="50"/>
        <v>3.222572835525405E-2</v>
      </c>
      <c r="K58">
        <f t="shared" ca="1" si="50"/>
        <v>-0.91950309274122499</v>
      </c>
      <c r="L58">
        <f t="shared" ca="1" si="50"/>
        <v>0.28009329197647997</v>
      </c>
      <c r="M58">
        <f t="shared" ca="1" si="50"/>
        <v>-2.6396553905073807E-2</v>
      </c>
      <c r="N58">
        <f t="shared" ca="1" si="50"/>
        <v>-1.1375432888369752</v>
      </c>
      <c r="O58">
        <f t="shared" ca="1" si="50"/>
        <v>1.4107918705966955</v>
      </c>
      <c r="P58">
        <f t="shared" ca="1" si="51"/>
        <v>-0.53886709269098476</v>
      </c>
      <c r="Q58">
        <f t="shared" ca="1" si="51"/>
        <v>0.35731222940835283</v>
      </c>
      <c r="R58">
        <f t="shared" ca="1" si="51"/>
        <v>-0.54481478448548248</v>
      </c>
      <c r="S58">
        <f t="shared" ca="1" si="51"/>
        <v>-0.76928507169131444</v>
      </c>
      <c r="T58">
        <f t="shared" ca="1" si="51"/>
        <v>-1.8986261594334506</v>
      </c>
      <c r="U58">
        <f t="shared" ca="1" si="51"/>
        <v>0.37602447780855497</v>
      </c>
      <c r="V58">
        <f t="shared" ca="1" si="51"/>
        <v>0.59893512418756789</v>
      </c>
      <c r="W58">
        <f t="shared" ca="1" si="51"/>
        <v>0.99632304250674797</v>
      </c>
      <c r="X58">
        <f t="shared" ca="1" si="51"/>
        <v>0.92553459215892564</v>
      </c>
      <c r="Y58">
        <f t="shared" ca="1" si="51"/>
        <v>-2.0597842510795719</v>
      </c>
      <c r="Z58">
        <f t="shared" ca="1" si="52"/>
        <v>1.0105333126665117</v>
      </c>
      <c r="AA58">
        <f t="shared" ca="1" si="52"/>
        <v>-0.50182037580107053</v>
      </c>
      <c r="AB58">
        <f t="shared" ca="1" si="52"/>
        <v>-0.5496900483262358</v>
      </c>
      <c r="AC58">
        <f t="shared" ca="1" si="52"/>
        <v>-2.0125808462570314</v>
      </c>
      <c r="AD58">
        <f t="shared" ca="1" si="52"/>
        <v>-2.6724947522869882</v>
      </c>
      <c r="AE58">
        <f t="shared" ca="1" si="52"/>
        <v>-0.2019947968157105</v>
      </c>
      <c r="AF58">
        <f t="shared" ca="1" si="52"/>
        <v>7.7195901867395847E-2</v>
      </c>
      <c r="AG58">
        <f t="shared" ca="1" si="52"/>
        <v>-0.86567808625280585</v>
      </c>
      <c r="AH58">
        <f t="shared" ca="1" si="52"/>
        <v>0.6572771483102976</v>
      </c>
      <c r="AI58">
        <f t="shared" ca="1" si="52"/>
        <v>0.84609833166805037</v>
      </c>
      <c r="AJ58">
        <f t="shared" ca="1" si="53"/>
        <v>-1.0141425620681797</v>
      </c>
      <c r="AK58">
        <f t="shared" ca="1" si="53"/>
        <v>0.79056257883014047</v>
      </c>
      <c r="AL58">
        <f t="shared" ca="1" si="53"/>
        <v>-7.5411169436987571E-2</v>
      </c>
      <c r="AM58">
        <f t="shared" ca="1" si="53"/>
        <v>0.78057669490381043</v>
      </c>
      <c r="AN58">
        <f t="shared" ca="1" si="53"/>
        <v>-1.4005432794256953</v>
      </c>
      <c r="AO58">
        <f t="shared" ca="1" si="53"/>
        <v>1.7927024531910665</v>
      </c>
      <c r="AP58">
        <f t="shared" ca="1" si="53"/>
        <v>0.95973299382959676</v>
      </c>
      <c r="AQ58">
        <f t="shared" ca="1" si="53"/>
        <v>0.25828924630989314</v>
      </c>
      <c r="AR58">
        <f t="shared" ca="1" si="53"/>
        <v>-1.724486859390612</v>
      </c>
      <c r="AS58">
        <f t="shared" ca="1" si="53"/>
        <v>-0.83072920427415753</v>
      </c>
      <c r="AT58">
        <f t="shared" ca="1" si="54"/>
        <v>-0.18498489178555355</v>
      </c>
      <c r="AU58">
        <f t="shared" ca="1" si="54"/>
        <v>-4.1567219287447187E-2</v>
      </c>
      <c r="AV58">
        <f t="shared" ca="1" si="54"/>
        <v>-0.91934897030107643</v>
      </c>
      <c r="AW58">
        <f t="shared" ca="1" si="54"/>
        <v>0.15124871224297404</v>
      </c>
      <c r="AX58">
        <f t="shared" ca="1" si="54"/>
        <v>-0.50162316016180752</v>
      </c>
      <c r="AY58">
        <f t="shared" ca="1" si="54"/>
        <v>1.705426834209371</v>
      </c>
      <c r="AZ58">
        <f t="shared" ca="1" si="54"/>
        <v>-0.87714104392909309</v>
      </c>
      <c r="BA58">
        <f t="shared" ca="1" si="54"/>
        <v>-0.19199571773881943</v>
      </c>
      <c r="BB58">
        <f t="shared" ca="1" si="54"/>
        <v>0.70124661674373667</v>
      </c>
      <c r="BC58">
        <f t="shared" ca="1" si="54"/>
        <v>1.2419371288673617</v>
      </c>
      <c r="BD58">
        <f t="shared" ca="1" si="55"/>
        <v>1.1470271831428265</v>
      </c>
      <c r="BE58">
        <f t="shared" ca="1" si="55"/>
        <v>-2.0186926747352349</v>
      </c>
      <c r="BF58">
        <f t="shared" ca="1" si="55"/>
        <v>-1.2943164085764618</v>
      </c>
      <c r="BG58">
        <f t="shared" ca="1" si="55"/>
        <v>0.49626365111334891</v>
      </c>
      <c r="BH58">
        <f t="shared" ca="1" si="55"/>
        <v>-1.7166566344471383</v>
      </c>
      <c r="BI58">
        <f t="shared" ca="1" si="55"/>
        <v>-1.2738843590615601</v>
      </c>
      <c r="BJ58">
        <f t="shared" ca="1" si="55"/>
        <v>0.15291440855937657</v>
      </c>
      <c r="BK58">
        <f t="shared" ca="1" si="55"/>
        <v>-0.94027734005833452</v>
      </c>
      <c r="BL58">
        <f t="shared" ca="1" si="55"/>
        <v>-0.20034271213311419</v>
      </c>
      <c r="BM58">
        <f t="shared" ca="1" si="55"/>
        <v>-1.0269952819199897</v>
      </c>
      <c r="BN58">
        <f t="shared" ca="1" si="56"/>
        <v>-0.21881744073082757</v>
      </c>
      <c r="BO58">
        <f t="shared" ca="1" si="56"/>
        <v>-0.74603012819120795</v>
      </c>
      <c r="BP58">
        <f t="shared" ca="1" si="56"/>
        <v>-1.9518125546810645</v>
      </c>
      <c r="BQ58">
        <f t="shared" ca="1" si="56"/>
        <v>-0.57281767332128364</v>
      </c>
      <c r="BR58">
        <f t="shared" ca="1" si="56"/>
        <v>0.21119373842628456</v>
      </c>
      <c r="BS58">
        <f t="shared" ca="1" si="56"/>
        <v>0.15767412582433982</v>
      </c>
      <c r="BT58">
        <f t="shared" ca="1" si="56"/>
        <v>0.77596231222718259</v>
      </c>
      <c r="BU58">
        <f t="shared" ca="1" si="56"/>
        <v>-0.42395719750833505</v>
      </c>
      <c r="BV58">
        <f t="shared" ca="1" si="56"/>
        <v>-1.1019161454864317</v>
      </c>
      <c r="BW58">
        <f t="shared" ca="1" si="56"/>
        <v>-0.73504951820467146</v>
      </c>
      <c r="BX58">
        <f t="shared" ca="1" si="57"/>
        <v>1.7541061922688519</v>
      </c>
      <c r="BY58">
        <f t="shared" ca="1" si="57"/>
        <v>1.7088988452340661</v>
      </c>
      <c r="BZ58">
        <f t="shared" ca="1" si="57"/>
        <v>0.86653859458189819</v>
      </c>
      <c r="CA58">
        <f t="shared" ca="1" si="57"/>
        <v>-0.40599946908250828</v>
      </c>
      <c r="CB58">
        <f t="shared" ca="1" si="57"/>
        <v>0.71830890118503021</v>
      </c>
      <c r="CC58">
        <f t="shared" ca="1" si="57"/>
        <v>-1.2960426334848216</v>
      </c>
      <c r="CD58">
        <f t="shared" ca="1" si="57"/>
        <v>-0.19730068497059852</v>
      </c>
      <c r="CE58">
        <f t="shared" ca="1" si="57"/>
        <v>0.39123467430353681</v>
      </c>
      <c r="CF58">
        <f t="shared" ca="1" si="57"/>
        <v>0.16415843643300629</v>
      </c>
      <c r="CG58">
        <f t="shared" ca="1" si="57"/>
        <v>1.4159621608788695</v>
      </c>
      <c r="CH58">
        <f t="shared" ca="1" si="58"/>
        <v>-0.53686132573871437</v>
      </c>
      <c r="CI58">
        <f t="shared" ca="1" si="58"/>
        <v>2.9948006363726059</v>
      </c>
      <c r="CJ58">
        <f t="shared" ca="1" si="58"/>
        <v>-0.43255942871473829</v>
      </c>
      <c r="CK58">
        <f t="shared" ca="1" si="58"/>
        <v>2.1553924229899541</v>
      </c>
      <c r="CL58">
        <f t="shared" ca="1" si="58"/>
        <v>-0.64221828847599771</v>
      </c>
      <c r="CM58">
        <f t="shared" ca="1" si="58"/>
        <v>0.18756914400592575</v>
      </c>
      <c r="CN58">
        <f t="shared" ca="1" si="58"/>
        <v>-0.20755951069093129</v>
      </c>
      <c r="CO58">
        <f t="shared" ca="1" si="58"/>
        <v>-0.70666941196961663</v>
      </c>
      <c r="CP58">
        <f t="shared" ca="1" si="58"/>
        <v>-1.7070139754455101E-2</v>
      </c>
      <c r="CQ58">
        <f t="shared" ca="1" si="58"/>
        <v>0.73418612709988851</v>
      </c>
      <c r="CR58">
        <f t="shared" ca="1" si="59"/>
        <v>0.91172026322940292</v>
      </c>
      <c r="CS58">
        <f t="shared" ca="1" si="59"/>
        <v>-0.43835241328427216</v>
      </c>
      <c r="CT58">
        <f t="shared" ca="1" si="59"/>
        <v>-3.2905433740092395E-2</v>
      </c>
      <c r="CU58">
        <f t="shared" ca="1" si="59"/>
        <v>-0.97911300360407627</v>
      </c>
      <c r="CV58">
        <f t="shared" ca="1" si="59"/>
        <v>1.6948659462795219</v>
      </c>
      <c r="CW58">
        <f t="shared" ca="1" si="59"/>
        <v>1.7217206485967371</v>
      </c>
      <c r="CX58">
        <f t="shared" ca="1" si="59"/>
        <v>1.3224270099133963</v>
      </c>
      <c r="CY58">
        <f t="shared" ca="1" si="59"/>
        <v>-0.7989805750598814</v>
      </c>
      <c r="CZ58">
        <f t="shared" ca="1" si="59"/>
        <v>-1.3275704140499573</v>
      </c>
      <c r="DA58">
        <f t="shared" ca="1" si="59"/>
        <v>-0.88833377145955317</v>
      </c>
    </row>
    <row r="59" spans="5:105" x14ac:dyDescent="0.25">
      <c r="E59">
        <f>S_plus!L59</f>
        <v>0.57000000000000028</v>
      </c>
      <c r="F59">
        <f t="shared" ca="1" si="50"/>
        <v>0.90609456922080567</v>
      </c>
      <c r="G59">
        <f t="shared" ca="1" si="50"/>
        <v>0.50497318071008113</v>
      </c>
      <c r="H59">
        <f t="shared" ca="1" si="50"/>
        <v>-0.30209681707858321</v>
      </c>
      <c r="I59">
        <f t="shared" ca="1" si="50"/>
        <v>0.69642254423469319</v>
      </c>
      <c r="J59">
        <f t="shared" ca="1" si="50"/>
        <v>0.59158925582567079</v>
      </c>
      <c r="K59">
        <f t="shared" ca="1" si="50"/>
        <v>-0.38347733332822603</v>
      </c>
      <c r="L59">
        <f t="shared" ca="1" si="50"/>
        <v>-7.2157765405154506E-2</v>
      </c>
      <c r="M59">
        <f t="shared" ca="1" si="50"/>
        <v>-0.66394866309586098</v>
      </c>
      <c r="N59">
        <f t="shared" ca="1" si="50"/>
        <v>1.8482654943641277</v>
      </c>
      <c r="O59">
        <f t="shared" ca="1" si="50"/>
        <v>0.58829155864213178</v>
      </c>
      <c r="P59">
        <f t="shared" ca="1" si="51"/>
        <v>0.84080529346269728</v>
      </c>
      <c r="Q59">
        <f t="shared" ca="1" si="51"/>
        <v>-0.54784309890521954</v>
      </c>
      <c r="R59">
        <f t="shared" ca="1" si="51"/>
        <v>1.1030734179364838</v>
      </c>
      <c r="S59">
        <f t="shared" ca="1" si="51"/>
        <v>-0.51689919220310487</v>
      </c>
      <c r="T59">
        <f t="shared" ca="1" si="51"/>
        <v>0.53873488325479535</v>
      </c>
      <c r="U59">
        <f t="shared" ca="1" si="51"/>
        <v>-0.56574321708797093</v>
      </c>
      <c r="V59">
        <f t="shared" ca="1" si="51"/>
        <v>-1.4576472103601383</v>
      </c>
      <c r="W59">
        <f t="shared" ca="1" si="51"/>
        <v>-0.22925234058750371</v>
      </c>
      <c r="X59">
        <f t="shared" ca="1" si="51"/>
        <v>2.6458049090540374</v>
      </c>
      <c r="Y59">
        <f t="shared" ca="1" si="51"/>
        <v>0.11158784683071205</v>
      </c>
      <c r="Z59">
        <f t="shared" ca="1" si="52"/>
        <v>1.6074680007697713</v>
      </c>
      <c r="AA59">
        <f t="shared" ca="1" si="52"/>
        <v>1.5313208046162952</v>
      </c>
      <c r="AB59">
        <f t="shared" ca="1" si="52"/>
        <v>0.65030962129872993</v>
      </c>
      <c r="AC59">
        <f t="shared" ca="1" si="52"/>
        <v>0.52372967114968316</v>
      </c>
      <c r="AD59">
        <f t="shared" ca="1" si="52"/>
        <v>0.84194146965784356</v>
      </c>
      <c r="AE59">
        <f t="shared" ca="1" si="52"/>
        <v>-1.4582003997595772</v>
      </c>
      <c r="AF59">
        <f t="shared" ca="1" si="52"/>
        <v>0.63067351871692257</v>
      </c>
      <c r="AG59">
        <f t="shared" ca="1" si="52"/>
        <v>0.27729506292469169</v>
      </c>
      <c r="AH59">
        <f t="shared" ca="1" si="52"/>
        <v>0.16921562709878782</v>
      </c>
      <c r="AI59">
        <f t="shared" ca="1" si="52"/>
        <v>0.50699543273284486</v>
      </c>
      <c r="AJ59">
        <f t="shared" ca="1" si="53"/>
        <v>0.16737205693382923</v>
      </c>
      <c r="AK59">
        <f t="shared" ca="1" si="53"/>
        <v>1.5897429643939109</v>
      </c>
      <c r="AL59">
        <f t="shared" ca="1" si="53"/>
        <v>1.5931495978340362</v>
      </c>
      <c r="AM59">
        <f t="shared" ca="1" si="53"/>
        <v>0.31883793720325326</v>
      </c>
      <c r="AN59">
        <f t="shared" ca="1" si="53"/>
        <v>-1.0252386834772138</v>
      </c>
      <c r="AO59">
        <f t="shared" ca="1" si="53"/>
        <v>-0.18627829363679038</v>
      </c>
      <c r="AP59">
        <f t="shared" ca="1" si="53"/>
        <v>0.98092428853278968</v>
      </c>
      <c r="AQ59">
        <f t="shared" ca="1" si="53"/>
        <v>-0.47730449942702141</v>
      </c>
      <c r="AR59">
        <f t="shared" ca="1" si="53"/>
        <v>0.19159790675616922</v>
      </c>
      <c r="AS59">
        <f t="shared" ca="1" si="53"/>
        <v>-0.78818215177370576</v>
      </c>
      <c r="AT59">
        <f t="shared" ca="1" si="54"/>
        <v>-0.79905172199074737</v>
      </c>
      <c r="AU59">
        <f t="shared" ca="1" si="54"/>
        <v>-0.17401520403563445</v>
      </c>
      <c r="AV59">
        <f t="shared" ca="1" si="54"/>
        <v>0.10082333804127122</v>
      </c>
      <c r="AW59">
        <f t="shared" ca="1" si="54"/>
        <v>0.44385391135354579</v>
      </c>
      <c r="AX59">
        <f t="shared" ca="1" si="54"/>
        <v>1.0696867128987597</v>
      </c>
      <c r="AY59">
        <f t="shared" ca="1" si="54"/>
        <v>-9.7825861926976419E-3</v>
      </c>
      <c r="AZ59">
        <f t="shared" ca="1" si="54"/>
        <v>0.27426107169907454</v>
      </c>
      <c r="BA59">
        <f t="shared" ca="1" si="54"/>
        <v>1.5262950671668756</v>
      </c>
      <c r="BB59">
        <f t="shared" ca="1" si="54"/>
        <v>0.36164907515883388</v>
      </c>
      <c r="BC59">
        <f t="shared" ca="1" si="54"/>
        <v>0.20312887334021071</v>
      </c>
      <c r="BD59">
        <f t="shared" ca="1" si="55"/>
        <v>-0.92716596900638426</v>
      </c>
      <c r="BE59">
        <f t="shared" ca="1" si="55"/>
        <v>0.21900588558682652</v>
      </c>
      <c r="BF59">
        <f t="shared" ca="1" si="55"/>
        <v>0.13967875326555171</v>
      </c>
      <c r="BG59">
        <f t="shared" ca="1" si="55"/>
        <v>0.76075734274569429</v>
      </c>
      <c r="BH59">
        <f t="shared" ca="1" si="55"/>
        <v>-1.1525303655260239</v>
      </c>
      <c r="BI59">
        <f t="shared" ca="1" si="55"/>
        <v>1.2776161522794596</v>
      </c>
      <c r="BJ59">
        <f t="shared" ca="1" si="55"/>
        <v>-0.22864437739197288</v>
      </c>
      <c r="BK59">
        <f t="shared" ca="1" si="55"/>
        <v>0.42730632396287133</v>
      </c>
      <c r="BL59">
        <f t="shared" ca="1" si="55"/>
        <v>-0.13577297917639794</v>
      </c>
      <c r="BM59">
        <f t="shared" ca="1" si="55"/>
        <v>0.39185038071873396</v>
      </c>
      <c r="BN59">
        <f t="shared" ca="1" si="56"/>
        <v>-0.84019750991089326</v>
      </c>
      <c r="BO59">
        <f t="shared" ca="1" si="56"/>
        <v>1.0423377964777543</v>
      </c>
      <c r="BP59">
        <f t="shared" ca="1" si="56"/>
        <v>-0.19483431576055479</v>
      </c>
      <c r="BQ59">
        <f t="shared" ca="1" si="56"/>
        <v>-0.63682300577071616</v>
      </c>
      <c r="BR59">
        <f t="shared" ca="1" si="56"/>
        <v>-0.78809673094972299</v>
      </c>
      <c r="BS59">
        <f t="shared" ca="1" si="56"/>
        <v>2.041201264999676</v>
      </c>
      <c r="BT59">
        <f t="shared" ca="1" si="56"/>
        <v>-0.10692338809766035</v>
      </c>
      <c r="BU59">
        <f t="shared" ca="1" si="56"/>
        <v>1.1420903161790579</v>
      </c>
      <c r="BV59">
        <f t="shared" ca="1" si="56"/>
        <v>1.7482534659114137</v>
      </c>
      <c r="BW59">
        <f t="shared" ca="1" si="56"/>
        <v>-1.7286214758759684</v>
      </c>
      <c r="BX59">
        <f t="shared" ca="1" si="57"/>
        <v>-1.3762566678311254</v>
      </c>
      <c r="BY59">
        <f t="shared" ca="1" si="57"/>
        <v>-3.9242188110736348E-2</v>
      </c>
      <c r="BZ59">
        <f t="shared" ca="1" si="57"/>
        <v>3.5773901779696075E-2</v>
      </c>
      <c r="CA59">
        <f t="shared" ca="1" si="57"/>
        <v>-0.75518897771783888</v>
      </c>
      <c r="CB59">
        <f t="shared" ca="1" si="57"/>
        <v>-0.26257744284618928</v>
      </c>
      <c r="CC59">
        <f t="shared" ca="1" si="57"/>
        <v>-0.14065063006346204</v>
      </c>
      <c r="CD59">
        <f t="shared" ca="1" si="57"/>
        <v>0.70102106236688633</v>
      </c>
      <c r="CE59">
        <f t="shared" ca="1" si="57"/>
        <v>1.2920683502588028</v>
      </c>
      <c r="CF59">
        <f t="shared" ca="1" si="57"/>
        <v>0.34366145639889512</v>
      </c>
      <c r="CG59">
        <f t="shared" ca="1" si="57"/>
        <v>0.80828569391519878</v>
      </c>
      <c r="CH59">
        <f t="shared" ca="1" si="58"/>
        <v>-8.5002191391824564E-2</v>
      </c>
      <c r="CI59">
        <f t="shared" ca="1" si="58"/>
        <v>-0.94403220704943014</v>
      </c>
      <c r="CJ59">
        <f t="shared" ca="1" si="58"/>
        <v>0.80753350312075378</v>
      </c>
      <c r="CK59">
        <f t="shared" ca="1" si="58"/>
        <v>2.3771049904448236</v>
      </c>
      <c r="CL59">
        <f t="shared" ca="1" si="58"/>
        <v>4.2785292660307325E-2</v>
      </c>
      <c r="CM59">
        <f t="shared" ca="1" si="58"/>
        <v>1.3898803784018146</v>
      </c>
      <c r="CN59">
        <f t="shared" ca="1" si="58"/>
        <v>-0.33953699914728647</v>
      </c>
      <c r="CO59">
        <f t="shared" ca="1" si="58"/>
        <v>2.4100785247984247</v>
      </c>
      <c r="CP59">
        <f t="shared" ca="1" si="58"/>
        <v>-0.18637991782751373</v>
      </c>
      <c r="CQ59">
        <f t="shared" ca="1" si="58"/>
        <v>-0.56241696739405278</v>
      </c>
      <c r="CR59">
        <f t="shared" ca="1" si="59"/>
        <v>-0.61740436281867872</v>
      </c>
      <c r="CS59">
        <f t="shared" ca="1" si="59"/>
        <v>-1.409316267781203</v>
      </c>
      <c r="CT59">
        <f t="shared" ca="1" si="59"/>
        <v>0.96603786836013339</v>
      </c>
      <c r="CU59">
        <f t="shared" ca="1" si="59"/>
        <v>0.50985065951553588</v>
      </c>
      <c r="CV59">
        <f t="shared" ca="1" si="59"/>
        <v>0.16356711960144776</v>
      </c>
      <c r="CW59">
        <f t="shared" ca="1" si="59"/>
        <v>1.00920514382641</v>
      </c>
      <c r="CX59">
        <f t="shared" ca="1" si="59"/>
        <v>0.28180411666852834</v>
      </c>
      <c r="CY59">
        <f t="shared" ca="1" si="59"/>
        <v>-2.3110203872482304</v>
      </c>
      <c r="CZ59">
        <f t="shared" ca="1" si="59"/>
        <v>-0.53195007362476532</v>
      </c>
      <c r="DA59">
        <f t="shared" ca="1" si="59"/>
        <v>0.51297634871469655</v>
      </c>
    </row>
    <row r="60" spans="5:105" x14ac:dyDescent="0.25">
      <c r="E60">
        <f>S_plus!L60</f>
        <v>0.58000000000000029</v>
      </c>
      <c r="F60">
        <f t="shared" ca="1" si="50"/>
        <v>-1.6076397832299116</v>
      </c>
      <c r="G60">
        <f t="shared" ca="1" si="50"/>
        <v>-0.43082127685272437</v>
      </c>
      <c r="H60">
        <f t="shared" ca="1" si="50"/>
        <v>0.68734336061932633</v>
      </c>
      <c r="I60">
        <f t="shared" ca="1" si="50"/>
        <v>2.097048955120647</v>
      </c>
      <c r="J60">
        <f t="shared" ca="1" si="50"/>
        <v>-0.96472331104416031</v>
      </c>
      <c r="K60">
        <f t="shared" ca="1" si="50"/>
        <v>-0.30264840722495628</v>
      </c>
      <c r="L60">
        <f t="shared" ca="1" si="50"/>
        <v>-0.58512651582804509</v>
      </c>
      <c r="M60">
        <f t="shared" ca="1" si="50"/>
        <v>-0.35887755405590704</v>
      </c>
      <c r="N60">
        <f t="shared" ca="1" si="50"/>
        <v>-0.35437583757948049</v>
      </c>
      <c r="O60">
        <f t="shared" ca="1" si="50"/>
        <v>0.63728629831723038</v>
      </c>
      <c r="P60">
        <f t="shared" ca="1" si="51"/>
        <v>1.1996355726957224</v>
      </c>
      <c r="Q60">
        <f t="shared" ca="1" si="51"/>
        <v>-2.4549706564934635</v>
      </c>
      <c r="R60">
        <f t="shared" ca="1" si="51"/>
        <v>0.81543989852426801</v>
      </c>
      <c r="S60">
        <f t="shared" ca="1" si="51"/>
        <v>-1.7569492751569136E-2</v>
      </c>
      <c r="T60">
        <f t="shared" ca="1" si="51"/>
        <v>-2.0861913560512604</v>
      </c>
      <c r="U60">
        <f t="shared" ca="1" si="51"/>
        <v>-0.13835989645921778</v>
      </c>
      <c r="V60">
        <f t="shared" ca="1" si="51"/>
        <v>0.71607885547433126</v>
      </c>
      <c r="W60">
        <f t="shared" ca="1" si="51"/>
        <v>-0.33954043584451421</v>
      </c>
      <c r="X60">
        <f t="shared" ca="1" si="51"/>
        <v>0.4036519008654032</v>
      </c>
      <c r="Y60">
        <f t="shared" ca="1" si="51"/>
        <v>-1.3145502060442575</v>
      </c>
      <c r="Z60">
        <f t="shared" ca="1" si="52"/>
        <v>0.19224514738052029</v>
      </c>
      <c r="AA60">
        <f t="shared" ca="1" si="52"/>
        <v>1.7220273615831185</v>
      </c>
      <c r="AB60">
        <f t="shared" ca="1" si="52"/>
        <v>1.7212122428506054</v>
      </c>
      <c r="AC60">
        <f t="shared" ca="1" si="52"/>
        <v>0.24387282092082208</v>
      </c>
      <c r="AD60">
        <f t="shared" ca="1" si="52"/>
        <v>2.1323723046644658</v>
      </c>
      <c r="AE60">
        <f t="shared" ca="1" si="52"/>
        <v>1.3054919365131763</v>
      </c>
      <c r="AF60">
        <f t="shared" ca="1" si="52"/>
        <v>-1.0313026219085919</v>
      </c>
      <c r="AG60">
        <f t="shared" ca="1" si="52"/>
        <v>-1.8949299262756225</v>
      </c>
      <c r="AH60">
        <f t="shared" ca="1" si="52"/>
        <v>-0.46819549623266643</v>
      </c>
      <c r="AI60">
        <f t="shared" ca="1" si="52"/>
        <v>-1.6803662668989718</v>
      </c>
      <c r="AJ60">
        <f t="shared" ca="1" si="53"/>
        <v>-0.72849874029919093</v>
      </c>
      <c r="AK60">
        <f t="shared" ca="1" si="53"/>
        <v>-3.0450187008264217E-3</v>
      </c>
      <c r="AL60">
        <f t="shared" ca="1" si="53"/>
        <v>0.13308223799466809</v>
      </c>
      <c r="AM60">
        <f t="shared" ca="1" si="53"/>
        <v>-1.257984293992725</v>
      </c>
      <c r="AN60">
        <f t="shared" ca="1" si="53"/>
        <v>0.59354069531033971</v>
      </c>
      <c r="AO60">
        <f t="shared" ca="1" si="53"/>
        <v>0.32842371882318316</v>
      </c>
      <c r="AP60">
        <f t="shared" ca="1" si="53"/>
        <v>-0.78024402767083834</v>
      </c>
      <c r="AQ60">
        <f t="shared" ca="1" si="53"/>
        <v>0.4285107824701605</v>
      </c>
      <c r="AR60">
        <f t="shared" ca="1" si="53"/>
        <v>-0.81853905428900942</v>
      </c>
      <c r="AS60">
        <f t="shared" ca="1" si="53"/>
        <v>0.3618050240806594</v>
      </c>
      <c r="AT60">
        <f t="shared" ca="1" si="54"/>
        <v>1.0209969641491969</v>
      </c>
      <c r="AU60">
        <f t="shared" ca="1" si="54"/>
        <v>9.6374335146714979E-2</v>
      </c>
      <c r="AV60">
        <f t="shared" ca="1" si="54"/>
        <v>-2.5280855417869921</v>
      </c>
      <c r="AW60">
        <f t="shared" ca="1" si="54"/>
        <v>-0.39450889277036938</v>
      </c>
      <c r="AX60">
        <f t="shared" ca="1" si="54"/>
        <v>-0.4329316952882587</v>
      </c>
      <c r="AY60">
        <f t="shared" ca="1" si="54"/>
        <v>-2.0840700600130133</v>
      </c>
      <c r="AZ60">
        <f t="shared" ca="1" si="54"/>
        <v>-1.6174150884695726</v>
      </c>
      <c r="BA60">
        <f t="shared" ca="1" si="54"/>
        <v>-1.2265459378498502</v>
      </c>
      <c r="BB60">
        <f t="shared" ca="1" si="54"/>
        <v>-0.94181802265595271</v>
      </c>
      <c r="BC60">
        <f t="shared" ca="1" si="54"/>
        <v>-0.31703785198009565</v>
      </c>
      <c r="BD60">
        <f t="shared" ca="1" si="55"/>
        <v>-1.2373448160713492</v>
      </c>
      <c r="BE60">
        <f t="shared" ca="1" si="55"/>
        <v>5.1104550784585021E-2</v>
      </c>
      <c r="BF60">
        <f t="shared" ca="1" si="55"/>
        <v>0.20602959471460353</v>
      </c>
      <c r="BG60">
        <f t="shared" ca="1" si="55"/>
        <v>-0.73604500718016408</v>
      </c>
      <c r="BH60">
        <f t="shared" ca="1" si="55"/>
        <v>-0.38834975104737623</v>
      </c>
      <c r="BI60">
        <f t="shared" ca="1" si="55"/>
        <v>-0.29308732412698441</v>
      </c>
      <c r="BJ60">
        <f t="shared" ca="1" si="55"/>
        <v>-0.8252602996541436</v>
      </c>
      <c r="BK60">
        <f t="shared" ca="1" si="55"/>
        <v>-1.2399090770188248</v>
      </c>
      <c r="BL60">
        <f t="shared" ca="1" si="55"/>
        <v>-0.52789275890685705</v>
      </c>
      <c r="BM60">
        <f t="shared" ca="1" si="55"/>
        <v>2.2018790581075867</v>
      </c>
      <c r="BN60">
        <f t="shared" ca="1" si="56"/>
        <v>-0.20264966841859022</v>
      </c>
      <c r="BO60">
        <f t="shared" ca="1" si="56"/>
        <v>-0.26208697919022461</v>
      </c>
      <c r="BP60">
        <f t="shared" ca="1" si="56"/>
        <v>-1.1180747972730967</v>
      </c>
      <c r="BQ60">
        <f t="shared" ca="1" si="56"/>
        <v>1.3951963070810134</v>
      </c>
      <c r="BR60">
        <f t="shared" ca="1" si="56"/>
        <v>5.9538223408190663E-2</v>
      </c>
      <c r="BS60">
        <f t="shared" ca="1" si="56"/>
        <v>-1.0964815562792873</v>
      </c>
      <c r="BT60">
        <f t="shared" ca="1" si="56"/>
        <v>-1.6200025809053964</v>
      </c>
      <c r="BU60">
        <f t="shared" ca="1" si="56"/>
        <v>-0.58708277449812996</v>
      </c>
      <c r="BV60">
        <f t="shared" ca="1" si="56"/>
        <v>-0.17078499931934399</v>
      </c>
      <c r="BW60">
        <f t="shared" ca="1" si="56"/>
        <v>0.99030497636374226</v>
      </c>
      <c r="BX60">
        <f t="shared" ca="1" si="57"/>
        <v>0.25261338511829989</v>
      </c>
      <c r="BY60">
        <f t="shared" ca="1" si="57"/>
        <v>-8.6907972375679626E-2</v>
      </c>
      <c r="BZ60">
        <f t="shared" ca="1" si="57"/>
        <v>-1.3289061217051286</v>
      </c>
      <c r="CA60">
        <f t="shared" ca="1" si="57"/>
        <v>-0.12876545835896117</v>
      </c>
      <c r="CB60">
        <f t="shared" ca="1" si="57"/>
        <v>-0.68932645290344352</v>
      </c>
      <c r="CC60">
        <f t="shared" ca="1" si="57"/>
        <v>0.38479632491600418</v>
      </c>
      <c r="CD60">
        <f t="shared" ca="1" si="57"/>
        <v>-0.38456092223909211</v>
      </c>
      <c r="CE60">
        <f t="shared" ca="1" si="57"/>
        <v>-1.4340119082352687</v>
      </c>
      <c r="CF60">
        <f t="shared" ca="1" si="57"/>
        <v>-0.11738396181198549</v>
      </c>
      <c r="CG60">
        <f t="shared" ca="1" si="57"/>
        <v>-2.107844845639161</v>
      </c>
      <c r="CH60">
        <f t="shared" ca="1" si="58"/>
        <v>-1.2062333288404208</v>
      </c>
      <c r="CI60">
        <f t="shared" ca="1" si="58"/>
        <v>1.2978503947505342</v>
      </c>
      <c r="CJ60">
        <f t="shared" ca="1" si="58"/>
        <v>1.4709801429636651</v>
      </c>
      <c r="CK60">
        <f t="shared" ca="1" si="58"/>
        <v>-0.49946480646575181</v>
      </c>
      <c r="CL60">
        <f t="shared" ca="1" si="58"/>
        <v>1.0143461647506378</v>
      </c>
      <c r="CM60">
        <f t="shared" ca="1" si="58"/>
        <v>-0.36956780051096039</v>
      </c>
      <c r="CN60">
        <f t="shared" ca="1" si="58"/>
        <v>0.83736025449796325</v>
      </c>
      <c r="CO60">
        <f t="shared" ca="1" si="58"/>
        <v>0.31700717250176785</v>
      </c>
      <c r="CP60">
        <f t="shared" ca="1" si="58"/>
        <v>0.59909611082774972</v>
      </c>
      <c r="CQ60">
        <f t="shared" ca="1" si="58"/>
        <v>1.4904022127108214</v>
      </c>
      <c r="CR60">
        <f t="shared" ca="1" si="59"/>
        <v>0.49694700158695337</v>
      </c>
      <c r="CS60">
        <f t="shared" ca="1" si="59"/>
        <v>-1.6401974142679405</v>
      </c>
      <c r="CT60">
        <f t="shared" ca="1" si="59"/>
        <v>2.1418750031916365</v>
      </c>
      <c r="CU60">
        <f t="shared" ca="1" si="59"/>
        <v>0.47014390971305742</v>
      </c>
      <c r="CV60">
        <f t="shared" ca="1" si="59"/>
        <v>-0.79497787631785366</v>
      </c>
      <c r="CW60">
        <f t="shared" ca="1" si="59"/>
        <v>1.3730977505999513</v>
      </c>
      <c r="CX60">
        <f t="shared" ca="1" si="59"/>
        <v>-1.2719437117551764</v>
      </c>
      <c r="CY60">
        <f t="shared" ca="1" si="59"/>
        <v>0.32000042264622802</v>
      </c>
      <c r="CZ60">
        <f t="shared" ca="1" si="59"/>
        <v>-1.7610636953333103</v>
      </c>
      <c r="DA60">
        <f t="shared" ca="1" si="59"/>
        <v>0.65554165259607622</v>
      </c>
    </row>
    <row r="61" spans="5:105" x14ac:dyDescent="0.25">
      <c r="E61">
        <f>S_plus!L61</f>
        <v>0.5900000000000003</v>
      </c>
      <c r="F61">
        <f t="shared" ca="1" si="50"/>
        <v>-1.4072169949352027</v>
      </c>
      <c r="G61">
        <f t="shared" ca="1" si="50"/>
        <v>0.15535533712027705</v>
      </c>
      <c r="H61">
        <f t="shared" ca="1" si="50"/>
        <v>0.1577905713714067</v>
      </c>
      <c r="I61">
        <f t="shared" ca="1" si="50"/>
        <v>0.35542652611690589</v>
      </c>
      <c r="J61">
        <f t="shared" ca="1" si="50"/>
        <v>1.8934394776631125</v>
      </c>
      <c r="K61">
        <f t="shared" ca="1" si="50"/>
        <v>0.72711874066088744</v>
      </c>
      <c r="L61">
        <f t="shared" ca="1" si="50"/>
        <v>0.50647390869174891</v>
      </c>
      <c r="M61">
        <f t="shared" ca="1" si="50"/>
        <v>1.9458147809553343</v>
      </c>
      <c r="N61">
        <f t="shared" ca="1" si="50"/>
        <v>1.2815052543369976</v>
      </c>
      <c r="O61">
        <f t="shared" ca="1" si="50"/>
        <v>-1.3584015533849374</v>
      </c>
      <c r="P61">
        <f t="shared" ca="1" si="51"/>
        <v>1.4255386292379519</v>
      </c>
      <c r="Q61">
        <f t="shared" ca="1" si="51"/>
        <v>-0.19532252109495071</v>
      </c>
      <c r="R61">
        <f t="shared" ca="1" si="51"/>
        <v>0.25001000920985167</v>
      </c>
      <c r="S61">
        <f t="shared" ca="1" si="51"/>
        <v>0.96973123577483078</v>
      </c>
      <c r="T61">
        <f t="shared" ca="1" si="51"/>
        <v>0.32677656605859079</v>
      </c>
      <c r="U61">
        <f t="shared" ca="1" si="51"/>
        <v>-0.35725033862693623</v>
      </c>
      <c r="V61">
        <f t="shared" ca="1" si="51"/>
        <v>-1.0730965628451177</v>
      </c>
      <c r="W61">
        <f t="shared" ca="1" si="51"/>
        <v>-4.3255771826186354E-2</v>
      </c>
      <c r="X61">
        <f t="shared" ca="1" si="51"/>
        <v>-0.11988698957895613</v>
      </c>
      <c r="Y61">
        <f t="shared" ca="1" si="51"/>
        <v>0.49761635475224186</v>
      </c>
      <c r="Z61">
        <f t="shared" ca="1" si="52"/>
        <v>0.47289369275059895</v>
      </c>
      <c r="AA61">
        <f t="shared" ca="1" si="52"/>
        <v>-1.1647835935821265</v>
      </c>
      <c r="AB61">
        <f t="shared" ca="1" si="52"/>
        <v>-2.1156030483464865</v>
      </c>
      <c r="AC61">
        <f t="shared" ca="1" si="52"/>
        <v>-1.0258693389889604</v>
      </c>
      <c r="AD61">
        <f t="shared" ca="1" si="52"/>
        <v>-0.95803183219663668</v>
      </c>
      <c r="AE61">
        <f t="shared" ca="1" si="52"/>
        <v>6.9995093506476369E-2</v>
      </c>
      <c r="AF61">
        <f t="shared" ca="1" si="52"/>
        <v>0.83041650635161912</v>
      </c>
      <c r="AG61">
        <f t="shared" ca="1" si="52"/>
        <v>-1.1448208495533247</v>
      </c>
      <c r="AH61">
        <f t="shared" ca="1" si="52"/>
        <v>-9.1331331168735458E-2</v>
      </c>
      <c r="AI61">
        <f t="shared" ca="1" si="52"/>
        <v>1.3544952633687288</v>
      </c>
      <c r="AJ61">
        <f t="shared" ca="1" si="53"/>
        <v>-1.3805014571714909</v>
      </c>
      <c r="AK61">
        <f t="shared" ca="1" si="53"/>
        <v>-0.33245033844230365</v>
      </c>
      <c r="AL61">
        <f t="shared" ca="1" si="53"/>
        <v>-1.2029955441684073</v>
      </c>
      <c r="AM61">
        <f t="shared" ca="1" si="53"/>
        <v>-0.92117291387298894</v>
      </c>
      <c r="AN61">
        <f t="shared" ca="1" si="53"/>
        <v>-1.2704043095188888</v>
      </c>
      <c r="AO61">
        <f t="shared" ca="1" si="53"/>
        <v>-8.089518358558212E-2</v>
      </c>
      <c r="AP61">
        <f t="shared" ca="1" si="53"/>
        <v>1.1248446193015575</v>
      </c>
      <c r="AQ61">
        <f t="shared" ca="1" si="53"/>
        <v>0.13915837791164754</v>
      </c>
      <c r="AR61">
        <f t="shared" ca="1" si="53"/>
        <v>-0.63489123156452587</v>
      </c>
      <c r="AS61">
        <f t="shared" ca="1" si="53"/>
        <v>0.23471359578730408</v>
      </c>
      <c r="AT61">
        <f t="shared" ca="1" si="54"/>
        <v>0.33566244234315695</v>
      </c>
      <c r="AU61">
        <f t="shared" ca="1" si="54"/>
        <v>0.45809533635490618</v>
      </c>
      <c r="AV61">
        <f t="shared" ca="1" si="54"/>
        <v>3.7273001032090421E-2</v>
      </c>
      <c r="AW61">
        <f t="shared" ca="1" si="54"/>
        <v>-7.715507758810855E-2</v>
      </c>
      <c r="AX61">
        <f t="shared" ca="1" si="54"/>
        <v>-0.32183807499033812</v>
      </c>
      <c r="AY61">
        <f t="shared" ca="1" si="54"/>
        <v>-0.60911118481892634</v>
      </c>
      <c r="AZ61">
        <f t="shared" ca="1" si="54"/>
        <v>0.59082179697825221</v>
      </c>
      <c r="BA61">
        <f t="shared" ca="1" si="54"/>
        <v>-0.33269884677008049</v>
      </c>
      <c r="BB61">
        <f t="shared" ca="1" si="54"/>
        <v>-8.0891922039695627E-2</v>
      </c>
      <c r="BC61">
        <f t="shared" ca="1" si="54"/>
        <v>1.3121754666546848</v>
      </c>
      <c r="BD61">
        <f t="shared" ca="1" si="55"/>
        <v>-0.28005073746379999</v>
      </c>
      <c r="BE61">
        <f t="shared" ca="1" si="55"/>
        <v>-9.3572932632297337E-2</v>
      </c>
      <c r="BF61">
        <f t="shared" ca="1" si="55"/>
        <v>-6.0963342689876517E-3</v>
      </c>
      <c r="BG61">
        <f t="shared" ca="1" si="55"/>
        <v>2.3644496529309524</v>
      </c>
      <c r="BH61">
        <f t="shared" ca="1" si="55"/>
        <v>-0.65732147167681598</v>
      </c>
      <c r="BI61">
        <f t="shared" ca="1" si="55"/>
        <v>0.62354244813905146</v>
      </c>
      <c r="BJ61">
        <f t="shared" ca="1" si="55"/>
        <v>3.9078569608323056E-3</v>
      </c>
      <c r="BK61">
        <f t="shared" ca="1" si="55"/>
        <v>-2.4566032938344398</v>
      </c>
      <c r="BL61">
        <f t="shared" ca="1" si="55"/>
        <v>1.2288553491840675</v>
      </c>
      <c r="BM61">
        <f t="shared" ca="1" si="55"/>
        <v>1.4474709658740521</v>
      </c>
      <c r="BN61">
        <f t="shared" ca="1" si="56"/>
        <v>0.29119262927605361</v>
      </c>
      <c r="BO61">
        <f t="shared" ca="1" si="56"/>
        <v>0.29826903557289108</v>
      </c>
      <c r="BP61">
        <f t="shared" ca="1" si="56"/>
        <v>0.82033402902218489</v>
      </c>
      <c r="BQ61">
        <f t="shared" ca="1" si="56"/>
        <v>1.003754810990207</v>
      </c>
      <c r="BR61">
        <f t="shared" ca="1" si="56"/>
        <v>-1.0099731549819699</v>
      </c>
      <c r="BS61">
        <f t="shared" ca="1" si="56"/>
        <v>-0.29717550656821906</v>
      </c>
      <c r="BT61">
        <f t="shared" ca="1" si="56"/>
        <v>-1.6732197945713612</v>
      </c>
      <c r="BU61">
        <f t="shared" ca="1" si="56"/>
        <v>-2.1133922047577944</v>
      </c>
      <c r="BV61">
        <f t="shared" ca="1" si="56"/>
        <v>1.299626569322742</v>
      </c>
      <c r="BW61">
        <f t="shared" ca="1" si="56"/>
        <v>-0.68480866707348986</v>
      </c>
      <c r="BX61">
        <f t="shared" ca="1" si="57"/>
        <v>-1.0007197143290165</v>
      </c>
      <c r="BY61">
        <f t="shared" ca="1" si="57"/>
        <v>0.48088320253613925</v>
      </c>
      <c r="BZ61">
        <f t="shared" ca="1" si="57"/>
        <v>-0.25920856479672599</v>
      </c>
      <c r="CA61">
        <f t="shared" ca="1" si="57"/>
        <v>-2.4414570020931814</v>
      </c>
      <c r="CB61">
        <f t="shared" ca="1" si="57"/>
        <v>-1.5467378316133411</v>
      </c>
      <c r="CC61">
        <f t="shared" ca="1" si="57"/>
        <v>-1.518976864806648</v>
      </c>
      <c r="CD61">
        <f t="shared" ca="1" si="57"/>
        <v>0.16380085463892621</v>
      </c>
      <c r="CE61">
        <f t="shared" ca="1" si="57"/>
        <v>-1.4062324065808374</v>
      </c>
      <c r="CF61">
        <f t="shared" ca="1" si="57"/>
        <v>-0.35918099372021017</v>
      </c>
      <c r="CG61">
        <f t="shared" ca="1" si="57"/>
        <v>-1.0447167247606914</v>
      </c>
      <c r="CH61">
        <f t="shared" ca="1" si="58"/>
        <v>1.0469442302407395</v>
      </c>
      <c r="CI61">
        <f t="shared" ca="1" si="58"/>
        <v>1.5195797997401685</v>
      </c>
      <c r="CJ61">
        <f t="shared" ca="1" si="58"/>
        <v>1.4997686357344766</v>
      </c>
      <c r="CK61">
        <f t="shared" ca="1" si="58"/>
        <v>-0.79538871087917795</v>
      </c>
      <c r="CL61">
        <f t="shared" ca="1" si="58"/>
        <v>-1.8501881398093145</v>
      </c>
      <c r="CM61">
        <f t="shared" ca="1" si="58"/>
        <v>1.2408080898502993</v>
      </c>
      <c r="CN61">
        <f t="shared" ca="1" si="58"/>
        <v>-1.9342624420285048</v>
      </c>
      <c r="CO61">
        <f t="shared" ca="1" si="58"/>
        <v>-0.83861049839347657</v>
      </c>
      <c r="CP61">
        <f t="shared" ca="1" si="58"/>
        <v>3.0151164785170934</v>
      </c>
      <c r="CQ61">
        <f t="shared" ca="1" si="58"/>
        <v>-0.99505801118491088</v>
      </c>
      <c r="CR61">
        <f t="shared" ca="1" si="59"/>
        <v>-0.17311906615497402</v>
      </c>
      <c r="CS61">
        <f t="shared" ca="1" si="59"/>
        <v>-1.7290861728918725</v>
      </c>
      <c r="CT61">
        <f t="shared" ca="1" si="59"/>
        <v>1.4108513953724782</v>
      </c>
      <c r="CU61">
        <f t="shared" ca="1" si="59"/>
        <v>-2.0754837017669785</v>
      </c>
      <c r="CV61">
        <f t="shared" ca="1" si="59"/>
        <v>-0.2564828227753973</v>
      </c>
      <c r="CW61">
        <f t="shared" ca="1" si="59"/>
        <v>1.2785245427615943</v>
      </c>
      <c r="CX61">
        <f t="shared" ca="1" si="59"/>
        <v>0.49216698084988542</v>
      </c>
      <c r="CY61">
        <f t="shared" ca="1" si="59"/>
        <v>9.7905277664375345E-2</v>
      </c>
      <c r="CZ61">
        <f t="shared" ca="1" si="59"/>
        <v>0.25512823392164385</v>
      </c>
      <c r="DA61">
        <f t="shared" ca="1" si="59"/>
        <v>9.6218139123986551E-2</v>
      </c>
    </row>
    <row r="62" spans="5:105" x14ac:dyDescent="0.25">
      <c r="E62">
        <f>S_plus!L62</f>
        <v>0.60000000000000031</v>
      </c>
      <c r="F62">
        <f t="shared" ca="1" si="50"/>
        <v>-0.29690398477761604</v>
      </c>
      <c r="G62">
        <f t="shared" ca="1" si="50"/>
        <v>0.51516593301202218</v>
      </c>
      <c r="H62">
        <f t="shared" ca="1" si="50"/>
        <v>-1.4860850974180937</v>
      </c>
      <c r="I62">
        <f t="shared" ca="1" si="50"/>
        <v>0.61670849050401377</v>
      </c>
      <c r="J62">
        <f t="shared" ca="1" si="50"/>
        <v>0.67504666242466538</v>
      </c>
      <c r="K62">
        <f t="shared" ca="1" si="50"/>
        <v>-0.39330863028106744</v>
      </c>
      <c r="L62">
        <f t="shared" ca="1" si="50"/>
        <v>1.1319279333988497</v>
      </c>
      <c r="M62">
        <f t="shared" ca="1" si="50"/>
        <v>0.29398934085637662</v>
      </c>
      <c r="N62">
        <f t="shared" ca="1" si="50"/>
        <v>0.8153138256064274</v>
      </c>
      <c r="O62">
        <f t="shared" ca="1" si="50"/>
        <v>-0.34335802445725527</v>
      </c>
      <c r="P62">
        <f t="shared" ca="1" si="51"/>
        <v>-0.84524100981054984</v>
      </c>
      <c r="Q62">
        <f t="shared" ca="1" si="51"/>
        <v>-1.0473201310521416</v>
      </c>
      <c r="R62">
        <f t="shared" ca="1" si="51"/>
        <v>0.39675818746299213</v>
      </c>
      <c r="S62">
        <f t="shared" ca="1" si="51"/>
        <v>-0.67251974761605826</v>
      </c>
      <c r="T62">
        <f t="shared" ca="1" si="51"/>
        <v>-1.0333435707997691</v>
      </c>
      <c r="U62">
        <f t="shared" ca="1" si="51"/>
        <v>-0.29596488255078746</v>
      </c>
      <c r="V62">
        <f t="shared" ca="1" si="51"/>
        <v>-0.56233141898352501</v>
      </c>
      <c r="W62">
        <f t="shared" ca="1" si="51"/>
        <v>0.85996903317631124</v>
      </c>
      <c r="X62">
        <f t="shared" ca="1" si="51"/>
        <v>-1.3178280995824005E-2</v>
      </c>
      <c r="Y62">
        <f t="shared" ca="1" si="51"/>
        <v>0.2466102241273827</v>
      </c>
      <c r="Z62">
        <f t="shared" ca="1" si="52"/>
        <v>-1.2166955912967679</v>
      </c>
      <c r="AA62">
        <f t="shared" ca="1" si="52"/>
        <v>8.7922299380835359E-2</v>
      </c>
      <c r="AB62">
        <f t="shared" ca="1" si="52"/>
        <v>8.2768018232989626E-2</v>
      </c>
      <c r="AC62">
        <f t="shared" ca="1" si="52"/>
        <v>0.94000608914217187</v>
      </c>
      <c r="AD62">
        <f t="shared" ca="1" si="52"/>
        <v>-1.0103555483681048</v>
      </c>
      <c r="AE62">
        <f t="shared" ca="1" si="52"/>
        <v>-1.0389208935294589</v>
      </c>
      <c r="AF62">
        <f t="shared" ca="1" si="52"/>
        <v>0.61280913919007085</v>
      </c>
      <c r="AG62">
        <f t="shared" ca="1" si="52"/>
        <v>-0.96268947988645126</v>
      </c>
      <c r="AH62">
        <f t="shared" ca="1" si="52"/>
        <v>-1.300045718498186</v>
      </c>
      <c r="AI62">
        <f t="shared" ca="1" si="52"/>
        <v>8.4808568566964782E-2</v>
      </c>
      <c r="AJ62">
        <f t="shared" ca="1" si="53"/>
        <v>-3.5353210869638371E-2</v>
      </c>
      <c r="AK62">
        <f t="shared" ca="1" si="53"/>
        <v>-0.89997482927391192</v>
      </c>
      <c r="AL62">
        <f t="shared" ca="1" si="53"/>
        <v>1.1204458393064198</v>
      </c>
      <c r="AM62">
        <f t="shared" ca="1" si="53"/>
        <v>-0.87478335464398349</v>
      </c>
      <c r="AN62">
        <f t="shared" ca="1" si="53"/>
        <v>2.2397163660500845</v>
      </c>
      <c r="AO62">
        <f t="shared" ca="1" si="53"/>
        <v>-0.13062244074344118</v>
      </c>
      <c r="AP62">
        <f t="shared" ca="1" si="53"/>
        <v>-4.0793596224251903E-2</v>
      </c>
      <c r="AQ62">
        <f t="shared" ca="1" si="53"/>
        <v>-0.75731778881454515</v>
      </c>
      <c r="AR62">
        <f t="shared" ca="1" si="53"/>
        <v>0.25228214823287382</v>
      </c>
      <c r="AS62">
        <f t="shared" ca="1" si="53"/>
        <v>0.40228348342091536</v>
      </c>
      <c r="AT62">
        <f t="shared" ca="1" si="54"/>
        <v>0.4198939952936418</v>
      </c>
      <c r="AU62">
        <f t="shared" ca="1" si="54"/>
        <v>0.94500989630773991</v>
      </c>
      <c r="AV62">
        <f t="shared" ca="1" si="54"/>
        <v>-0.95916841976406142</v>
      </c>
      <c r="AW62">
        <f t="shared" ca="1" si="54"/>
        <v>0.94786748995366621</v>
      </c>
      <c r="AX62">
        <f t="shared" ca="1" si="54"/>
        <v>-0.35296612771615909</v>
      </c>
      <c r="AY62">
        <f t="shared" ca="1" si="54"/>
        <v>-0.75188535833362158</v>
      </c>
      <c r="AZ62">
        <f t="shared" ca="1" si="54"/>
        <v>1.3402545506900978</v>
      </c>
      <c r="BA62">
        <f t="shared" ca="1" si="54"/>
        <v>1.8713969350024817</v>
      </c>
      <c r="BB62">
        <f t="shared" ca="1" si="54"/>
        <v>0.34175883756218045</v>
      </c>
      <c r="BC62">
        <f t="shared" ca="1" si="54"/>
        <v>-0.37594457660694841</v>
      </c>
      <c r="BD62">
        <f t="shared" ca="1" si="55"/>
        <v>2.2122072221683222</v>
      </c>
      <c r="BE62">
        <f t="shared" ca="1" si="55"/>
        <v>0.82185561341088487</v>
      </c>
      <c r="BF62">
        <f t="shared" ca="1" si="55"/>
        <v>-0.28981383937984828</v>
      </c>
      <c r="BG62">
        <f t="shared" ca="1" si="55"/>
        <v>-1.3350210716034203</v>
      </c>
      <c r="BH62">
        <f t="shared" ca="1" si="55"/>
        <v>-0.40565125774219524</v>
      </c>
      <c r="BI62">
        <f t="shared" ca="1" si="55"/>
        <v>0.50518399659528335</v>
      </c>
      <c r="BJ62">
        <f t="shared" ca="1" si="55"/>
        <v>-0.81605670489446436</v>
      </c>
      <c r="BK62">
        <f t="shared" ca="1" si="55"/>
        <v>-0.78185857702398642</v>
      </c>
      <c r="BL62">
        <f t="shared" ca="1" si="55"/>
        <v>0.12457767020830551</v>
      </c>
      <c r="BM62">
        <f t="shared" ca="1" si="55"/>
        <v>-0.8968974372518882</v>
      </c>
      <c r="BN62">
        <f t="shared" ca="1" si="56"/>
        <v>0.94309212641588291</v>
      </c>
      <c r="BO62">
        <f t="shared" ca="1" si="56"/>
        <v>0.24367711617858176</v>
      </c>
      <c r="BP62">
        <f t="shared" ca="1" si="56"/>
        <v>-0.53889228239475573</v>
      </c>
      <c r="BQ62">
        <f t="shared" ca="1" si="56"/>
        <v>1.5191164544673928E-2</v>
      </c>
      <c r="BR62">
        <f t="shared" ca="1" si="56"/>
        <v>0.13445551696019148</v>
      </c>
      <c r="BS62">
        <f t="shared" ca="1" si="56"/>
        <v>-0.68507519358187541</v>
      </c>
      <c r="BT62">
        <f t="shared" ca="1" si="56"/>
        <v>1.530161490161037</v>
      </c>
      <c r="BU62">
        <f t="shared" ca="1" si="56"/>
        <v>-0.84048835903243124</v>
      </c>
      <c r="BV62">
        <f t="shared" ca="1" si="56"/>
        <v>-0.36356212361186069</v>
      </c>
      <c r="BW62">
        <f t="shared" ca="1" si="56"/>
        <v>-0.45057208173481861</v>
      </c>
      <c r="BX62">
        <f t="shared" ca="1" si="57"/>
        <v>-0.56480382336776114</v>
      </c>
      <c r="BY62">
        <f t="shared" ca="1" si="57"/>
        <v>-1.4555894686782909</v>
      </c>
      <c r="BZ62">
        <f t="shared" ca="1" si="57"/>
        <v>0.5037738527876785</v>
      </c>
      <c r="CA62">
        <f t="shared" ca="1" si="57"/>
        <v>-0.15536177354244898</v>
      </c>
      <c r="CB62">
        <f t="shared" ca="1" si="57"/>
        <v>0.21858392638950511</v>
      </c>
      <c r="CC62">
        <f t="shared" ca="1" si="57"/>
        <v>-0.39870409074299484</v>
      </c>
      <c r="CD62">
        <f t="shared" ca="1" si="57"/>
        <v>1.6242080353473121</v>
      </c>
      <c r="CE62">
        <f t="shared" ca="1" si="57"/>
        <v>0.15515756773625758</v>
      </c>
      <c r="CF62">
        <f t="shared" ca="1" si="57"/>
        <v>-0.70276686250420684</v>
      </c>
      <c r="CG62">
        <f t="shared" ca="1" si="57"/>
        <v>-3.2336288483448161</v>
      </c>
      <c r="CH62">
        <f t="shared" ca="1" si="58"/>
        <v>-1.1009501371639527</v>
      </c>
      <c r="CI62">
        <f t="shared" ca="1" si="58"/>
        <v>-1.5211228296599415</v>
      </c>
      <c r="CJ62">
        <f t="shared" ca="1" si="58"/>
        <v>-0.18470239608163255</v>
      </c>
      <c r="CK62">
        <f t="shared" ca="1" si="58"/>
        <v>1.4812447349423337</v>
      </c>
      <c r="CL62">
        <f t="shared" ca="1" si="58"/>
        <v>0.91220188047047734</v>
      </c>
      <c r="CM62">
        <f t="shared" ca="1" si="58"/>
        <v>1.0758289841133042</v>
      </c>
      <c r="CN62">
        <f t="shared" ca="1" si="58"/>
        <v>0.5480737722970086</v>
      </c>
      <c r="CO62">
        <f t="shared" ca="1" si="58"/>
        <v>0.17911643999300578</v>
      </c>
      <c r="CP62">
        <f t="shared" ca="1" si="58"/>
        <v>0.90610066142840184</v>
      </c>
      <c r="CQ62">
        <f t="shared" ca="1" si="58"/>
        <v>1.339023767720535</v>
      </c>
      <c r="CR62">
        <f t="shared" ca="1" si="59"/>
        <v>0.1123824852544363</v>
      </c>
      <c r="CS62">
        <f t="shared" ca="1" si="59"/>
        <v>8.2580633954064508E-2</v>
      </c>
      <c r="CT62">
        <f t="shared" ca="1" si="59"/>
        <v>0.53701703790083344</v>
      </c>
      <c r="CU62">
        <f t="shared" ca="1" si="59"/>
        <v>-0.9209332012253193</v>
      </c>
      <c r="CV62">
        <f t="shared" ca="1" si="59"/>
        <v>1.260492624680686</v>
      </c>
      <c r="CW62">
        <f t="shared" ca="1" si="59"/>
        <v>0.23991826996787297</v>
      </c>
      <c r="CX62">
        <f t="shared" ca="1" si="59"/>
        <v>1.40745975030407</v>
      </c>
      <c r="CY62">
        <f t="shared" ca="1" si="59"/>
        <v>0.56974681634264823</v>
      </c>
      <c r="CZ62">
        <f t="shared" ca="1" si="59"/>
        <v>-0.78871371998535145</v>
      </c>
      <c r="DA62">
        <f t="shared" ca="1" si="59"/>
        <v>-1.2187611006780081</v>
      </c>
    </row>
    <row r="63" spans="5:105" x14ac:dyDescent="0.25">
      <c r="E63">
        <f>S_plus!L63</f>
        <v>0.61000000000000032</v>
      </c>
      <c r="F63">
        <f t="shared" ref="F63:O72" ca="1" si="60">_xlfn.NORM.S.INV(RAND())</f>
        <v>0.25210961777051405</v>
      </c>
      <c r="G63">
        <f t="shared" ca="1" si="60"/>
        <v>0.43110462360301216</v>
      </c>
      <c r="H63">
        <f t="shared" ca="1" si="60"/>
        <v>0.77219019397205935</v>
      </c>
      <c r="I63">
        <f t="shared" ca="1" si="60"/>
        <v>-2.1060854807126015</v>
      </c>
      <c r="J63">
        <f t="shared" ca="1" si="60"/>
        <v>-0.33828946402078308</v>
      </c>
      <c r="K63">
        <f t="shared" ca="1" si="60"/>
        <v>-1.8235166018147131</v>
      </c>
      <c r="L63">
        <f t="shared" ca="1" si="60"/>
        <v>0.37926725775590653</v>
      </c>
      <c r="M63">
        <f t="shared" ca="1" si="60"/>
        <v>-0.63082951040057089</v>
      </c>
      <c r="N63">
        <f t="shared" ca="1" si="60"/>
        <v>-2.4003309854826269</v>
      </c>
      <c r="O63">
        <f t="shared" ca="1" si="60"/>
        <v>2.302363942157348E-2</v>
      </c>
      <c r="P63">
        <f t="shared" ref="P63:Y72" ca="1" si="61">_xlfn.NORM.S.INV(RAND())</f>
        <v>-0.94344409918248728</v>
      </c>
      <c r="Q63">
        <f t="shared" ca="1" si="61"/>
        <v>-0.65283746097010154</v>
      </c>
      <c r="R63">
        <f t="shared" ca="1" si="61"/>
        <v>-0.13092745439418535</v>
      </c>
      <c r="S63">
        <f t="shared" ca="1" si="61"/>
        <v>-1.5249447989723159</v>
      </c>
      <c r="T63">
        <f t="shared" ca="1" si="61"/>
        <v>-0.87979554752248967</v>
      </c>
      <c r="U63">
        <f t="shared" ca="1" si="61"/>
        <v>0.67320461051659664</v>
      </c>
      <c r="V63">
        <f t="shared" ca="1" si="61"/>
        <v>-2.2787314311771691</v>
      </c>
      <c r="W63">
        <f t="shared" ca="1" si="61"/>
        <v>0.60220761608260753</v>
      </c>
      <c r="X63">
        <f t="shared" ca="1" si="61"/>
        <v>0.42393846265499907</v>
      </c>
      <c r="Y63">
        <f t="shared" ca="1" si="61"/>
        <v>0.39309846925263231</v>
      </c>
      <c r="Z63">
        <f t="shared" ref="Z63:AI72" ca="1" si="62">_xlfn.NORM.S.INV(RAND())</f>
        <v>1.4996517474890201</v>
      </c>
      <c r="AA63">
        <f t="shared" ca="1" si="62"/>
        <v>1.1772872219899413</v>
      </c>
      <c r="AB63">
        <f t="shared" ca="1" si="62"/>
        <v>1.188447358875113</v>
      </c>
      <c r="AC63">
        <f t="shared" ca="1" si="62"/>
        <v>-0.46231749956636609</v>
      </c>
      <c r="AD63">
        <f t="shared" ca="1" si="62"/>
        <v>-0.18566789465378225</v>
      </c>
      <c r="AE63">
        <f t="shared" ca="1" si="62"/>
        <v>0.55911124698412773</v>
      </c>
      <c r="AF63">
        <f t="shared" ca="1" si="62"/>
        <v>2.1013762273489474</v>
      </c>
      <c r="AG63">
        <f t="shared" ca="1" si="62"/>
        <v>0.30541704702412942</v>
      </c>
      <c r="AH63">
        <f t="shared" ca="1" si="62"/>
        <v>-0.31780904471441235</v>
      </c>
      <c r="AI63">
        <f t="shared" ca="1" si="62"/>
        <v>0.87245317621318652</v>
      </c>
      <c r="AJ63">
        <f t="shared" ref="AJ63:AS72" ca="1" si="63">_xlfn.NORM.S.INV(RAND())</f>
        <v>-0.27847032167665497</v>
      </c>
      <c r="AK63">
        <f t="shared" ca="1" si="63"/>
        <v>0.27699787614873878</v>
      </c>
      <c r="AL63">
        <f t="shared" ca="1" si="63"/>
        <v>-0.84634946587736759</v>
      </c>
      <c r="AM63">
        <f t="shared" ca="1" si="63"/>
        <v>3.168832420198227</v>
      </c>
      <c r="AN63">
        <f t="shared" ca="1" si="63"/>
        <v>-0.23664656532003278</v>
      </c>
      <c r="AO63">
        <f t="shared" ca="1" si="63"/>
        <v>-0.21536317249181039</v>
      </c>
      <c r="AP63">
        <f t="shared" ca="1" si="63"/>
        <v>0.52161377406530351</v>
      </c>
      <c r="AQ63">
        <f t="shared" ca="1" si="63"/>
        <v>0.31683363200197595</v>
      </c>
      <c r="AR63">
        <f t="shared" ca="1" si="63"/>
        <v>-0.3975865010451235</v>
      </c>
      <c r="AS63">
        <f t="shared" ca="1" si="63"/>
        <v>1.2936878946922497</v>
      </c>
      <c r="AT63">
        <f t="shared" ref="AT63:BC72" ca="1" si="64">_xlfn.NORM.S.INV(RAND())</f>
        <v>5.3047849281806704E-2</v>
      </c>
      <c r="AU63">
        <f t="shared" ca="1" si="64"/>
        <v>0.52891069487501408</v>
      </c>
      <c r="AV63">
        <f t="shared" ca="1" si="64"/>
        <v>-1.0677345418528614</v>
      </c>
      <c r="AW63">
        <f t="shared" ca="1" si="64"/>
        <v>-0.13639860539391405</v>
      </c>
      <c r="AX63">
        <f t="shared" ca="1" si="64"/>
        <v>0.21904402255992048</v>
      </c>
      <c r="AY63">
        <f t="shared" ca="1" si="64"/>
        <v>0.41853697467653878</v>
      </c>
      <c r="AZ63">
        <f t="shared" ca="1" si="64"/>
        <v>1.1652575457608065</v>
      </c>
      <c r="BA63">
        <f t="shared" ca="1" si="64"/>
        <v>-0.5944829537908809</v>
      </c>
      <c r="BB63">
        <f t="shared" ca="1" si="64"/>
        <v>-0.82757614068336605</v>
      </c>
      <c r="BC63">
        <f t="shared" ca="1" si="64"/>
        <v>0.7105967170500519</v>
      </c>
      <c r="BD63">
        <f t="shared" ref="BD63:BM72" ca="1" si="65">_xlfn.NORM.S.INV(RAND())</f>
        <v>0.56131815216759362</v>
      </c>
      <c r="BE63">
        <f t="shared" ca="1" si="65"/>
        <v>-1.1165166006028815</v>
      </c>
      <c r="BF63">
        <f t="shared" ca="1" si="65"/>
        <v>0.12362329990046206</v>
      </c>
      <c r="BG63">
        <f t="shared" ca="1" si="65"/>
        <v>0.91494687355574278</v>
      </c>
      <c r="BH63">
        <f t="shared" ca="1" si="65"/>
        <v>3.9715696591533671E-2</v>
      </c>
      <c r="BI63">
        <f t="shared" ca="1" si="65"/>
        <v>1.0680901985987892</v>
      </c>
      <c r="BJ63">
        <f t="shared" ca="1" si="65"/>
        <v>-1.498389404525954</v>
      </c>
      <c r="BK63">
        <f t="shared" ca="1" si="65"/>
        <v>-6.1298684708095345E-2</v>
      </c>
      <c r="BL63">
        <f t="shared" ca="1" si="65"/>
        <v>-0.77629351025122872</v>
      </c>
      <c r="BM63">
        <f t="shared" ca="1" si="65"/>
        <v>0.24508474739556793</v>
      </c>
      <c r="BN63">
        <f t="shared" ref="BN63:BW72" ca="1" si="66">_xlfn.NORM.S.INV(RAND())</f>
        <v>0.2716534307085135</v>
      </c>
      <c r="BO63">
        <f t="shared" ca="1" si="66"/>
        <v>1.0608946819951295</v>
      </c>
      <c r="BP63">
        <f t="shared" ca="1" si="66"/>
        <v>1.41586342307563</v>
      </c>
      <c r="BQ63">
        <f t="shared" ca="1" si="66"/>
        <v>1.5638013527119223</v>
      </c>
      <c r="BR63">
        <f t="shared" ca="1" si="66"/>
        <v>-0.12338420577626753</v>
      </c>
      <c r="BS63">
        <f t="shared" ca="1" si="66"/>
        <v>-0.41018909832573747</v>
      </c>
      <c r="BT63">
        <f t="shared" ca="1" si="66"/>
        <v>1.4750020626450961</v>
      </c>
      <c r="BU63">
        <f t="shared" ca="1" si="66"/>
        <v>-1.7434850257231087</v>
      </c>
      <c r="BV63">
        <f t="shared" ca="1" si="66"/>
        <v>0.53796341323681551</v>
      </c>
      <c r="BW63">
        <f t="shared" ca="1" si="66"/>
        <v>1.2181099736537795</v>
      </c>
      <c r="BX63">
        <f t="shared" ref="BX63:CG72" ca="1" si="67">_xlfn.NORM.S.INV(RAND())</f>
        <v>-0.18385953359255475</v>
      </c>
      <c r="BY63">
        <f t="shared" ca="1" si="67"/>
        <v>-0.23772800489297674</v>
      </c>
      <c r="BZ63">
        <f t="shared" ca="1" si="67"/>
        <v>-0.84420667628747337</v>
      </c>
      <c r="CA63">
        <f t="shared" ca="1" si="67"/>
        <v>-0.30639447557860933</v>
      </c>
      <c r="CB63">
        <f t="shared" ca="1" si="67"/>
        <v>-0.98945467508702323</v>
      </c>
      <c r="CC63">
        <f t="shared" ca="1" si="67"/>
        <v>5.1300974792520306E-2</v>
      </c>
      <c r="CD63">
        <f t="shared" ca="1" si="67"/>
        <v>0.70219860986530269</v>
      </c>
      <c r="CE63">
        <f t="shared" ca="1" si="67"/>
        <v>0.67915622655245123</v>
      </c>
      <c r="CF63">
        <f t="shared" ca="1" si="67"/>
        <v>1.5845996235886604</v>
      </c>
      <c r="CG63">
        <f t="shared" ca="1" si="67"/>
        <v>1.0854297179889898</v>
      </c>
      <c r="CH63">
        <f t="shared" ref="CH63:CQ72" ca="1" si="68">_xlfn.NORM.S.INV(RAND())</f>
        <v>-0.47925658981367442</v>
      </c>
      <c r="CI63">
        <f t="shared" ca="1" si="68"/>
        <v>-1.3041228932148456</v>
      </c>
      <c r="CJ63">
        <f t="shared" ca="1" si="68"/>
        <v>-0.6826805725566274</v>
      </c>
      <c r="CK63">
        <f t="shared" ca="1" si="68"/>
        <v>0.44678832615508784</v>
      </c>
      <c r="CL63">
        <f t="shared" ca="1" si="68"/>
        <v>-0.642857607911544</v>
      </c>
      <c r="CM63">
        <f t="shared" ca="1" si="68"/>
        <v>-0.37211189301999598</v>
      </c>
      <c r="CN63">
        <f t="shared" ca="1" si="68"/>
        <v>-1.5403498538963767</v>
      </c>
      <c r="CO63">
        <f t="shared" ca="1" si="68"/>
        <v>-1.1175604822911804</v>
      </c>
      <c r="CP63">
        <f t="shared" ca="1" si="68"/>
        <v>2.7054653706976538E-2</v>
      </c>
      <c r="CQ63">
        <f t="shared" ca="1" si="68"/>
        <v>0.47255410462047931</v>
      </c>
      <c r="CR63">
        <f t="shared" ref="CR63:DA72" ca="1" si="69">_xlfn.NORM.S.INV(RAND())</f>
        <v>-0.32007073710710848</v>
      </c>
      <c r="CS63">
        <f t="shared" ca="1" si="69"/>
        <v>-0.26552852257353249</v>
      </c>
      <c r="CT63">
        <f t="shared" ca="1" si="69"/>
        <v>0.81719178340928966</v>
      </c>
      <c r="CU63">
        <f t="shared" ca="1" si="69"/>
        <v>-0.10150431524929898</v>
      </c>
      <c r="CV63">
        <f t="shared" ca="1" si="69"/>
        <v>-0.3675755007052251</v>
      </c>
      <c r="CW63">
        <f t="shared" ca="1" si="69"/>
        <v>-0.58147592903594791</v>
      </c>
      <c r="CX63">
        <f t="shared" ca="1" si="69"/>
        <v>0.44708881205401346</v>
      </c>
      <c r="CY63">
        <f t="shared" ca="1" si="69"/>
        <v>-1.2891211672923646</v>
      </c>
      <c r="CZ63">
        <f t="shared" ca="1" si="69"/>
        <v>-1.3870900671998208</v>
      </c>
      <c r="DA63">
        <f t="shared" ca="1" si="69"/>
        <v>-0.26370011421246264</v>
      </c>
    </row>
    <row r="64" spans="5:105" x14ac:dyDescent="0.25">
      <c r="E64">
        <f>S_plus!L64</f>
        <v>0.62000000000000033</v>
      </c>
      <c r="F64">
        <f t="shared" ca="1" si="60"/>
        <v>1.1254388179609762</v>
      </c>
      <c r="G64">
        <f t="shared" ca="1" si="60"/>
        <v>-0.14823433826808516</v>
      </c>
      <c r="H64">
        <f t="shared" ca="1" si="60"/>
        <v>0.2187249190163196</v>
      </c>
      <c r="I64">
        <f t="shared" ca="1" si="60"/>
        <v>-0.79695129791889152</v>
      </c>
      <c r="J64">
        <f t="shared" ca="1" si="60"/>
        <v>-1.0206579287797466</v>
      </c>
      <c r="K64">
        <f t="shared" ca="1" si="60"/>
        <v>0.88951773987431948</v>
      </c>
      <c r="L64">
        <f t="shared" ca="1" si="60"/>
        <v>-0.73101724272380175</v>
      </c>
      <c r="M64">
        <f t="shared" ca="1" si="60"/>
        <v>-0.17510589047632466</v>
      </c>
      <c r="N64">
        <f t="shared" ca="1" si="60"/>
        <v>-0.18944414403259913</v>
      </c>
      <c r="O64">
        <f t="shared" ca="1" si="60"/>
        <v>-0.5440000668294579</v>
      </c>
      <c r="P64">
        <f t="shared" ca="1" si="61"/>
        <v>7.8050985314484067E-2</v>
      </c>
      <c r="Q64">
        <f t="shared" ca="1" si="61"/>
        <v>1.2738469623987962</v>
      </c>
      <c r="R64">
        <f t="shared" ca="1" si="61"/>
        <v>1.242092466650635</v>
      </c>
      <c r="S64">
        <f t="shared" ca="1" si="61"/>
        <v>0.60834417620654757</v>
      </c>
      <c r="T64">
        <f t="shared" ca="1" si="61"/>
        <v>-0.68077780341557836</v>
      </c>
      <c r="U64">
        <f t="shared" ca="1" si="61"/>
        <v>-1.0692201315830248E-2</v>
      </c>
      <c r="V64">
        <f t="shared" ca="1" si="61"/>
        <v>1.3565981239860154</v>
      </c>
      <c r="W64">
        <f t="shared" ca="1" si="61"/>
        <v>1.8021022193079614</v>
      </c>
      <c r="X64">
        <f t="shared" ca="1" si="61"/>
        <v>0.99626307968966332</v>
      </c>
      <c r="Y64">
        <f t="shared" ca="1" si="61"/>
        <v>0.20245018070164872</v>
      </c>
      <c r="Z64">
        <f t="shared" ca="1" si="62"/>
        <v>9.8048588439802492E-2</v>
      </c>
      <c r="AA64">
        <f t="shared" ca="1" si="62"/>
        <v>0.54350042276043553</v>
      </c>
      <c r="AB64">
        <f t="shared" ca="1" si="62"/>
        <v>-2.341820924141</v>
      </c>
      <c r="AC64">
        <f t="shared" ca="1" si="62"/>
        <v>-1.8113725005728669</v>
      </c>
      <c r="AD64">
        <f t="shared" ca="1" si="62"/>
        <v>0.89976593381368331</v>
      </c>
      <c r="AE64">
        <f t="shared" ca="1" si="62"/>
        <v>0.25385171975726117</v>
      </c>
      <c r="AF64">
        <f t="shared" ca="1" si="62"/>
        <v>-0.5159436415348142</v>
      </c>
      <c r="AG64">
        <f t="shared" ca="1" si="62"/>
        <v>-8.8939216620156136E-2</v>
      </c>
      <c r="AH64">
        <f t="shared" ca="1" si="62"/>
        <v>-0.95819719374799106</v>
      </c>
      <c r="AI64">
        <f t="shared" ca="1" si="62"/>
        <v>-3.1325885369011638E-2</v>
      </c>
      <c r="AJ64">
        <f t="shared" ca="1" si="63"/>
        <v>1.2273468811506107</v>
      </c>
      <c r="AK64">
        <f t="shared" ca="1" si="63"/>
        <v>-0.90665784605120547</v>
      </c>
      <c r="AL64">
        <f t="shared" ca="1" si="63"/>
        <v>-0.47010791393162793</v>
      </c>
      <c r="AM64">
        <f t="shared" ca="1" si="63"/>
        <v>-0.47896127495887203</v>
      </c>
      <c r="AN64">
        <f t="shared" ca="1" si="63"/>
        <v>-0.67217226179213374</v>
      </c>
      <c r="AO64">
        <f t="shared" ca="1" si="63"/>
        <v>0.70232973687064559</v>
      </c>
      <c r="AP64">
        <f t="shared" ca="1" si="63"/>
        <v>-0.18790961089232408</v>
      </c>
      <c r="AQ64">
        <f t="shared" ca="1" si="63"/>
        <v>-0.12059976102617731</v>
      </c>
      <c r="AR64">
        <f t="shared" ca="1" si="63"/>
        <v>0.974183307885784</v>
      </c>
      <c r="AS64">
        <f t="shared" ca="1" si="63"/>
        <v>3.9899281578204542E-2</v>
      </c>
      <c r="AT64">
        <f t="shared" ca="1" si="64"/>
        <v>-0.18003516701024866</v>
      </c>
      <c r="AU64">
        <f t="shared" ca="1" si="64"/>
        <v>0.85054965613964295</v>
      </c>
      <c r="AV64">
        <f t="shared" ca="1" si="64"/>
        <v>-2.2301884130383209</v>
      </c>
      <c r="AW64">
        <f t="shared" ca="1" si="64"/>
        <v>-2.8919483283860909</v>
      </c>
      <c r="AX64">
        <f t="shared" ca="1" si="64"/>
        <v>0.46276302421834986</v>
      </c>
      <c r="AY64">
        <f t="shared" ca="1" si="64"/>
        <v>-1.9515054038482558</v>
      </c>
      <c r="AZ64">
        <f t="shared" ca="1" si="64"/>
        <v>0.4066498428700322</v>
      </c>
      <c r="BA64">
        <f t="shared" ca="1" si="64"/>
        <v>-1.4787785282323952E-2</v>
      </c>
      <c r="BB64">
        <f t="shared" ca="1" si="64"/>
        <v>1.0496611084533893</v>
      </c>
      <c r="BC64">
        <f t="shared" ca="1" si="64"/>
        <v>0.42899621352352829</v>
      </c>
      <c r="BD64">
        <f t="shared" ca="1" si="65"/>
        <v>0.15502913552877085</v>
      </c>
      <c r="BE64">
        <f t="shared" ca="1" si="65"/>
        <v>1.6847740017594028</v>
      </c>
      <c r="BF64">
        <f t="shared" ca="1" si="65"/>
        <v>-1.334659921552972</v>
      </c>
      <c r="BG64">
        <f t="shared" ca="1" si="65"/>
        <v>-0.64009231662788979</v>
      </c>
      <c r="BH64">
        <f t="shared" ca="1" si="65"/>
        <v>-9.1453702121266883E-2</v>
      </c>
      <c r="BI64">
        <f t="shared" ca="1" si="65"/>
        <v>-0.92653427014554113</v>
      </c>
      <c r="BJ64">
        <f t="shared" ca="1" si="65"/>
        <v>-0.16462554839240962</v>
      </c>
      <c r="BK64">
        <f t="shared" ca="1" si="65"/>
        <v>-0.41390777201910295</v>
      </c>
      <c r="BL64">
        <f t="shared" ca="1" si="65"/>
        <v>-0.53523661812309509</v>
      </c>
      <c r="BM64">
        <f t="shared" ca="1" si="65"/>
        <v>-2.0992352975633803</v>
      </c>
      <c r="BN64">
        <f t="shared" ca="1" si="66"/>
        <v>-0.65192050644931854</v>
      </c>
      <c r="BO64">
        <f t="shared" ca="1" si="66"/>
        <v>0.804878080700688</v>
      </c>
      <c r="BP64">
        <f t="shared" ca="1" si="66"/>
        <v>-1.4270418726402063</v>
      </c>
      <c r="BQ64">
        <f t="shared" ca="1" si="66"/>
        <v>2.206676159753219</v>
      </c>
      <c r="BR64">
        <f t="shared" ca="1" si="66"/>
        <v>-0.56582296024341183</v>
      </c>
      <c r="BS64">
        <f t="shared" ca="1" si="66"/>
        <v>1.0980268194562859</v>
      </c>
      <c r="BT64">
        <f t="shared" ca="1" si="66"/>
        <v>-1.3838472579002306</v>
      </c>
      <c r="BU64">
        <f t="shared" ca="1" si="66"/>
        <v>-7.5173717064008272E-2</v>
      </c>
      <c r="BV64">
        <f t="shared" ca="1" si="66"/>
        <v>0.16230125384806243</v>
      </c>
      <c r="BW64">
        <f t="shared" ca="1" si="66"/>
        <v>-1.5539575902849803</v>
      </c>
      <c r="BX64">
        <f t="shared" ca="1" si="67"/>
        <v>-0.23975858725937219</v>
      </c>
      <c r="BY64">
        <f t="shared" ca="1" si="67"/>
        <v>2.5210606694647044</v>
      </c>
      <c r="BZ64">
        <f t="shared" ca="1" si="67"/>
        <v>-0.63148869851185063</v>
      </c>
      <c r="CA64">
        <f t="shared" ca="1" si="67"/>
        <v>-0.40109200773886389</v>
      </c>
      <c r="CB64">
        <f t="shared" ca="1" si="67"/>
        <v>-1.7700191219787593</v>
      </c>
      <c r="CC64">
        <f t="shared" ca="1" si="67"/>
        <v>-0.18498957903994678</v>
      </c>
      <c r="CD64">
        <f t="shared" ca="1" si="67"/>
        <v>1.0973015249424081</v>
      </c>
      <c r="CE64">
        <f t="shared" ca="1" si="67"/>
        <v>-1.427093322272968</v>
      </c>
      <c r="CF64">
        <f t="shared" ca="1" si="67"/>
        <v>-0.8102383689231385</v>
      </c>
      <c r="CG64">
        <f t="shared" ca="1" si="67"/>
        <v>0.25142200281704713</v>
      </c>
      <c r="CH64">
        <f t="shared" ca="1" si="68"/>
        <v>-0.35622353890909086</v>
      </c>
      <c r="CI64">
        <f t="shared" ca="1" si="68"/>
        <v>0.76551062170180062</v>
      </c>
      <c r="CJ64">
        <f t="shared" ca="1" si="68"/>
        <v>1.0985320572504127</v>
      </c>
      <c r="CK64">
        <f t="shared" ca="1" si="68"/>
        <v>1.505669947547617</v>
      </c>
      <c r="CL64">
        <f t="shared" ca="1" si="68"/>
        <v>0.10122944596884466</v>
      </c>
      <c r="CM64">
        <f t="shared" ca="1" si="68"/>
        <v>1.6925761489924802</v>
      </c>
      <c r="CN64">
        <f t="shared" ca="1" si="68"/>
        <v>0.26175611184860748</v>
      </c>
      <c r="CO64">
        <f t="shared" ca="1" si="68"/>
        <v>-0.9715515939003232</v>
      </c>
      <c r="CP64">
        <f t="shared" ca="1" si="68"/>
        <v>-0.84798788114225376</v>
      </c>
      <c r="CQ64">
        <f t="shared" ca="1" si="68"/>
        <v>0.67892709946396013</v>
      </c>
      <c r="CR64">
        <f t="shared" ca="1" si="69"/>
        <v>1.5402653450881236</v>
      </c>
      <c r="CS64">
        <f t="shared" ca="1" si="69"/>
        <v>-1.1679997827002502E-2</v>
      </c>
      <c r="CT64">
        <f t="shared" ca="1" si="69"/>
        <v>0.75334997076039634</v>
      </c>
      <c r="CU64">
        <f t="shared" ca="1" si="69"/>
        <v>1.2367029151776298E-2</v>
      </c>
      <c r="CV64">
        <f t="shared" ca="1" si="69"/>
        <v>0.50806750055648819</v>
      </c>
      <c r="CW64">
        <f t="shared" ca="1" si="69"/>
        <v>1.0513020874824843</v>
      </c>
      <c r="CX64">
        <f t="shared" ca="1" si="69"/>
        <v>-2.6657220618704609</v>
      </c>
      <c r="CY64">
        <f t="shared" ca="1" si="69"/>
        <v>-1.2432635396427614</v>
      </c>
      <c r="CZ64">
        <f t="shared" ca="1" si="69"/>
        <v>-0.17626433236694738</v>
      </c>
      <c r="DA64">
        <f t="shared" ca="1" si="69"/>
        <v>0.55856484324761002</v>
      </c>
    </row>
    <row r="65" spans="5:105" x14ac:dyDescent="0.25">
      <c r="E65">
        <f>S_plus!L65</f>
        <v>0.63000000000000034</v>
      </c>
      <c r="F65">
        <f t="shared" ca="1" si="60"/>
        <v>-0.26210421925625238</v>
      </c>
      <c r="G65">
        <f t="shared" ca="1" si="60"/>
        <v>-1.6719575638045088</v>
      </c>
      <c r="H65">
        <f t="shared" ca="1" si="60"/>
        <v>0.47107596524787143</v>
      </c>
      <c r="I65">
        <f t="shared" ca="1" si="60"/>
        <v>-1.5662048692078789</v>
      </c>
      <c r="J65">
        <f t="shared" ca="1" si="60"/>
        <v>0.18546006119424055</v>
      </c>
      <c r="K65">
        <f t="shared" ca="1" si="60"/>
        <v>-0.41450009531608184</v>
      </c>
      <c r="L65">
        <f t="shared" ca="1" si="60"/>
        <v>-0.26189769148410752</v>
      </c>
      <c r="M65">
        <f t="shared" ca="1" si="60"/>
        <v>-0.81772701317725138</v>
      </c>
      <c r="N65">
        <f t="shared" ca="1" si="60"/>
        <v>-0.93017369256744453</v>
      </c>
      <c r="O65">
        <f t="shared" ca="1" si="60"/>
        <v>-0.20572386915980839</v>
      </c>
      <c r="P65">
        <f t="shared" ca="1" si="61"/>
        <v>2.6765973671376324</v>
      </c>
      <c r="Q65">
        <f t="shared" ca="1" si="61"/>
        <v>-0.56592429508597963</v>
      </c>
      <c r="R65">
        <f t="shared" ca="1" si="61"/>
        <v>0.25461979422529818</v>
      </c>
      <c r="S65">
        <f t="shared" ca="1" si="61"/>
        <v>1.1464496668308573</v>
      </c>
      <c r="T65">
        <f t="shared" ca="1" si="61"/>
        <v>-0.12985533184200232</v>
      </c>
      <c r="U65">
        <f t="shared" ca="1" si="61"/>
        <v>-0.66406976842144294</v>
      </c>
      <c r="V65">
        <f t="shared" ca="1" si="61"/>
        <v>-1.3405103037301955</v>
      </c>
      <c r="W65">
        <f t="shared" ca="1" si="61"/>
        <v>-0.50826562585212431</v>
      </c>
      <c r="X65">
        <f t="shared" ca="1" si="61"/>
        <v>-0.39946607248369398</v>
      </c>
      <c r="Y65">
        <f t="shared" ca="1" si="61"/>
        <v>0.89108889070234509</v>
      </c>
      <c r="Z65">
        <f t="shared" ca="1" si="62"/>
        <v>-0.81286904345825017</v>
      </c>
      <c r="AA65">
        <f t="shared" ca="1" si="62"/>
        <v>0.47957763901845096</v>
      </c>
      <c r="AB65">
        <f t="shared" ca="1" si="62"/>
        <v>-1.4805781881742259</v>
      </c>
      <c r="AC65">
        <f t="shared" ca="1" si="62"/>
        <v>-9.6188001295864529E-3</v>
      </c>
      <c r="AD65">
        <f t="shared" ca="1" si="62"/>
        <v>0.86998658565309195</v>
      </c>
      <c r="AE65">
        <f t="shared" ca="1" si="62"/>
        <v>0.91236287731465904</v>
      </c>
      <c r="AF65">
        <f t="shared" ca="1" si="62"/>
        <v>0.7154545869664618</v>
      </c>
      <c r="AG65">
        <f t="shared" ca="1" si="62"/>
        <v>-0.13856107562561637</v>
      </c>
      <c r="AH65">
        <f t="shared" ca="1" si="62"/>
        <v>1.6611290143655739</v>
      </c>
      <c r="AI65">
        <f t="shared" ca="1" si="62"/>
        <v>1.0317314118154159</v>
      </c>
      <c r="AJ65">
        <f t="shared" ca="1" si="63"/>
        <v>0.28368292823155694</v>
      </c>
      <c r="AK65">
        <f t="shared" ca="1" si="63"/>
        <v>0.28753166524166107</v>
      </c>
      <c r="AL65">
        <f t="shared" ca="1" si="63"/>
        <v>0.22071213007573826</v>
      </c>
      <c r="AM65">
        <f t="shared" ca="1" si="63"/>
        <v>-0.40741827133309233</v>
      </c>
      <c r="AN65">
        <f t="shared" ca="1" si="63"/>
        <v>0.80441861845445961</v>
      </c>
      <c r="AO65">
        <f t="shared" ca="1" si="63"/>
        <v>-0.28586856596724164</v>
      </c>
      <c r="AP65">
        <f t="shared" ca="1" si="63"/>
        <v>4.9604307338273625E-2</v>
      </c>
      <c r="AQ65">
        <f t="shared" ca="1" si="63"/>
        <v>0.72468173725016949</v>
      </c>
      <c r="AR65">
        <f t="shared" ca="1" si="63"/>
        <v>0.39563473688022788</v>
      </c>
      <c r="AS65">
        <f t="shared" ca="1" si="63"/>
        <v>1.1318908946626458</v>
      </c>
      <c r="AT65">
        <f t="shared" ca="1" si="64"/>
        <v>-4.7199634095011656E-2</v>
      </c>
      <c r="AU65">
        <f t="shared" ca="1" si="64"/>
        <v>-0.79612168149961215</v>
      </c>
      <c r="AV65">
        <f t="shared" ca="1" si="64"/>
        <v>-1.4481905242125548</v>
      </c>
      <c r="AW65">
        <f t="shared" ca="1" si="64"/>
        <v>-0.48802880760490019</v>
      </c>
      <c r="AX65">
        <f t="shared" ca="1" si="64"/>
        <v>2.3452866199505955</v>
      </c>
      <c r="AY65">
        <f t="shared" ca="1" si="64"/>
        <v>-1.2801016543381067</v>
      </c>
      <c r="AZ65">
        <f t="shared" ca="1" si="64"/>
        <v>1.0350241774046915</v>
      </c>
      <c r="BA65">
        <f t="shared" ca="1" si="64"/>
        <v>1.0950879359589307</v>
      </c>
      <c r="BB65">
        <f t="shared" ca="1" si="64"/>
        <v>1.393573133214868</v>
      </c>
      <c r="BC65">
        <f t="shared" ca="1" si="64"/>
        <v>1.0369044564105807</v>
      </c>
      <c r="BD65">
        <f t="shared" ca="1" si="65"/>
        <v>-1.2576908051517539</v>
      </c>
      <c r="BE65">
        <f t="shared" ca="1" si="65"/>
        <v>0.18668275471264509</v>
      </c>
      <c r="BF65">
        <f t="shared" ca="1" si="65"/>
        <v>0.26362919912861804</v>
      </c>
      <c r="BG65">
        <f t="shared" ca="1" si="65"/>
        <v>-0.23929905428557696</v>
      </c>
      <c r="BH65">
        <f t="shared" ca="1" si="65"/>
        <v>-0.91960306426535976</v>
      </c>
      <c r="BI65">
        <f t="shared" ca="1" si="65"/>
        <v>-0.27189305089707921</v>
      </c>
      <c r="BJ65">
        <f t="shared" ca="1" si="65"/>
        <v>1.0030340889879483</v>
      </c>
      <c r="BK65">
        <f t="shared" ca="1" si="65"/>
        <v>6.1228248344137891E-2</v>
      </c>
      <c r="BL65">
        <f t="shared" ca="1" si="65"/>
        <v>-1.5287953091819035</v>
      </c>
      <c r="BM65">
        <f t="shared" ca="1" si="65"/>
        <v>0.62879093152191068</v>
      </c>
      <c r="BN65">
        <f t="shared" ca="1" si="66"/>
        <v>-1.9529789755005886</v>
      </c>
      <c r="BO65">
        <f t="shared" ca="1" si="66"/>
        <v>0.57055428339691561</v>
      </c>
      <c r="BP65">
        <f t="shared" ca="1" si="66"/>
        <v>-3.5111644818874889E-2</v>
      </c>
      <c r="BQ65">
        <f t="shared" ca="1" si="66"/>
        <v>0.30618090971286044</v>
      </c>
      <c r="BR65">
        <f t="shared" ca="1" si="66"/>
        <v>1.7883080008996977</v>
      </c>
      <c r="BS65">
        <f t="shared" ca="1" si="66"/>
        <v>1.2634417916364804</v>
      </c>
      <c r="BT65">
        <f t="shared" ca="1" si="66"/>
        <v>0.77484042982902768</v>
      </c>
      <c r="BU65">
        <f t="shared" ca="1" si="66"/>
        <v>1.9876119049496706E-2</v>
      </c>
      <c r="BV65">
        <f t="shared" ca="1" si="66"/>
        <v>-0.83159233095862872</v>
      </c>
      <c r="BW65">
        <f t="shared" ca="1" si="66"/>
        <v>1.362736528702178</v>
      </c>
      <c r="BX65">
        <f t="shared" ca="1" si="67"/>
        <v>-0.89133873566880684</v>
      </c>
      <c r="BY65">
        <f t="shared" ca="1" si="67"/>
        <v>-1.6593291619459956</v>
      </c>
      <c r="BZ65">
        <f t="shared" ca="1" si="67"/>
        <v>0.71033937884472931</v>
      </c>
      <c r="CA65">
        <f t="shared" ca="1" si="67"/>
        <v>-0.19287373927922902</v>
      </c>
      <c r="CB65">
        <f t="shared" ca="1" si="67"/>
        <v>2.7829851685745632</v>
      </c>
      <c r="CC65">
        <f t="shared" ca="1" si="67"/>
        <v>-1.3392278890883997</v>
      </c>
      <c r="CD65">
        <f t="shared" ca="1" si="67"/>
        <v>-0.50705827091791034</v>
      </c>
      <c r="CE65">
        <f t="shared" ca="1" si="67"/>
        <v>-9.9984111823073354E-5</v>
      </c>
      <c r="CF65">
        <f t="shared" ca="1" si="67"/>
        <v>0.64030384686353892</v>
      </c>
      <c r="CG65">
        <f t="shared" ca="1" si="67"/>
        <v>-0.49838603324233072</v>
      </c>
      <c r="CH65">
        <f t="shared" ca="1" si="68"/>
        <v>0.22304652550780152</v>
      </c>
      <c r="CI65">
        <f t="shared" ca="1" si="68"/>
        <v>1.0684292649762273</v>
      </c>
      <c r="CJ65">
        <f t="shared" ca="1" si="68"/>
        <v>1.2233729719346076</v>
      </c>
      <c r="CK65">
        <f t="shared" ca="1" si="68"/>
        <v>0.36044791998567138</v>
      </c>
      <c r="CL65">
        <f t="shared" ca="1" si="68"/>
        <v>0.33971284944763874</v>
      </c>
      <c r="CM65">
        <f t="shared" ca="1" si="68"/>
        <v>0.96442802745760037</v>
      </c>
      <c r="CN65">
        <f t="shared" ca="1" si="68"/>
        <v>-0.6410171921555764</v>
      </c>
      <c r="CO65">
        <f t="shared" ca="1" si="68"/>
        <v>3.0826787923558262E-2</v>
      </c>
      <c r="CP65">
        <f t="shared" ca="1" si="68"/>
        <v>1.9682577311281379E-2</v>
      </c>
      <c r="CQ65">
        <f t="shared" ca="1" si="68"/>
        <v>3.802544942400532E-2</v>
      </c>
      <c r="CR65">
        <f t="shared" ca="1" si="69"/>
        <v>0.59216911191564803</v>
      </c>
      <c r="CS65">
        <f t="shared" ca="1" si="69"/>
        <v>0.2058816516154385</v>
      </c>
      <c r="CT65">
        <f t="shared" ca="1" si="69"/>
        <v>-1.1419066986802819</v>
      </c>
      <c r="CU65">
        <f t="shared" ca="1" si="69"/>
        <v>-0.20063515404610158</v>
      </c>
      <c r="CV65">
        <f t="shared" ca="1" si="69"/>
        <v>5.7234180993398651E-2</v>
      </c>
      <c r="CW65">
        <f t="shared" ca="1" si="69"/>
        <v>1.2763267909461398</v>
      </c>
      <c r="CX65">
        <f t="shared" ca="1" si="69"/>
        <v>3.1558480849544664E-2</v>
      </c>
      <c r="CY65">
        <f t="shared" ca="1" si="69"/>
        <v>-2.1847582336898506E-2</v>
      </c>
      <c r="CZ65">
        <f t="shared" ca="1" si="69"/>
        <v>-1.4753525820444879</v>
      </c>
      <c r="DA65">
        <f t="shared" ca="1" si="69"/>
        <v>-1.5438024032905442</v>
      </c>
    </row>
    <row r="66" spans="5:105" x14ac:dyDescent="0.25">
      <c r="E66">
        <f>S_plus!L66</f>
        <v>0.64000000000000035</v>
      </c>
      <c r="F66">
        <f t="shared" ca="1" si="60"/>
        <v>0.38103899496438115</v>
      </c>
      <c r="G66">
        <f t="shared" ca="1" si="60"/>
        <v>0.31156641665507384</v>
      </c>
      <c r="H66">
        <f t="shared" ca="1" si="60"/>
        <v>5.31360015378122E-2</v>
      </c>
      <c r="I66">
        <f t="shared" ca="1" si="60"/>
        <v>-0.31892095153128486</v>
      </c>
      <c r="J66">
        <f t="shared" ca="1" si="60"/>
        <v>-0.44886620677451688</v>
      </c>
      <c r="K66">
        <f t="shared" ca="1" si="60"/>
        <v>-2.0373686129839133</v>
      </c>
      <c r="L66">
        <f t="shared" ca="1" si="60"/>
        <v>0.23935446782559816</v>
      </c>
      <c r="M66">
        <f t="shared" ca="1" si="60"/>
        <v>0.19687721700255523</v>
      </c>
      <c r="N66">
        <f t="shared" ca="1" si="60"/>
        <v>-0.15238779999899424</v>
      </c>
      <c r="O66">
        <f t="shared" ca="1" si="60"/>
        <v>1.3492082374437988</v>
      </c>
      <c r="P66">
        <f t="shared" ca="1" si="61"/>
        <v>-0.74943995427061849</v>
      </c>
      <c r="Q66">
        <f t="shared" ca="1" si="61"/>
        <v>0.41007532945504094</v>
      </c>
      <c r="R66">
        <f t="shared" ca="1" si="61"/>
        <v>-0.84092361508950952</v>
      </c>
      <c r="S66">
        <f t="shared" ca="1" si="61"/>
        <v>0.10513650268595395</v>
      </c>
      <c r="T66">
        <f t="shared" ca="1" si="61"/>
        <v>0.76192726937707023</v>
      </c>
      <c r="U66">
        <f t="shared" ca="1" si="61"/>
        <v>0.40205956391700787</v>
      </c>
      <c r="V66">
        <f t="shared" ca="1" si="61"/>
        <v>0.48120652128890634</v>
      </c>
      <c r="W66">
        <f t="shared" ca="1" si="61"/>
        <v>0.23689826433171748</v>
      </c>
      <c r="X66">
        <f t="shared" ca="1" si="61"/>
        <v>1.4293007916747993</v>
      </c>
      <c r="Y66">
        <f t="shared" ca="1" si="61"/>
        <v>-0.13719279901883744</v>
      </c>
      <c r="Z66">
        <f t="shared" ca="1" si="62"/>
        <v>0.5649064469467896</v>
      </c>
      <c r="AA66">
        <f t="shared" ca="1" si="62"/>
        <v>-1.3320175715818752</v>
      </c>
      <c r="AB66">
        <f t="shared" ca="1" si="62"/>
        <v>-0.11137826822348212</v>
      </c>
      <c r="AC66">
        <f t="shared" ca="1" si="62"/>
        <v>1.8440778627297554</v>
      </c>
      <c r="AD66">
        <f t="shared" ca="1" si="62"/>
        <v>-0.69332513073013191</v>
      </c>
      <c r="AE66">
        <f t="shared" ca="1" si="62"/>
        <v>-0.38433266659124155</v>
      </c>
      <c r="AF66">
        <f t="shared" ca="1" si="62"/>
        <v>-0.80269990241192246</v>
      </c>
      <c r="AG66">
        <f t="shared" ca="1" si="62"/>
        <v>0.77460051402675201</v>
      </c>
      <c r="AH66">
        <f t="shared" ca="1" si="62"/>
        <v>-1.4567640684290488</v>
      </c>
      <c r="AI66">
        <f t="shared" ca="1" si="62"/>
        <v>0.58811096300412213</v>
      </c>
      <c r="AJ66">
        <f t="shared" ca="1" si="63"/>
        <v>8.6303692955452121E-2</v>
      </c>
      <c r="AK66">
        <f t="shared" ca="1" si="63"/>
        <v>-0.95790398834817192</v>
      </c>
      <c r="AL66">
        <f t="shared" ca="1" si="63"/>
        <v>-0.36738464410793031</v>
      </c>
      <c r="AM66">
        <f t="shared" ca="1" si="63"/>
        <v>8.9212921872641265E-2</v>
      </c>
      <c r="AN66">
        <f t="shared" ca="1" si="63"/>
        <v>0.52421603985496934</v>
      </c>
      <c r="AO66">
        <f t="shared" ca="1" si="63"/>
        <v>-1.264464389826611</v>
      </c>
      <c r="AP66">
        <f t="shared" ca="1" si="63"/>
        <v>-0.46387092512847672</v>
      </c>
      <c r="AQ66">
        <f t="shared" ca="1" si="63"/>
        <v>0.2654227866392575</v>
      </c>
      <c r="AR66">
        <f t="shared" ca="1" si="63"/>
        <v>-0.58190699928800771</v>
      </c>
      <c r="AS66">
        <f t="shared" ca="1" si="63"/>
        <v>0.65182823006578294</v>
      </c>
      <c r="AT66">
        <f t="shared" ca="1" si="64"/>
        <v>0.512815101952805</v>
      </c>
      <c r="AU66">
        <f t="shared" ca="1" si="64"/>
        <v>-2.0740554410493806</v>
      </c>
      <c r="AV66">
        <f t="shared" ca="1" si="64"/>
        <v>1.9298399110477544</v>
      </c>
      <c r="AW66">
        <f t="shared" ca="1" si="64"/>
        <v>1.8277699747651321</v>
      </c>
      <c r="AX66">
        <f t="shared" ca="1" si="64"/>
        <v>2.6205179257902396E-2</v>
      </c>
      <c r="AY66">
        <f t="shared" ca="1" si="64"/>
        <v>-0.14095891196300814</v>
      </c>
      <c r="AZ66">
        <f t="shared" ca="1" si="64"/>
        <v>1.6733429411633058</v>
      </c>
      <c r="BA66">
        <f t="shared" ca="1" si="64"/>
        <v>-0.36604834853956847</v>
      </c>
      <c r="BB66">
        <f t="shared" ca="1" si="64"/>
        <v>-0.1052612193302573</v>
      </c>
      <c r="BC66">
        <f t="shared" ca="1" si="64"/>
        <v>0.59086586393023444</v>
      </c>
      <c r="BD66">
        <f t="shared" ca="1" si="65"/>
        <v>0.56519693169672724</v>
      </c>
      <c r="BE66">
        <f t="shared" ca="1" si="65"/>
        <v>5.2623860194918264E-2</v>
      </c>
      <c r="BF66">
        <f t="shared" ca="1" si="65"/>
        <v>-1.5790645337851961</v>
      </c>
      <c r="BG66">
        <f t="shared" ca="1" si="65"/>
        <v>-1.1836032646408481</v>
      </c>
      <c r="BH66">
        <f t="shared" ca="1" si="65"/>
        <v>1.0766125726293587</v>
      </c>
      <c r="BI66">
        <f t="shared" ca="1" si="65"/>
        <v>0.77460842258120266</v>
      </c>
      <c r="BJ66">
        <f t="shared" ca="1" si="65"/>
        <v>4.1268649844905178E-2</v>
      </c>
      <c r="BK66">
        <f t="shared" ca="1" si="65"/>
        <v>0.25911560538719042</v>
      </c>
      <c r="BL66">
        <f t="shared" ca="1" si="65"/>
        <v>1.6529460203283317</v>
      </c>
      <c r="BM66">
        <f t="shared" ca="1" si="65"/>
        <v>-1.5394198297875819</v>
      </c>
      <c r="BN66">
        <f t="shared" ca="1" si="66"/>
        <v>0.27816174178780578</v>
      </c>
      <c r="BO66">
        <f t="shared" ca="1" si="66"/>
        <v>-0.6313425779781372</v>
      </c>
      <c r="BP66">
        <f t="shared" ca="1" si="66"/>
        <v>-1.0123294417515505</v>
      </c>
      <c r="BQ66">
        <f t="shared" ca="1" si="66"/>
        <v>-0.68737172692565107</v>
      </c>
      <c r="BR66">
        <f t="shared" ca="1" si="66"/>
        <v>0.33703942957520117</v>
      </c>
      <c r="BS66">
        <f t="shared" ca="1" si="66"/>
        <v>-0.76619488667121605</v>
      </c>
      <c r="BT66">
        <f t="shared" ca="1" si="66"/>
        <v>-0.70593455778806646</v>
      </c>
      <c r="BU66">
        <f t="shared" ca="1" si="66"/>
        <v>0.45003583193164048</v>
      </c>
      <c r="BV66">
        <f t="shared" ca="1" si="66"/>
        <v>-1.2169029493408022E-2</v>
      </c>
      <c r="BW66">
        <f t="shared" ca="1" si="66"/>
        <v>1.2094291594557363</v>
      </c>
      <c r="BX66">
        <f t="shared" ca="1" si="67"/>
        <v>-0.87459543808269657</v>
      </c>
      <c r="BY66">
        <f t="shared" ca="1" si="67"/>
        <v>0.18629393281789694</v>
      </c>
      <c r="BZ66">
        <f t="shared" ca="1" si="67"/>
        <v>-0.44429917507683558</v>
      </c>
      <c r="CA66">
        <f t="shared" ca="1" si="67"/>
        <v>1.6283396609642227</v>
      </c>
      <c r="CB66">
        <f t="shared" ca="1" si="67"/>
        <v>1.497794490403247E-2</v>
      </c>
      <c r="CC66">
        <f t="shared" ca="1" si="67"/>
        <v>-1.0879671645549029</v>
      </c>
      <c r="CD66">
        <f t="shared" ca="1" si="67"/>
        <v>-1.4054017452133021</v>
      </c>
      <c r="CE66">
        <f t="shared" ca="1" si="67"/>
        <v>-2.753889625842517E-2</v>
      </c>
      <c r="CF66">
        <f t="shared" ca="1" si="67"/>
        <v>-1.2636752651053245</v>
      </c>
      <c r="CG66">
        <f t="shared" ca="1" si="67"/>
        <v>0.30346587864260954</v>
      </c>
      <c r="CH66">
        <f t="shared" ca="1" si="68"/>
        <v>-1.2932912709645603</v>
      </c>
      <c r="CI66">
        <f t="shared" ca="1" si="68"/>
        <v>-0.28216080002025345</v>
      </c>
      <c r="CJ66">
        <f t="shared" ca="1" si="68"/>
        <v>0.86776385905964382</v>
      </c>
      <c r="CK66">
        <f t="shared" ca="1" si="68"/>
        <v>0.25734554554671735</v>
      </c>
      <c r="CL66">
        <f t="shared" ca="1" si="68"/>
        <v>0.64210544636728661</v>
      </c>
      <c r="CM66">
        <f t="shared" ca="1" si="68"/>
        <v>0.22471096444912061</v>
      </c>
      <c r="CN66">
        <f t="shared" ca="1" si="68"/>
        <v>0.85607732939683334</v>
      </c>
      <c r="CO66">
        <f t="shared" ca="1" si="68"/>
        <v>0.20393504083717731</v>
      </c>
      <c r="CP66">
        <f t="shared" ca="1" si="68"/>
        <v>0.63485925943502952</v>
      </c>
      <c r="CQ66">
        <f t="shared" ca="1" si="68"/>
        <v>-1.9276986260124187</v>
      </c>
      <c r="CR66">
        <f t="shared" ca="1" si="69"/>
        <v>0.66857792714449793</v>
      </c>
      <c r="CS66">
        <f t="shared" ca="1" si="69"/>
        <v>1.4175125081238518</v>
      </c>
      <c r="CT66">
        <f t="shared" ca="1" si="69"/>
        <v>0.10341315320578146</v>
      </c>
      <c r="CU66">
        <f t="shared" ca="1" si="69"/>
        <v>-0.55440540884053213</v>
      </c>
      <c r="CV66">
        <f t="shared" ca="1" si="69"/>
        <v>-0.16417475268525336</v>
      </c>
      <c r="CW66">
        <f t="shared" ca="1" si="69"/>
        <v>-9.7858724025506008E-2</v>
      </c>
      <c r="CX66">
        <f t="shared" ca="1" si="69"/>
        <v>0.24808316276243872</v>
      </c>
      <c r="CY66">
        <f t="shared" ca="1" si="69"/>
        <v>-1.0085046678909688</v>
      </c>
      <c r="CZ66">
        <f t="shared" ca="1" si="69"/>
        <v>0.34750215882697433</v>
      </c>
      <c r="DA66">
        <f t="shared" ca="1" si="69"/>
        <v>0.37826648161134485</v>
      </c>
    </row>
    <row r="67" spans="5:105" x14ac:dyDescent="0.25">
      <c r="E67">
        <f>S_plus!L67</f>
        <v>0.65000000000000036</v>
      </c>
      <c r="F67">
        <f t="shared" ca="1" si="60"/>
        <v>-0.14489590312574754</v>
      </c>
      <c r="G67">
        <f t="shared" ca="1" si="60"/>
        <v>-0.98818455667275673</v>
      </c>
      <c r="H67">
        <f t="shared" ca="1" si="60"/>
        <v>-0.27508734858348716</v>
      </c>
      <c r="I67">
        <f t="shared" ca="1" si="60"/>
        <v>-1.5894940179417836</v>
      </c>
      <c r="J67">
        <f t="shared" ca="1" si="60"/>
        <v>0.55945520131288184</v>
      </c>
      <c r="K67">
        <f t="shared" ca="1" si="60"/>
        <v>0.78180449436387234</v>
      </c>
      <c r="L67">
        <f t="shared" ca="1" si="60"/>
        <v>-2.1264604048065112</v>
      </c>
      <c r="M67">
        <f t="shared" ca="1" si="60"/>
        <v>-1.9211436179938501</v>
      </c>
      <c r="N67">
        <f t="shared" ca="1" si="60"/>
        <v>-0.39130236314995753</v>
      </c>
      <c r="O67">
        <f t="shared" ca="1" si="60"/>
        <v>-0.23371274533338299</v>
      </c>
      <c r="P67">
        <f t="shared" ca="1" si="61"/>
        <v>-0.28370092417465248</v>
      </c>
      <c r="Q67">
        <f t="shared" ca="1" si="61"/>
        <v>-0.34876491440441798</v>
      </c>
      <c r="R67">
        <f t="shared" ca="1" si="61"/>
        <v>-0.94407135009061172</v>
      </c>
      <c r="S67">
        <f t="shared" ca="1" si="61"/>
        <v>0.65927515668196868</v>
      </c>
      <c r="T67">
        <f t="shared" ca="1" si="61"/>
        <v>-0.88222244842885611</v>
      </c>
      <c r="U67">
        <f t="shared" ca="1" si="61"/>
        <v>-1.2883533426117286</v>
      </c>
      <c r="V67">
        <f t="shared" ca="1" si="61"/>
        <v>-0.8020041019643358</v>
      </c>
      <c r="W67">
        <f t="shared" ca="1" si="61"/>
        <v>-0.32310408700807447</v>
      </c>
      <c r="X67">
        <f t="shared" ca="1" si="61"/>
        <v>-8.1287451759792267E-2</v>
      </c>
      <c r="Y67">
        <f t="shared" ca="1" si="61"/>
        <v>-1.0071347355979527</v>
      </c>
      <c r="Z67">
        <f t="shared" ca="1" si="62"/>
        <v>1.1233018722990495</v>
      </c>
      <c r="AA67">
        <f t="shared" ca="1" si="62"/>
        <v>-0.83690443060643549</v>
      </c>
      <c r="AB67">
        <f t="shared" ca="1" si="62"/>
        <v>2.4418573700283726E-2</v>
      </c>
      <c r="AC67">
        <f t="shared" ca="1" si="62"/>
        <v>-0.68090693239792988</v>
      </c>
      <c r="AD67">
        <f t="shared" ca="1" si="62"/>
        <v>-0.56744854968293401</v>
      </c>
      <c r="AE67">
        <f t="shared" ca="1" si="62"/>
        <v>-1.8641210753440618</v>
      </c>
      <c r="AF67">
        <f t="shared" ca="1" si="62"/>
        <v>-0.59882607809006461</v>
      </c>
      <c r="AG67">
        <f t="shared" ca="1" si="62"/>
        <v>-0.47546020698301539</v>
      </c>
      <c r="AH67">
        <f t="shared" ca="1" si="62"/>
        <v>-0.46853152535324988</v>
      </c>
      <c r="AI67">
        <f t="shared" ca="1" si="62"/>
        <v>0.62218854069747498</v>
      </c>
      <c r="AJ67">
        <f t="shared" ca="1" si="63"/>
        <v>-0.56796682864770065</v>
      </c>
      <c r="AK67">
        <f t="shared" ca="1" si="63"/>
        <v>1.1083506079249876</v>
      </c>
      <c r="AL67">
        <f t="shared" ca="1" si="63"/>
        <v>-0.1636664246250312</v>
      </c>
      <c r="AM67">
        <f t="shared" ca="1" si="63"/>
        <v>0.98210724085668921</v>
      </c>
      <c r="AN67">
        <f t="shared" ca="1" si="63"/>
        <v>-0.42520383776277426</v>
      </c>
      <c r="AO67">
        <f t="shared" ca="1" si="63"/>
        <v>-4.1880078955492055E-2</v>
      </c>
      <c r="AP67">
        <f t="shared" ca="1" si="63"/>
        <v>0.66961167170858893</v>
      </c>
      <c r="AQ67">
        <f t="shared" ca="1" si="63"/>
        <v>0.98399997158957231</v>
      </c>
      <c r="AR67">
        <f t="shared" ca="1" si="63"/>
        <v>-0.83258510026228283</v>
      </c>
      <c r="AS67">
        <f t="shared" ca="1" si="63"/>
        <v>0.33705248325355891</v>
      </c>
      <c r="AT67">
        <f t="shared" ca="1" si="64"/>
        <v>0.63762888517122707</v>
      </c>
      <c r="AU67">
        <f t="shared" ca="1" si="64"/>
        <v>0.80789948814029622</v>
      </c>
      <c r="AV67">
        <f t="shared" ca="1" si="64"/>
        <v>-0.13344909379184178</v>
      </c>
      <c r="AW67">
        <f t="shared" ca="1" si="64"/>
        <v>0.53379457275029973</v>
      </c>
      <c r="AX67">
        <f t="shared" ca="1" si="64"/>
        <v>1.4427617940311064</v>
      </c>
      <c r="AY67">
        <f t="shared" ca="1" si="64"/>
        <v>-0.46060791810693474</v>
      </c>
      <c r="AZ67">
        <f t="shared" ca="1" si="64"/>
        <v>0.4557533262679343</v>
      </c>
      <c r="BA67">
        <f t="shared" ca="1" si="64"/>
        <v>0.10794864109391675</v>
      </c>
      <c r="BB67">
        <f t="shared" ca="1" si="64"/>
        <v>0.62762208997010749</v>
      </c>
      <c r="BC67">
        <f t="shared" ca="1" si="64"/>
        <v>-0.1311374081918292</v>
      </c>
      <c r="BD67">
        <f t="shared" ca="1" si="65"/>
        <v>0.32884702404562532</v>
      </c>
      <c r="BE67">
        <f t="shared" ca="1" si="65"/>
        <v>1.5379847917869698</v>
      </c>
      <c r="BF67">
        <f t="shared" ca="1" si="65"/>
        <v>-0.67782969664170567</v>
      </c>
      <c r="BG67">
        <f t="shared" ca="1" si="65"/>
        <v>-0.71707896114431313</v>
      </c>
      <c r="BH67">
        <f t="shared" ca="1" si="65"/>
        <v>9.3105572518264058E-3</v>
      </c>
      <c r="BI67">
        <f t="shared" ca="1" si="65"/>
        <v>0.36784061959151321</v>
      </c>
      <c r="BJ67">
        <f t="shared" ca="1" si="65"/>
        <v>-1.2658661292362077</v>
      </c>
      <c r="BK67">
        <f t="shared" ca="1" si="65"/>
        <v>1.011481560834655</v>
      </c>
      <c r="BL67">
        <f t="shared" ca="1" si="65"/>
        <v>-1.9071863782760567</v>
      </c>
      <c r="BM67">
        <f t="shared" ca="1" si="65"/>
        <v>-1.5205998815609134</v>
      </c>
      <c r="BN67">
        <f t="shared" ca="1" si="66"/>
        <v>1.8791069512217664</v>
      </c>
      <c r="BO67">
        <f t="shared" ca="1" si="66"/>
        <v>1.9614851516652849</v>
      </c>
      <c r="BP67">
        <f t="shared" ca="1" si="66"/>
        <v>-1.7771740933108078</v>
      </c>
      <c r="BQ67">
        <f t="shared" ca="1" si="66"/>
        <v>-0.54820812590184831</v>
      </c>
      <c r="BR67">
        <f t="shared" ca="1" si="66"/>
        <v>0.92196004059257897</v>
      </c>
      <c r="BS67">
        <f t="shared" ca="1" si="66"/>
        <v>-6.808003519146056E-3</v>
      </c>
      <c r="BT67">
        <f t="shared" ca="1" si="66"/>
        <v>-0.36942269986685256</v>
      </c>
      <c r="BU67">
        <f t="shared" ca="1" si="66"/>
        <v>-0.69632752716388591</v>
      </c>
      <c r="BV67">
        <f t="shared" ca="1" si="66"/>
        <v>0.89364254356455641</v>
      </c>
      <c r="BW67">
        <f t="shared" ca="1" si="66"/>
        <v>-0.56647217767218971</v>
      </c>
      <c r="BX67">
        <f t="shared" ca="1" si="67"/>
        <v>0.61193631639559232</v>
      </c>
      <c r="BY67">
        <f t="shared" ca="1" si="67"/>
        <v>0.59716038895431112</v>
      </c>
      <c r="BZ67">
        <f t="shared" ca="1" si="67"/>
        <v>0.92641738939096296</v>
      </c>
      <c r="CA67">
        <f t="shared" ca="1" si="67"/>
        <v>1.5808856472856199</v>
      </c>
      <c r="CB67">
        <f t="shared" ca="1" si="67"/>
        <v>-1.0918664365089319</v>
      </c>
      <c r="CC67">
        <f t="shared" ca="1" si="67"/>
        <v>-2.0404929055163148</v>
      </c>
      <c r="CD67">
        <f t="shared" ca="1" si="67"/>
        <v>-1.243416783907753</v>
      </c>
      <c r="CE67">
        <f t="shared" ca="1" si="67"/>
        <v>-1.1665604492725845</v>
      </c>
      <c r="CF67">
        <f t="shared" ca="1" si="67"/>
        <v>0.77528158580317275</v>
      </c>
      <c r="CG67">
        <f t="shared" ca="1" si="67"/>
        <v>9.1990538966093549E-2</v>
      </c>
      <c r="CH67">
        <f t="shared" ca="1" si="68"/>
        <v>-1.6139314784808079</v>
      </c>
      <c r="CI67">
        <f t="shared" ca="1" si="68"/>
        <v>-2.2001839800610892</v>
      </c>
      <c r="CJ67">
        <f t="shared" ca="1" si="68"/>
        <v>0.85845569782490139</v>
      </c>
      <c r="CK67">
        <f t="shared" ca="1" si="68"/>
        <v>0.63807003110878557</v>
      </c>
      <c r="CL67">
        <f t="shared" ca="1" si="68"/>
        <v>-1.2185072361893414</v>
      </c>
      <c r="CM67">
        <f t="shared" ca="1" si="68"/>
        <v>1.0420958388769832</v>
      </c>
      <c r="CN67">
        <f t="shared" ca="1" si="68"/>
        <v>-0.38683473445400807</v>
      </c>
      <c r="CO67">
        <f t="shared" ca="1" si="68"/>
        <v>1.1023746480065189</v>
      </c>
      <c r="CP67">
        <f t="shared" ca="1" si="68"/>
        <v>0.63375645802517089</v>
      </c>
      <c r="CQ67">
        <f t="shared" ca="1" si="68"/>
        <v>-0.53566525085417682</v>
      </c>
      <c r="CR67">
        <f t="shared" ca="1" si="69"/>
        <v>-2.6307116025913992</v>
      </c>
      <c r="CS67">
        <f t="shared" ca="1" si="69"/>
        <v>-0.7535497436723182</v>
      </c>
      <c r="CT67">
        <f t="shared" ca="1" si="69"/>
        <v>0.23259544657582015</v>
      </c>
      <c r="CU67">
        <f t="shared" ca="1" si="69"/>
        <v>-0.51275840962523622</v>
      </c>
      <c r="CV67">
        <f t="shared" ca="1" si="69"/>
        <v>-1.308381307394936</v>
      </c>
      <c r="CW67">
        <f t="shared" ca="1" si="69"/>
        <v>-0.43641500991461757</v>
      </c>
      <c r="CX67">
        <f t="shared" ca="1" si="69"/>
        <v>1.0562505451311179</v>
      </c>
      <c r="CY67">
        <f t="shared" ca="1" si="69"/>
        <v>0.82510427786839347</v>
      </c>
      <c r="CZ67">
        <f t="shared" ca="1" si="69"/>
        <v>0.71141744045406818</v>
      </c>
      <c r="DA67">
        <f t="shared" ca="1" si="69"/>
        <v>0.55629117227085212</v>
      </c>
    </row>
    <row r="68" spans="5:105" x14ac:dyDescent="0.25">
      <c r="E68">
        <f>S_plus!L68</f>
        <v>0.66000000000000036</v>
      </c>
      <c r="F68">
        <f t="shared" ca="1" si="60"/>
        <v>-2.4870497024238967</v>
      </c>
      <c r="G68">
        <f t="shared" ca="1" si="60"/>
        <v>-0.17227507580241416</v>
      </c>
      <c r="H68">
        <f t="shared" ca="1" si="60"/>
        <v>-1.7271498901757198</v>
      </c>
      <c r="I68">
        <f t="shared" ca="1" si="60"/>
        <v>-0.32142561958340204</v>
      </c>
      <c r="J68">
        <f t="shared" ca="1" si="60"/>
        <v>5.8605598269164665E-2</v>
      </c>
      <c r="K68">
        <f t="shared" ca="1" si="60"/>
        <v>2.6376727753185856</v>
      </c>
      <c r="L68">
        <f t="shared" ca="1" si="60"/>
        <v>-1.593500638467974</v>
      </c>
      <c r="M68">
        <f t="shared" ca="1" si="60"/>
        <v>0.38124951914066191</v>
      </c>
      <c r="N68">
        <f t="shared" ca="1" si="60"/>
        <v>-0.72625373124805359</v>
      </c>
      <c r="O68">
        <f t="shared" ca="1" si="60"/>
        <v>-0.32787733028745891</v>
      </c>
      <c r="P68">
        <f t="shared" ca="1" si="61"/>
        <v>-1.3215123790807231</v>
      </c>
      <c r="Q68">
        <f t="shared" ca="1" si="61"/>
        <v>-1.2235615425994353</v>
      </c>
      <c r="R68">
        <f t="shared" ca="1" si="61"/>
        <v>-0.18886352426408781</v>
      </c>
      <c r="S68">
        <f t="shared" ca="1" si="61"/>
        <v>0.73841474156315778</v>
      </c>
      <c r="T68">
        <f t="shared" ca="1" si="61"/>
        <v>-1.2069043617681339</v>
      </c>
      <c r="U68">
        <f t="shared" ca="1" si="61"/>
        <v>0.53644306973859224</v>
      </c>
      <c r="V68">
        <f t="shared" ca="1" si="61"/>
        <v>0.79170832650405465</v>
      </c>
      <c r="W68">
        <f t="shared" ca="1" si="61"/>
        <v>1.413655729089309</v>
      </c>
      <c r="X68">
        <f t="shared" ca="1" si="61"/>
        <v>-0.48057875410093526</v>
      </c>
      <c r="Y68">
        <f t="shared" ca="1" si="61"/>
        <v>6.275982925513722E-2</v>
      </c>
      <c r="Z68">
        <f t="shared" ca="1" si="62"/>
        <v>-0.65111907517811807</v>
      </c>
      <c r="AA68">
        <f t="shared" ca="1" si="62"/>
        <v>0.61611813512857816</v>
      </c>
      <c r="AB68">
        <f t="shared" ca="1" si="62"/>
        <v>-1.4873089169350475</v>
      </c>
      <c r="AC68">
        <f t="shared" ca="1" si="62"/>
        <v>0.53972234703851985</v>
      </c>
      <c r="AD68">
        <f t="shared" ca="1" si="62"/>
        <v>-2.0865648940180899</v>
      </c>
      <c r="AE68">
        <f t="shared" ca="1" si="62"/>
        <v>1.3304404966824128</v>
      </c>
      <c r="AF68">
        <f t="shared" ca="1" si="62"/>
        <v>0.92310196859639604</v>
      </c>
      <c r="AG68">
        <f t="shared" ca="1" si="62"/>
        <v>-0.29571391145617348</v>
      </c>
      <c r="AH68">
        <f t="shared" ca="1" si="62"/>
        <v>0.78576690401297289</v>
      </c>
      <c r="AI68">
        <f t="shared" ca="1" si="62"/>
        <v>0.66728142908019816</v>
      </c>
      <c r="AJ68">
        <f t="shared" ca="1" si="63"/>
        <v>-1.0721920448933859</v>
      </c>
      <c r="AK68">
        <f t="shared" ca="1" si="63"/>
        <v>0.39086194631674676</v>
      </c>
      <c r="AL68">
        <f t="shared" ca="1" si="63"/>
        <v>0.54589561119161056</v>
      </c>
      <c r="AM68">
        <f t="shared" ca="1" si="63"/>
        <v>-0.89872881784279945</v>
      </c>
      <c r="AN68">
        <f t="shared" ca="1" si="63"/>
        <v>-0.39933742382746867</v>
      </c>
      <c r="AO68">
        <f t="shared" ca="1" si="63"/>
        <v>0.94909704914428383</v>
      </c>
      <c r="AP68">
        <f t="shared" ca="1" si="63"/>
        <v>0.68897082114976504</v>
      </c>
      <c r="AQ68">
        <f t="shared" ca="1" si="63"/>
        <v>-6.6254355829373932E-2</v>
      </c>
      <c r="AR68">
        <f t="shared" ca="1" si="63"/>
        <v>1.1808001619512172</v>
      </c>
      <c r="AS68">
        <f t="shared" ca="1" si="63"/>
        <v>1.0444711895861125</v>
      </c>
      <c r="AT68">
        <f t="shared" ca="1" si="64"/>
        <v>-0.26450099889743112</v>
      </c>
      <c r="AU68">
        <f t="shared" ca="1" si="64"/>
        <v>-0.61461321691576831</v>
      </c>
      <c r="AV68">
        <f t="shared" ca="1" si="64"/>
        <v>-1.134738745091836</v>
      </c>
      <c r="AW68">
        <f t="shared" ca="1" si="64"/>
        <v>-0.63779355731261633</v>
      </c>
      <c r="AX68">
        <f t="shared" ca="1" si="64"/>
        <v>-0.4838811386853204</v>
      </c>
      <c r="AY68">
        <f t="shared" ca="1" si="64"/>
        <v>-0.90131371048211006</v>
      </c>
      <c r="AZ68">
        <f t="shared" ca="1" si="64"/>
        <v>-0.82253955596876316</v>
      </c>
      <c r="BA68">
        <f t="shared" ca="1" si="64"/>
        <v>-0.66515508593348793</v>
      </c>
      <c r="BB68">
        <f t="shared" ca="1" si="64"/>
        <v>1.2344524723908943</v>
      </c>
      <c r="BC68">
        <f t="shared" ca="1" si="64"/>
        <v>-0.94203638435268811</v>
      </c>
      <c r="BD68">
        <f t="shared" ca="1" si="65"/>
        <v>-0.24717453622263894</v>
      </c>
      <c r="BE68">
        <f t="shared" ca="1" si="65"/>
        <v>2.7284284015086708</v>
      </c>
      <c r="BF68">
        <f t="shared" ca="1" si="65"/>
        <v>-5.7526227936552524E-3</v>
      </c>
      <c r="BG68">
        <f t="shared" ca="1" si="65"/>
        <v>-3.1869335318598244E-2</v>
      </c>
      <c r="BH68">
        <f t="shared" ca="1" si="65"/>
        <v>0.67463008932814927</v>
      </c>
      <c r="BI68">
        <f t="shared" ca="1" si="65"/>
        <v>-0.94497309879356883</v>
      </c>
      <c r="BJ68">
        <f t="shared" ca="1" si="65"/>
        <v>1.2666599189804542</v>
      </c>
      <c r="BK68">
        <f t="shared" ca="1" si="65"/>
        <v>-2.0450244900345149</v>
      </c>
      <c r="BL68">
        <f t="shared" ca="1" si="65"/>
        <v>0.64820283091217801</v>
      </c>
      <c r="BM68">
        <f t="shared" ca="1" si="65"/>
        <v>0.58532753554124628</v>
      </c>
      <c r="BN68">
        <f t="shared" ca="1" si="66"/>
        <v>-2.1009450864932755</v>
      </c>
      <c r="BO68">
        <f t="shared" ca="1" si="66"/>
        <v>-0.24945200889654795</v>
      </c>
      <c r="BP68">
        <f t="shared" ca="1" si="66"/>
        <v>0.37974415826779973</v>
      </c>
      <c r="BQ68">
        <f t="shared" ca="1" si="66"/>
        <v>-0.62954010623898171</v>
      </c>
      <c r="BR68">
        <f t="shared" ca="1" si="66"/>
        <v>-0.80171280931763866</v>
      </c>
      <c r="BS68">
        <f t="shared" ca="1" si="66"/>
        <v>-0.97921591323385881</v>
      </c>
      <c r="BT68">
        <f t="shared" ca="1" si="66"/>
        <v>0.47268704779523812</v>
      </c>
      <c r="BU68">
        <f t="shared" ca="1" si="66"/>
        <v>-7.0233113530475927E-2</v>
      </c>
      <c r="BV68">
        <f t="shared" ca="1" si="66"/>
        <v>1.9092400304716155</v>
      </c>
      <c r="BW68">
        <f t="shared" ca="1" si="66"/>
        <v>0.34701150092457844</v>
      </c>
      <c r="BX68">
        <f t="shared" ca="1" si="67"/>
        <v>0.93590409787006668</v>
      </c>
      <c r="BY68">
        <f t="shared" ca="1" si="67"/>
        <v>0.5433515263577835</v>
      </c>
      <c r="BZ68">
        <f t="shared" ca="1" si="67"/>
        <v>0.11421684928177532</v>
      </c>
      <c r="CA68">
        <f t="shared" ca="1" si="67"/>
        <v>0.31154957821814866</v>
      </c>
      <c r="CB68">
        <f t="shared" ca="1" si="67"/>
        <v>0.36857258672184162</v>
      </c>
      <c r="CC68">
        <f t="shared" ca="1" si="67"/>
        <v>0.31203328372322159</v>
      </c>
      <c r="CD68">
        <f t="shared" ca="1" si="67"/>
        <v>0.62334313052414381</v>
      </c>
      <c r="CE68">
        <f t="shared" ca="1" si="67"/>
        <v>1.4294493728864104</v>
      </c>
      <c r="CF68">
        <f t="shared" ca="1" si="67"/>
        <v>0.92820542900134229</v>
      </c>
      <c r="CG68">
        <f t="shared" ca="1" si="67"/>
        <v>-0.6411155074739473</v>
      </c>
      <c r="CH68">
        <f t="shared" ca="1" si="68"/>
        <v>0.4502045140304673</v>
      </c>
      <c r="CI68">
        <f t="shared" ca="1" si="68"/>
        <v>-0.353988438557086</v>
      </c>
      <c r="CJ68">
        <f t="shared" ca="1" si="68"/>
        <v>0.61253845209577062</v>
      </c>
      <c r="CK68">
        <f t="shared" ca="1" si="68"/>
        <v>-0.27524080434451814</v>
      </c>
      <c r="CL68">
        <f t="shared" ca="1" si="68"/>
        <v>-0.34166942916616438</v>
      </c>
      <c r="CM68">
        <f t="shared" ca="1" si="68"/>
        <v>-1.5522674160596708</v>
      </c>
      <c r="CN68">
        <f t="shared" ca="1" si="68"/>
        <v>-2.1885289380300801</v>
      </c>
      <c r="CO68">
        <f t="shared" ca="1" si="68"/>
        <v>-0.15228923604113931</v>
      </c>
      <c r="CP68">
        <f t="shared" ca="1" si="68"/>
        <v>0.2177914219458813</v>
      </c>
      <c r="CQ68">
        <f t="shared" ca="1" si="68"/>
        <v>-0.52497725316399368</v>
      </c>
      <c r="CR68">
        <f t="shared" ca="1" si="69"/>
        <v>-1.0593323565364985</v>
      </c>
      <c r="CS68">
        <f t="shared" ca="1" si="69"/>
        <v>0.57417745158869815</v>
      </c>
      <c r="CT68">
        <f t="shared" ca="1" si="69"/>
        <v>-2.0981509601076858</v>
      </c>
      <c r="CU68">
        <f t="shared" ca="1" si="69"/>
        <v>0.8452488513803742</v>
      </c>
      <c r="CV68">
        <f t="shared" ca="1" si="69"/>
        <v>-2.0240880767644467</v>
      </c>
      <c r="CW68">
        <f t="shared" ca="1" si="69"/>
        <v>9.0707729858804879E-3</v>
      </c>
      <c r="CX68">
        <f t="shared" ca="1" si="69"/>
        <v>-5.8293576456935843E-2</v>
      </c>
      <c r="CY68">
        <f t="shared" ca="1" si="69"/>
        <v>4.5765853505581322E-2</v>
      </c>
      <c r="CZ68">
        <f t="shared" ca="1" si="69"/>
        <v>-1.7831178049474379</v>
      </c>
      <c r="DA68">
        <f t="shared" ca="1" si="69"/>
        <v>0.5812798232771198</v>
      </c>
    </row>
    <row r="69" spans="5:105" x14ac:dyDescent="0.25">
      <c r="E69">
        <f>S_plus!L69</f>
        <v>0.67000000000000037</v>
      </c>
      <c r="F69">
        <f t="shared" ca="1" si="60"/>
        <v>0.33658272249986709</v>
      </c>
      <c r="G69">
        <f t="shared" ca="1" si="60"/>
        <v>1.2352670039019313</v>
      </c>
      <c r="H69">
        <f t="shared" ca="1" si="60"/>
        <v>0.89029785844239018</v>
      </c>
      <c r="I69">
        <f t="shared" ca="1" si="60"/>
        <v>1.1053016562712452</v>
      </c>
      <c r="J69">
        <f t="shared" ca="1" si="60"/>
        <v>-0.33165776865831681</v>
      </c>
      <c r="K69">
        <f t="shared" ca="1" si="60"/>
        <v>0.63757455362882665</v>
      </c>
      <c r="L69">
        <f t="shared" ca="1" si="60"/>
        <v>0.49521564420733005</v>
      </c>
      <c r="M69">
        <f t="shared" ca="1" si="60"/>
        <v>0.66279464492515205</v>
      </c>
      <c r="N69">
        <f t="shared" ca="1" si="60"/>
        <v>-1.6960155098511385</v>
      </c>
      <c r="O69">
        <f t="shared" ca="1" si="60"/>
        <v>-0.10606355512419813</v>
      </c>
      <c r="P69">
        <f t="shared" ca="1" si="61"/>
        <v>0.15756469866949963</v>
      </c>
      <c r="Q69">
        <f t="shared" ca="1" si="61"/>
        <v>-0.89072256988022436</v>
      </c>
      <c r="R69">
        <f t="shared" ca="1" si="61"/>
        <v>0.91403547996527379</v>
      </c>
      <c r="S69">
        <f t="shared" ca="1" si="61"/>
        <v>-1.7029323266981271</v>
      </c>
      <c r="T69">
        <f t="shared" ca="1" si="61"/>
        <v>0.12963306839916178</v>
      </c>
      <c r="U69">
        <f t="shared" ca="1" si="61"/>
        <v>-1.3106498988577973</v>
      </c>
      <c r="V69">
        <f t="shared" ca="1" si="61"/>
        <v>0.20537854625064816</v>
      </c>
      <c r="W69">
        <f t="shared" ca="1" si="61"/>
        <v>1.7737608285583035</v>
      </c>
      <c r="X69">
        <f t="shared" ca="1" si="61"/>
        <v>0.46655645180085792</v>
      </c>
      <c r="Y69">
        <f t="shared" ca="1" si="61"/>
        <v>0.23678549646979419</v>
      </c>
      <c r="Z69">
        <f t="shared" ca="1" si="62"/>
        <v>-0.20249153753348653</v>
      </c>
      <c r="AA69">
        <f t="shared" ca="1" si="62"/>
        <v>0.31449103951541052</v>
      </c>
      <c r="AB69">
        <f t="shared" ca="1" si="62"/>
        <v>1.0192708323954527</v>
      </c>
      <c r="AC69">
        <f t="shared" ca="1" si="62"/>
        <v>-0.94535003839482246</v>
      </c>
      <c r="AD69">
        <f t="shared" ca="1" si="62"/>
        <v>-1.0116496787135116</v>
      </c>
      <c r="AE69">
        <f t="shared" ca="1" si="62"/>
        <v>1.8400761361280336</v>
      </c>
      <c r="AF69">
        <f t="shared" ca="1" si="62"/>
        <v>3.5245454867546133</v>
      </c>
      <c r="AG69">
        <f t="shared" ca="1" si="62"/>
        <v>-1.4309700461865749</v>
      </c>
      <c r="AH69">
        <f t="shared" ca="1" si="62"/>
        <v>-0.91496732590333374</v>
      </c>
      <c r="AI69">
        <f t="shared" ca="1" si="62"/>
        <v>0.8180284480144937</v>
      </c>
      <c r="AJ69">
        <f t="shared" ca="1" si="63"/>
        <v>1.7942476459625369</v>
      </c>
      <c r="AK69">
        <f t="shared" ca="1" si="63"/>
        <v>1.5668960687451536</v>
      </c>
      <c r="AL69">
        <f t="shared" ca="1" si="63"/>
        <v>8.8265640453545249E-2</v>
      </c>
      <c r="AM69">
        <f t="shared" ca="1" si="63"/>
        <v>0.21373409077697236</v>
      </c>
      <c r="AN69">
        <f t="shared" ca="1" si="63"/>
        <v>-1.0541811992692292</v>
      </c>
      <c r="AO69">
        <f t="shared" ca="1" si="63"/>
        <v>-0.98850562831118605</v>
      </c>
      <c r="AP69">
        <f t="shared" ca="1" si="63"/>
        <v>0.35898738594811758</v>
      </c>
      <c r="AQ69">
        <f t="shared" ca="1" si="63"/>
        <v>-1.396738890607617</v>
      </c>
      <c r="AR69">
        <f t="shared" ca="1" si="63"/>
        <v>0.8562703915418336</v>
      </c>
      <c r="AS69">
        <f t="shared" ca="1" si="63"/>
        <v>-1.2389058938986595</v>
      </c>
      <c r="AT69">
        <f t="shared" ca="1" si="64"/>
        <v>0.88774579820157939</v>
      </c>
      <c r="AU69">
        <f t="shared" ca="1" si="64"/>
        <v>0.92996117637729336</v>
      </c>
      <c r="AV69">
        <f t="shared" ca="1" si="64"/>
        <v>0.24562404995510023</v>
      </c>
      <c r="AW69">
        <f t="shared" ca="1" si="64"/>
        <v>0.59675643478364526</v>
      </c>
      <c r="AX69">
        <f t="shared" ca="1" si="64"/>
        <v>-0.85143059620287986</v>
      </c>
      <c r="AY69">
        <f t="shared" ca="1" si="64"/>
        <v>-1.2592669988221947</v>
      </c>
      <c r="AZ69">
        <f t="shared" ca="1" si="64"/>
        <v>-1.2096027127604665</v>
      </c>
      <c r="BA69">
        <f t="shared" ca="1" si="64"/>
        <v>0.43393710152381071</v>
      </c>
      <c r="BB69">
        <f t="shared" ca="1" si="64"/>
        <v>-1.9055870165363371</v>
      </c>
      <c r="BC69">
        <f t="shared" ca="1" si="64"/>
        <v>-0.49127176696827141</v>
      </c>
      <c r="BD69">
        <f t="shared" ca="1" si="65"/>
        <v>-0.20413964505191945</v>
      </c>
      <c r="BE69">
        <f t="shared" ca="1" si="65"/>
        <v>1.4107145204880724</v>
      </c>
      <c r="BF69">
        <f t="shared" ca="1" si="65"/>
        <v>-0.32145265413159863</v>
      </c>
      <c r="BG69">
        <f t="shared" ca="1" si="65"/>
        <v>-0.43324257979768566</v>
      </c>
      <c r="BH69">
        <f t="shared" ca="1" si="65"/>
        <v>0.5377625743135348</v>
      </c>
      <c r="BI69">
        <f t="shared" ca="1" si="65"/>
        <v>-3.9577815840835424E-2</v>
      </c>
      <c r="BJ69">
        <f t="shared" ca="1" si="65"/>
        <v>8.8960770247813709E-2</v>
      </c>
      <c r="BK69">
        <f t="shared" ca="1" si="65"/>
        <v>-0.22078828739203102</v>
      </c>
      <c r="BL69">
        <f t="shared" ca="1" si="65"/>
        <v>0.53368840848176913</v>
      </c>
      <c r="BM69">
        <f t="shared" ca="1" si="65"/>
        <v>-1.3187728115314417</v>
      </c>
      <c r="BN69">
        <f t="shared" ca="1" si="66"/>
        <v>0.61529548271930312</v>
      </c>
      <c r="BO69">
        <f t="shared" ca="1" si="66"/>
        <v>-0.14015210252536586</v>
      </c>
      <c r="BP69">
        <f t="shared" ca="1" si="66"/>
        <v>-0.39760581670280165</v>
      </c>
      <c r="BQ69">
        <f t="shared" ca="1" si="66"/>
        <v>-1.3586597392962441</v>
      </c>
      <c r="BR69">
        <f t="shared" ca="1" si="66"/>
        <v>1.7442496043552644</v>
      </c>
      <c r="BS69">
        <f t="shared" ca="1" si="66"/>
        <v>-0.28022012880384528</v>
      </c>
      <c r="BT69">
        <f t="shared" ca="1" si="66"/>
        <v>0.57226425610837606</v>
      </c>
      <c r="BU69">
        <f t="shared" ca="1" si="66"/>
        <v>-1.0531500039244892</v>
      </c>
      <c r="BV69">
        <f t="shared" ca="1" si="66"/>
        <v>1.7895145608900431</v>
      </c>
      <c r="BW69">
        <f t="shared" ca="1" si="66"/>
        <v>-0.69612586972831292</v>
      </c>
      <c r="BX69">
        <f t="shared" ca="1" si="67"/>
        <v>-1.2488992868235107</v>
      </c>
      <c r="BY69">
        <f t="shared" ca="1" si="67"/>
        <v>1.1698841031317926</v>
      </c>
      <c r="BZ69">
        <f t="shared" ca="1" si="67"/>
        <v>1.1254538363811653</v>
      </c>
      <c r="CA69">
        <f t="shared" ca="1" si="67"/>
        <v>2.0405985403433213</v>
      </c>
      <c r="CB69">
        <f t="shared" ca="1" si="67"/>
        <v>-0.46991754004185704</v>
      </c>
      <c r="CC69">
        <f t="shared" ca="1" si="67"/>
        <v>-0.47758274655180272</v>
      </c>
      <c r="CD69">
        <f t="shared" ca="1" si="67"/>
        <v>1.1610574455150933</v>
      </c>
      <c r="CE69">
        <f t="shared" ca="1" si="67"/>
        <v>0.75928407460608061</v>
      </c>
      <c r="CF69">
        <f t="shared" ca="1" si="67"/>
        <v>-0.51745955502769891</v>
      </c>
      <c r="CG69">
        <f t="shared" ca="1" si="67"/>
        <v>0.23401744106987976</v>
      </c>
      <c r="CH69">
        <f t="shared" ca="1" si="68"/>
        <v>0.277791981610156</v>
      </c>
      <c r="CI69">
        <f t="shared" ca="1" si="68"/>
        <v>1.3096836681237174</v>
      </c>
      <c r="CJ69">
        <f t="shared" ca="1" si="68"/>
        <v>0.12284954605679452</v>
      </c>
      <c r="CK69">
        <f t="shared" ca="1" si="68"/>
        <v>-0.31215594331537894</v>
      </c>
      <c r="CL69">
        <f t="shared" ca="1" si="68"/>
        <v>-0.62230551507713594</v>
      </c>
      <c r="CM69">
        <f t="shared" ca="1" si="68"/>
        <v>0.37320541447547539</v>
      </c>
      <c r="CN69">
        <f t="shared" ca="1" si="68"/>
        <v>0.301113839737077</v>
      </c>
      <c r="CO69">
        <f t="shared" ca="1" si="68"/>
        <v>-0.2113018084767887</v>
      </c>
      <c r="CP69">
        <f t="shared" ca="1" si="68"/>
        <v>1.5591044607256452</v>
      </c>
      <c r="CQ69">
        <f t="shared" ca="1" si="68"/>
        <v>0.67340340413911215</v>
      </c>
      <c r="CR69">
        <f t="shared" ca="1" si="69"/>
        <v>-0.63508716282726574</v>
      </c>
      <c r="CS69">
        <f t="shared" ca="1" si="69"/>
        <v>-0.81585558633721411</v>
      </c>
      <c r="CT69">
        <f t="shared" ca="1" si="69"/>
        <v>0.43023929207061495</v>
      </c>
      <c r="CU69">
        <f t="shared" ca="1" si="69"/>
        <v>-1.966109224864216</v>
      </c>
      <c r="CV69">
        <f t="shared" ca="1" si="69"/>
        <v>-0.39951839504093528</v>
      </c>
      <c r="CW69">
        <f t="shared" ca="1" si="69"/>
        <v>-1.6540409312128361</v>
      </c>
      <c r="CX69">
        <f t="shared" ca="1" si="69"/>
        <v>-1.9863691422283121</v>
      </c>
      <c r="CY69">
        <f t="shared" ca="1" si="69"/>
        <v>1.7462271657166122E-2</v>
      </c>
      <c r="CZ69">
        <f t="shared" ca="1" si="69"/>
        <v>-0.9666226345786425</v>
      </c>
      <c r="DA69">
        <f t="shared" ca="1" si="69"/>
        <v>0.3890326782557243</v>
      </c>
    </row>
    <row r="70" spans="5:105" x14ac:dyDescent="0.25">
      <c r="E70">
        <f>S_plus!L70</f>
        <v>0.68000000000000038</v>
      </c>
      <c r="F70">
        <f t="shared" ca="1" si="60"/>
        <v>0.11777718968681783</v>
      </c>
      <c r="G70">
        <f t="shared" ca="1" si="60"/>
        <v>1.867564618581488</v>
      </c>
      <c r="H70">
        <f t="shared" ca="1" si="60"/>
        <v>0.53311268602022577</v>
      </c>
      <c r="I70">
        <f t="shared" ca="1" si="60"/>
        <v>0.47843467362475128</v>
      </c>
      <c r="J70">
        <f t="shared" ca="1" si="60"/>
        <v>-2.8212012667346971E-2</v>
      </c>
      <c r="K70">
        <f t="shared" ca="1" si="60"/>
        <v>-0.82496927938802178</v>
      </c>
      <c r="L70">
        <f t="shared" ca="1" si="60"/>
        <v>-0.42555212304497042</v>
      </c>
      <c r="M70">
        <f t="shared" ca="1" si="60"/>
        <v>-0.90042391262579136</v>
      </c>
      <c r="N70">
        <f t="shared" ca="1" si="60"/>
        <v>-0.69215174685700753</v>
      </c>
      <c r="O70">
        <f t="shared" ca="1" si="60"/>
        <v>-1.9699106940101885</v>
      </c>
      <c r="P70">
        <f t="shared" ca="1" si="61"/>
        <v>-1.3457109007727635</v>
      </c>
      <c r="Q70">
        <f t="shared" ca="1" si="61"/>
        <v>-0.40831789981113309</v>
      </c>
      <c r="R70">
        <f t="shared" ca="1" si="61"/>
        <v>-0.92370487456429096</v>
      </c>
      <c r="S70">
        <f t="shared" ca="1" si="61"/>
        <v>0.38874683149175526</v>
      </c>
      <c r="T70">
        <f t="shared" ca="1" si="61"/>
        <v>1.7059059477570009</v>
      </c>
      <c r="U70">
        <f t="shared" ca="1" si="61"/>
        <v>0.63096103454345387</v>
      </c>
      <c r="V70">
        <f t="shared" ca="1" si="61"/>
        <v>7.0520015599432138E-3</v>
      </c>
      <c r="W70">
        <f t="shared" ca="1" si="61"/>
        <v>-0.34073271421618828</v>
      </c>
      <c r="X70">
        <f t="shared" ca="1" si="61"/>
        <v>-5.455698598294801E-2</v>
      </c>
      <c r="Y70">
        <f t="shared" ca="1" si="61"/>
        <v>1.2345794066957341</v>
      </c>
      <c r="Z70">
        <f t="shared" ca="1" si="62"/>
        <v>0.56408992168495231</v>
      </c>
      <c r="AA70">
        <f t="shared" ca="1" si="62"/>
        <v>-1.2072694965878541</v>
      </c>
      <c r="AB70">
        <f t="shared" ca="1" si="62"/>
        <v>0.2362467651954954</v>
      </c>
      <c r="AC70">
        <f t="shared" ca="1" si="62"/>
        <v>1.4103922555156283</v>
      </c>
      <c r="AD70">
        <f t="shared" ca="1" si="62"/>
        <v>1.2134446164182686</v>
      </c>
      <c r="AE70">
        <f t="shared" ca="1" si="62"/>
        <v>6.4380770434363993E-2</v>
      </c>
      <c r="AF70">
        <f t="shared" ca="1" si="62"/>
        <v>-1.0033624450564234</v>
      </c>
      <c r="AG70">
        <f t="shared" ca="1" si="62"/>
        <v>-1.8072082872756912</v>
      </c>
      <c r="AH70">
        <f t="shared" ca="1" si="62"/>
        <v>-0.18237863148721714</v>
      </c>
      <c r="AI70">
        <f t="shared" ca="1" si="62"/>
        <v>-1.4916775282934693</v>
      </c>
      <c r="AJ70">
        <f t="shared" ca="1" si="63"/>
        <v>-2.1749700651493642</v>
      </c>
      <c r="AK70">
        <f t="shared" ca="1" si="63"/>
        <v>0.69534850167305362</v>
      </c>
      <c r="AL70">
        <f t="shared" ca="1" si="63"/>
        <v>0.62928565480326493</v>
      </c>
      <c r="AM70">
        <f t="shared" ca="1" si="63"/>
        <v>-1.2931815043392731</v>
      </c>
      <c r="AN70">
        <f t="shared" ca="1" si="63"/>
        <v>0.81707653709676464</v>
      </c>
      <c r="AO70">
        <f t="shared" ca="1" si="63"/>
        <v>1.2321771691118482</v>
      </c>
      <c r="AP70">
        <f t="shared" ca="1" si="63"/>
        <v>0.56363502201553262</v>
      </c>
      <c r="AQ70">
        <f t="shared" ca="1" si="63"/>
        <v>-1.1922539787372266</v>
      </c>
      <c r="AR70">
        <f t="shared" ca="1" si="63"/>
        <v>-1.3568181844404539</v>
      </c>
      <c r="AS70">
        <f t="shared" ca="1" si="63"/>
        <v>9.684414773235249E-2</v>
      </c>
      <c r="AT70">
        <f t="shared" ca="1" si="64"/>
        <v>-0.8056873768371946</v>
      </c>
      <c r="AU70">
        <f t="shared" ca="1" si="64"/>
        <v>-0.32132496273199324</v>
      </c>
      <c r="AV70">
        <f t="shared" ca="1" si="64"/>
        <v>1.3441728108124009</v>
      </c>
      <c r="AW70">
        <f t="shared" ca="1" si="64"/>
        <v>-1.0359238669495183</v>
      </c>
      <c r="AX70">
        <f t="shared" ca="1" si="64"/>
        <v>0.71242337764234998</v>
      </c>
      <c r="AY70">
        <f t="shared" ca="1" si="64"/>
        <v>0.49615162444358651</v>
      </c>
      <c r="AZ70">
        <f t="shared" ca="1" si="64"/>
        <v>-0.69042887465916625</v>
      </c>
      <c r="BA70">
        <f t="shared" ca="1" si="64"/>
        <v>-0.24469461743467413</v>
      </c>
      <c r="BB70">
        <f t="shared" ca="1" si="64"/>
        <v>1.2016371965321662</v>
      </c>
      <c r="BC70">
        <f t="shared" ca="1" si="64"/>
        <v>-0.24145056743637544</v>
      </c>
      <c r="BD70">
        <f t="shared" ca="1" si="65"/>
        <v>-0.35070503198571329</v>
      </c>
      <c r="BE70">
        <f t="shared" ca="1" si="65"/>
        <v>-1.0361842651693145</v>
      </c>
      <c r="BF70">
        <f t="shared" ca="1" si="65"/>
        <v>1.0320948983804332</v>
      </c>
      <c r="BG70">
        <f t="shared" ca="1" si="65"/>
        <v>-1.6355014434196298</v>
      </c>
      <c r="BH70">
        <f t="shared" ca="1" si="65"/>
        <v>-1.884695788096876</v>
      </c>
      <c r="BI70">
        <f t="shared" ca="1" si="65"/>
        <v>0.11042291129628365</v>
      </c>
      <c r="BJ70">
        <f t="shared" ca="1" si="65"/>
        <v>1.0474653269546366</v>
      </c>
      <c r="BK70">
        <f t="shared" ca="1" si="65"/>
        <v>1.0201230795937508</v>
      </c>
      <c r="BL70">
        <f t="shared" ca="1" si="65"/>
        <v>-0.22690757806479692</v>
      </c>
      <c r="BM70">
        <f t="shared" ca="1" si="65"/>
        <v>-0.42976418645830528</v>
      </c>
      <c r="BN70">
        <f t="shared" ca="1" si="66"/>
        <v>-0.36664666248705263</v>
      </c>
      <c r="BO70">
        <f t="shared" ca="1" si="66"/>
        <v>-0.38914434982704865</v>
      </c>
      <c r="BP70">
        <f t="shared" ca="1" si="66"/>
        <v>0.80393075210453757</v>
      </c>
      <c r="BQ70">
        <f t="shared" ca="1" si="66"/>
        <v>0.1929736363151287</v>
      </c>
      <c r="BR70">
        <f t="shared" ca="1" si="66"/>
        <v>0.33085278077844277</v>
      </c>
      <c r="BS70">
        <f t="shared" ca="1" si="66"/>
        <v>1.9927660370243678</v>
      </c>
      <c r="BT70">
        <f t="shared" ca="1" si="66"/>
        <v>0.2726574941119782</v>
      </c>
      <c r="BU70">
        <f t="shared" ca="1" si="66"/>
        <v>-1.1051878467218119</v>
      </c>
      <c r="BV70">
        <f t="shared" ca="1" si="66"/>
        <v>-0.33993272259005275</v>
      </c>
      <c r="BW70">
        <f t="shared" ca="1" si="66"/>
        <v>-0.56418486077883812</v>
      </c>
      <c r="BX70">
        <f t="shared" ca="1" si="67"/>
        <v>0.3915069016036416</v>
      </c>
      <c r="BY70">
        <f t="shared" ca="1" si="67"/>
        <v>0.89034610550228144</v>
      </c>
      <c r="BZ70">
        <f t="shared" ca="1" si="67"/>
        <v>0.12877388115670721</v>
      </c>
      <c r="CA70">
        <f t="shared" ca="1" si="67"/>
        <v>-0.3687442470174172</v>
      </c>
      <c r="CB70">
        <f t="shared" ca="1" si="67"/>
        <v>-0.80588965076502372</v>
      </c>
      <c r="CC70">
        <f t="shared" ca="1" si="67"/>
        <v>1.1895927634523471</v>
      </c>
      <c r="CD70">
        <f t="shared" ca="1" si="67"/>
        <v>-2.0614063146758244</v>
      </c>
      <c r="CE70">
        <f t="shared" ca="1" si="67"/>
        <v>0.53535064328718218</v>
      </c>
      <c r="CF70">
        <f t="shared" ca="1" si="67"/>
        <v>-0.97062371663951241</v>
      </c>
      <c r="CG70">
        <f t="shared" ca="1" si="67"/>
        <v>-0.4893127623740523</v>
      </c>
      <c r="CH70">
        <f t="shared" ca="1" si="68"/>
        <v>-0.88852887160670402</v>
      </c>
      <c r="CI70">
        <f t="shared" ca="1" si="68"/>
        <v>0.95658401877416732</v>
      </c>
      <c r="CJ70">
        <f t="shared" ca="1" si="68"/>
        <v>0.7837166354337175</v>
      </c>
      <c r="CK70">
        <f t="shared" ca="1" si="68"/>
        <v>-0.58400880439643688</v>
      </c>
      <c r="CL70">
        <f t="shared" ca="1" si="68"/>
        <v>-0.16976057871026762</v>
      </c>
      <c r="CM70">
        <f t="shared" ca="1" si="68"/>
        <v>-1.6956496218478487</v>
      </c>
      <c r="CN70">
        <f t="shared" ca="1" si="68"/>
        <v>-0.24237639352800822</v>
      </c>
      <c r="CO70">
        <f t="shared" ca="1" si="68"/>
        <v>-0.31266194929704155</v>
      </c>
      <c r="CP70">
        <f t="shared" ca="1" si="68"/>
        <v>1.0669294174742945</v>
      </c>
      <c r="CQ70">
        <f t="shared" ca="1" si="68"/>
        <v>-4.7217076093263304E-2</v>
      </c>
      <c r="CR70">
        <f t="shared" ca="1" si="69"/>
        <v>0.76267936572495054</v>
      </c>
      <c r="CS70">
        <f t="shared" ca="1" si="69"/>
        <v>0.34096734826488989</v>
      </c>
      <c r="CT70">
        <f t="shared" ca="1" si="69"/>
        <v>0.43781933551881597</v>
      </c>
      <c r="CU70">
        <f t="shared" ca="1" si="69"/>
        <v>-0.42817744001555075</v>
      </c>
      <c r="CV70">
        <f t="shared" ca="1" si="69"/>
        <v>-0.26672934894519001</v>
      </c>
      <c r="CW70">
        <f t="shared" ca="1" si="69"/>
        <v>0.14762867654541911</v>
      </c>
      <c r="CX70">
        <f t="shared" ca="1" si="69"/>
        <v>7.4792044477305211E-2</v>
      </c>
      <c r="CY70">
        <f t="shared" ca="1" si="69"/>
        <v>-0.85425075108800619</v>
      </c>
      <c r="CZ70">
        <f t="shared" ca="1" si="69"/>
        <v>-0.11403339273961403</v>
      </c>
      <c r="DA70">
        <f t="shared" ca="1" si="69"/>
        <v>0.47026002950137707</v>
      </c>
    </row>
    <row r="71" spans="5:105" x14ac:dyDescent="0.25">
      <c r="E71">
        <f>S_plus!L71</f>
        <v>0.69000000000000039</v>
      </c>
      <c r="F71">
        <f t="shared" ca="1" si="60"/>
        <v>-0.33178671624640277</v>
      </c>
      <c r="G71">
        <f t="shared" ca="1" si="60"/>
        <v>-0.37536374368076947</v>
      </c>
      <c r="H71">
        <f t="shared" ca="1" si="60"/>
        <v>-1.5404213740940247</v>
      </c>
      <c r="I71">
        <f t="shared" ca="1" si="60"/>
        <v>-1.7492109609949527</v>
      </c>
      <c r="J71">
        <f t="shared" ca="1" si="60"/>
        <v>0.50114459085808183</v>
      </c>
      <c r="K71">
        <f t="shared" ca="1" si="60"/>
        <v>0.75722080552607907</v>
      </c>
      <c r="L71">
        <f t="shared" ca="1" si="60"/>
        <v>4.9406127396708133E-2</v>
      </c>
      <c r="M71">
        <f t="shared" ca="1" si="60"/>
        <v>1.0536436813204719</v>
      </c>
      <c r="N71">
        <f t="shared" ca="1" si="60"/>
        <v>-1.4275756010822191</v>
      </c>
      <c r="O71">
        <f t="shared" ca="1" si="60"/>
        <v>-0.73018500138983355</v>
      </c>
      <c r="P71">
        <f t="shared" ca="1" si="61"/>
        <v>-5.5858582583834485E-2</v>
      </c>
      <c r="Q71">
        <f t="shared" ca="1" si="61"/>
        <v>1.3141458057184658</v>
      </c>
      <c r="R71">
        <f t="shared" ca="1" si="61"/>
        <v>1.8348355150953493</v>
      </c>
      <c r="S71">
        <f t="shared" ca="1" si="61"/>
        <v>0.34059709521868586</v>
      </c>
      <c r="T71">
        <f t="shared" ca="1" si="61"/>
        <v>0.54770019776482504</v>
      </c>
      <c r="U71">
        <f t="shared" ca="1" si="61"/>
        <v>-0.72442968312046274</v>
      </c>
      <c r="V71">
        <f t="shared" ca="1" si="61"/>
        <v>1.5606949084615542</v>
      </c>
      <c r="W71">
        <f t="shared" ca="1" si="61"/>
        <v>-0.66360427679149536</v>
      </c>
      <c r="X71">
        <f t="shared" ca="1" si="61"/>
        <v>-5.2366101418539174E-2</v>
      </c>
      <c r="Y71">
        <f t="shared" ca="1" si="61"/>
        <v>-0.52199620165067495</v>
      </c>
      <c r="Z71">
        <f t="shared" ca="1" si="62"/>
        <v>-0.49404240606598454</v>
      </c>
      <c r="AA71">
        <f t="shared" ca="1" si="62"/>
        <v>-0.66049583876167095</v>
      </c>
      <c r="AB71">
        <f t="shared" ca="1" si="62"/>
        <v>0.64934642397102638</v>
      </c>
      <c r="AC71">
        <f t="shared" ca="1" si="62"/>
        <v>2.4414440760911267E-2</v>
      </c>
      <c r="AD71">
        <f t="shared" ca="1" si="62"/>
        <v>-0.97048282277952591</v>
      </c>
      <c r="AE71">
        <f t="shared" ca="1" si="62"/>
        <v>0.48744568425746698</v>
      </c>
      <c r="AF71">
        <f t="shared" ca="1" si="62"/>
        <v>-5.0064757080373209E-2</v>
      </c>
      <c r="AG71">
        <f t="shared" ca="1" si="62"/>
        <v>1.2001459364210054</v>
      </c>
      <c r="AH71">
        <f t="shared" ca="1" si="62"/>
        <v>0.60877136495282158</v>
      </c>
      <c r="AI71">
        <f t="shared" ca="1" si="62"/>
        <v>-1.1608287470018923</v>
      </c>
      <c r="AJ71">
        <f t="shared" ca="1" si="63"/>
        <v>0.46577717588640344</v>
      </c>
      <c r="AK71">
        <f t="shared" ca="1" si="63"/>
        <v>-0.28161404109433219</v>
      </c>
      <c r="AL71">
        <f t="shared" ca="1" si="63"/>
        <v>0.49328824769354396</v>
      </c>
      <c r="AM71">
        <f t="shared" ca="1" si="63"/>
        <v>1.3685251718678189</v>
      </c>
      <c r="AN71">
        <f t="shared" ca="1" si="63"/>
        <v>2.1831588103139214</v>
      </c>
      <c r="AO71">
        <f t="shared" ca="1" si="63"/>
        <v>-2.2174895037039568</v>
      </c>
      <c r="AP71">
        <f t="shared" ca="1" si="63"/>
        <v>0.37424049219549876</v>
      </c>
      <c r="AQ71">
        <f t="shared" ca="1" si="63"/>
        <v>-0.79665876297567528</v>
      </c>
      <c r="AR71">
        <f t="shared" ca="1" si="63"/>
        <v>-0.43009211413764975</v>
      </c>
      <c r="AS71">
        <f t="shared" ca="1" si="63"/>
        <v>1.7145894139748645</v>
      </c>
      <c r="AT71">
        <f t="shared" ca="1" si="64"/>
        <v>-0.28196333060425599</v>
      </c>
      <c r="AU71">
        <f t="shared" ca="1" si="64"/>
        <v>2.3038211402143043</v>
      </c>
      <c r="AV71">
        <f t="shared" ca="1" si="64"/>
        <v>-1.7327046416306491</v>
      </c>
      <c r="AW71">
        <f t="shared" ca="1" si="64"/>
        <v>-7.3511923979186558E-2</v>
      </c>
      <c r="AX71">
        <f t="shared" ca="1" si="64"/>
        <v>-1.6468255605255762</v>
      </c>
      <c r="AY71">
        <f t="shared" ca="1" si="64"/>
        <v>1.0731209254674532</v>
      </c>
      <c r="AZ71">
        <f t="shared" ca="1" si="64"/>
        <v>-0.27350964843592707</v>
      </c>
      <c r="BA71">
        <f t="shared" ca="1" si="64"/>
        <v>-0.26453630627839159</v>
      </c>
      <c r="BB71">
        <f t="shared" ca="1" si="64"/>
        <v>-6.4501356656513256E-2</v>
      </c>
      <c r="BC71">
        <f t="shared" ca="1" si="64"/>
        <v>1.1592447200728431</v>
      </c>
      <c r="BD71">
        <f t="shared" ca="1" si="65"/>
        <v>-0.61313184278793276</v>
      </c>
      <c r="BE71">
        <f t="shared" ca="1" si="65"/>
        <v>1.0959170188131853</v>
      </c>
      <c r="BF71">
        <f t="shared" ca="1" si="65"/>
        <v>-0.1868668833270547</v>
      </c>
      <c r="BG71">
        <f t="shared" ca="1" si="65"/>
        <v>-0.66343370020460335</v>
      </c>
      <c r="BH71">
        <f t="shared" ca="1" si="65"/>
        <v>-0.53702395416656867</v>
      </c>
      <c r="BI71">
        <f t="shared" ca="1" si="65"/>
        <v>0.38170272641963104</v>
      </c>
      <c r="BJ71">
        <f t="shared" ca="1" si="65"/>
        <v>9.9436211258011303E-2</v>
      </c>
      <c r="BK71">
        <f t="shared" ca="1" si="65"/>
        <v>-0.55433782627086281</v>
      </c>
      <c r="BL71">
        <f t="shared" ca="1" si="65"/>
        <v>-0.94550271787969165</v>
      </c>
      <c r="BM71">
        <f t="shared" ca="1" si="65"/>
        <v>0.60722071340070205</v>
      </c>
      <c r="BN71">
        <f t="shared" ca="1" si="66"/>
        <v>1.1975732276585391E-2</v>
      </c>
      <c r="BO71">
        <f t="shared" ca="1" si="66"/>
        <v>-3.905889638271226E-2</v>
      </c>
      <c r="BP71">
        <f t="shared" ca="1" si="66"/>
        <v>0.67704022697484467</v>
      </c>
      <c r="BQ71">
        <f t="shared" ca="1" si="66"/>
        <v>0.96698225686515815</v>
      </c>
      <c r="BR71">
        <f t="shared" ca="1" si="66"/>
        <v>0.11212409634528463</v>
      </c>
      <c r="BS71">
        <f t="shared" ca="1" si="66"/>
        <v>1.5324122628458974</v>
      </c>
      <c r="BT71">
        <f t="shared" ca="1" si="66"/>
        <v>0.37413630776949347</v>
      </c>
      <c r="BU71">
        <f t="shared" ca="1" si="66"/>
        <v>0.85116217338807887</v>
      </c>
      <c r="BV71">
        <f t="shared" ca="1" si="66"/>
        <v>1.3370913432307303</v>
      </c>
      <c r="BW71">
        <f t="shared" ca="1" si="66"/>
        <v>-0.2802099026099481</v>
      </c>
      <c r="BX71">
        <f t="shared" ca="1" si="67"/>
        <v>-1.3263868832125911</v>
      </c>
      <c r="BY71">
        <f t="shared" ca="1" si="67"/>
        <v>-1.7836801728440532</v>
      </c>
      <c r="BZ71">
        <f t="shared" ca="1" si="67"/>
        <v>0.28003561090935081</v>
      </c>
      <c r="CA71">
        <f t="shared" ca="1" si="67"/>
        <v>0.47563567290072473</v>
      </c>
      <c r="CB71">
        <f t="shared" ca="1" si="67"/>
        <v>1.6872527725862674</v>
      </c>
      <c r="CC71">
        <f t="shared" ca="1" si="67"/>
        <v>-9.346646900528123E-2</v>
      </c>
      <c r="CD71">
        <f t="shared" ca="1" si="67"/>
        <v>-2.1122766156401764E-2</v>
      </c>
      <c r="CE71">
        <f t="shared" ca="1" si="67"/>
        <v>-0.75634397829227118</v>
      </c>
      <c r="CF71">
        <f t="shared" ca="1" si="67"/>
        <v>4.9318803263658936E-2</v>
      </c>
      <c r="CG71">
        <f t="shared" ca="1" si="67"/>
        <v>0.94690569721863771</v>
      </c>
      <c r="CH71">
        <f t="shared" ca="1" si="68"/>
        <v>-0.69232820660734162</v>
      </c>
      <c r="CI71">
        <f t="shared" ca="1" si="68"/>
        <v>1.2825880119833983</v>
      </c>
      <c r="CJ71">
        <f t="shared" ca="1" si="68"/>
        <v>-0.11037897347822484</v>
      </c>
      <c r="CK71">
        <f t="shared" ca="1" si="68"/>
        <v>-0.57950819391774444</v>
      </c>
      <c r="CL71">
        <f t="shared" ca="1" si="68"/>
        <v>-0.73016108751671682</v>
      </c>
      <c r="CM71">
        <f t="shared" ca="1" si="68"/>
        <v>-1.750963378333916</v>
      </c>
      <c r="CN71">
        <f t="shared" ca="1" si="68"/>
        <v>-1.6575916800826165</v>
      </c>
      <c r="CO71">
        <f t="shared" ca="1" si="68"/>
        <v>0.28857105448236847</v>
      </c>
      <c r="CP71">
        <f t="shared" ca="1" si="68"/>
        <v>-0.56120938678752907</v>
      </c>
      <c r="CQ71">
        <f t="shared" ca="1" si="68"/>
        <v>-0.13922392054249325</v>
      </c>
      <c r="CR71">
        <f t="shared" ca="1" si="69"/>
        <v>-9.8536975827357348E-2</v>
      </c>
      <c r="CS71">
        <f t="shared" ca="1" si="69"/>
        <v>0.54543003050200389</v>
      </c>
      <c r="CT71">
        <f t="shared" ca="1" si="69"/>
        <v>-0.21969425879461743</v>
      </c>
      <c r="CU71">
        <f t="shared" ca="1" si="69"/>
        <v>1.0974178078669876</v>
      </c>
      <c r="CV71">
        <f t="shared" ca="1" si="69"/>
        <v>-0.66422521115370459</v>
      </c>
      <c r="CW71">
        <f t="shared" ca="1" si="69"/>
        <v>-0.41277074271826936</v>
      </c>
      <c r="CX71">
        <f t="shared" ca="1" si="69"/>
        <v>1.3117481952835119</v>
      </c>
      <c r="CY71">
        <f t="shared" ca="1" si="69"/>
        <v>-0.22531210912599214</v>
      </c>
      <c r="CZ71">
        <f t="shared" ca="1" si="69"/>
        <v>-0.41617997858319766</v>
      </c>
      <c r="DA71">
        <f t="shared" ca="1" si="69"/>
        <v>-0.74181818911218289</v>
      </c>
    </row>
    <row r="72" spans="5:105" x14ac:dyDescent="0.25">
      <c r="E72">
        <f>S_plus!L72</f>
        <v>0.7000000000000004</v>
      </c>
      <c r="F72">
        <f t="shared" ca="1" si="60"/>
        <v>-0.1610096336359354</v>
      </c>
      <c r="G72">
        <f t="shared" ca="1" si="60"/>
        <v>-0.58905728233532451</v>
      </c>
      <c r="H72">
        <f t="shared" ca="1" si="60"/>
        <v>-1.0647288098067587</v>
      </c>
      <c r="I72">
        <f t="shared" ca="1" si="60"/>
        <v>1.6236084650772928</v>
      </c>
      <c r="J72">
        <f t="shared" ca="1" si="60"/>
        <v>-0.12017818433468652</v>
      </c>
      <c r="K72">
        <f t="shared" ca="1" si="60"/>
        <v>-0.11247522849913159</v>
      </c>
      <c r="L72">
        <f t="shared" ca="1" si="60"/>
        <v>-3.8435217722139807E-2</v>
      </c>
      <c r="M72">
        <f t="shared" ca="1" si="60"/>
        <v>1.5047963092860843</v>
      </c>
      <c r="N72">
        <f t="shared" ca="1" si="60"/>
        <v>-3.8906164342853371E-2</v>
      </c>
      <c r="O72">
        <f t="shared" ca="1" si="60"/>
        <v>0.3389587270185751</v>
      </c>
      <c r="P72">
        <f t="shared" ca="1" si="61"/>
        <v>0.2588615939088113</v>
      </c>
      <c r="Q72">
        <f t="shared" ca="1" si="61"/>
        <v>-0.59034339653853551</v>
      </c>
      <c r="R72">
        <f t="shared" ca="1" si="61"/>
        <v>-1.1769730264028904</v>
      </c>
      <c r="S72">
        <f t="shared" ca="1" si="61"/>
        <v>-0.5458811214303243</v>
      </c>
      <c r="T72">
        <f t="shared" ca="1" si="61"/>
        <v>0.26099614968115242</v>
      </c>
      <c r="U72">
        <f t="shared" ca="1" si="61"/>
        <v>-3.8811479930228356E-2</v>
      </c>
      <c r="V72">
        <f t="shared" ca="1" si="61"/>
        <v>-1.0481893966337885</v>
      </c>
      <c r="W72">
        <f t="shared" ca="1" si="61"/>
        <v>1.0522544098921529</v>
      </c>
      <c r="X72">
        <f t="shared" ca="1" si="61"/>
        <v>-0.29153138827161879</v>
      </c>
      <c r="Y72">
        <f t="shared" ca="1" si="61"/>
        <v>-0.81151970509294225</v>
      </c>
      <c r="Z72">
        <f t="shared" ca="1" si="62"/>
        <v>2.8173052363983908</v>
      </c>
      <c r="AA72">
        <f t="shared" ca="1" si="62"/>
        <v>1.1391632598485186</v>
      </c>
      <c r="AB72">
        <f t="shared" ca="1" si="62"/>
        <v>1.1378395954304186</v>
      </c>
      <c r="AC72">
        <f t="shared" ca="1" si="62"/>
        <v>-0.36399130479852898</v>
      </c>
      <c r="AD72">
        <f t="shared" ca="1" si="62"/>
        <v>-0.62619417027603475</v>
      </c>
      <c r="AE72">
        <f t="shared" ca="1" si="62"/>
        <v>0.56308430087283579</v>
      </c>
      <c r="AF72">
        <f t="shared" ca="1" si="62"/>
        <v>0.87761116704993514</v>
      </c>
      <c r="AG72">
        <f t="shared" ca="1" si="62"/>
        <v>0.23840654663133376</v>
      </c>
      <c r="AH72">
        <f t="shared" ca="1" si="62"/>
        <v>2.4941706198177345</v>
      </c>
      <c r="AI72">
        <f t="shared" ca="1" si="62"/>
        <v>1.6120437106846712</v>
      </c>
      <c r="AJ72">
        <f t="shared" ca="1" si="63"/>
        <v>1.6971146320219104</v>
      </c>
      <c r="AK72">
        <f t="shared" ca="1" si="63"/>
        <v>-0.34282138850991462</v>
      </c>
      <c r="AL72">
        <f t="shared" ca="1" si="63"/>
        <v>0.57175166245081932</v>
      </c>
      <c r="AM72">
        <f t="shared" ca="1" si="63"/>
        <v>-1.0059717990073469</v>
      </c>
      <c r="AN72">
        <f t="shared" ca="1" si="63"/>
        <v>1.4752918184048129</v>
      </c>
      <c r="AO72">
        <f t="shared" ca="1" si="63"/>
        <v>0.48135495084094682</v>
      </c>
      <c r="AP72">
        <f t="shared" ca="1" si="63"/>
        <v>1.5005397273144874</v>
      </c>
      <c r="AQ72">
        <f t="shared" ca="1" si="63"/>
        <v>0.20857196108315101</v>
      </c>
      <c r="AR72">
        <f t="shared" ca="1" si="63"/>
        <v>-1.1057747832258353</v>
      </c>
      <c r="AS72">
        <f t="shared" ca="1" si="63"/>
        <v>2.0269493974002809E-2</v>
      </c>
      <c r="AT72">
        <f t="shared" ca="1" si="64"/>
        <v>-2.0142113864838227</v>
      </c>
      <c r="AU72">
        <f t="shared" ca="1" si="64"/>
        <v>0.64855608151667321</v>
      </c>
      <c r="AV72">
        <f t="shared" ca="1" si="64"/>
        <v>-0.77322293542176701</v>
      </c>
      <c r="AW72">
        <f t="shared" ca="1" si="64"/>
        <v>-0.41492627010104577</v>
      </c>
      <c r="AX72">
        <f t="shared" ca="1" si="64"/>
        <v>2.3034921536239419</v>
      </c>
      <c r="AY72">
        <f t="shared" ca="1" si="64"/>
        <v>0.94967488132401612</v>
      </c>
      <c r="AZ72">
        <f t="shared" ca="1" si="64"/>
        <v>-0.28905728217373056</v>
      </c>
      <c r="BA72">
        <f t="shared" ca="1" si="64"/>
        <v>-3.3359658175532488E-3</v>
      </c>
      <c r="BB72">
        <f t="shared" ca="1" si="64"/>
        <v>1.0108708603261913</v>
      </c>
      <c r="BC72">
        <f t="shared" ca="1" si="64"/>
        <v>-0.74278434360105339</v>
      </c>
      <c r="BD72">
        <f t="shared" ca="1" si="65"/>
        <v>2.5797162127750232E-2</v>
      </c>
      <c r="BE72">
        <f t="shared" ca="1" si="65"/>
        <v>0.1787830678723589</v>
      </c>
      <c r="BF72">
        <f t="shared" ca="1" si="65"/>
        <v>0.5527382968128467</v>
      </c>
      <c r="BG72">
        <f t="shared" ca="1" si="65"/>
        <v>-0.86986465740099861</v>
      </c>
      <c r="BH72">
        <f t="shared" ca="1" si="65"/>
        <v>-2.2242834761514518</v>
      </c>
      <c r="BI72">
        <f t="shared" ca="1" si="65"/>
        <v>0.46097564862496254</v>
      </c>
      <c r="BJ72">
        <f t="shared" ca="1" si="65"/>
        <v>2.3297098198047097</v>
      </c>
      <c r="BK72">
        <f t="shared" ca="1" si="65"/>
        <v>-0.19129015621382522</v>
      </c>
      <c r="BL72">
        <f t="shared" ca="1" si="65"/>
        <v>0.7475091470836176</v>
      </c>
      <c r="BM72">
        <f t="shared" ca="1" si="65"/>
        <v>-0.92961447931776564</v>
      </c>
      <c r="BN72">
        <f t="shared" ca="1" si="66"/>
        <v>1.9779777906175444</v>
      </c>
      <c r="BO72">
        <f t="shared" ca="1" si="66"/>
        <v>1.3364170064102274</v>
      </c>
      <c r="BP72">
        <f t="shared" ca="1" si="66"/>
        <v>0.93578460127012475</v>
      </c>
      <c r="BQ72">
        <f t="shared" ca="1" si="66"/>
        <v>-0.85993732242509446</v>
      </c>
      <c r="BR72">
        <f t="shared" ca="1" si="66"/>
        <v>1.0913001879574686</v>
      </c>
      <c r="BS72">
        <f t="shared" ca="1" si="66"/>
        <v>0.31719777662208282</v>
      </c>
      <c r="BT72">
        <f t="shared" ca="1" si="66"/>
        <v>-1.4330667864488102</v>
      </c>
      <c r="BU72">
        <f t="shared" ca="1" si="66"/>
        <v>6.5438211433485716E-2</v>
      </c>
      <c r="BV72">
        <f t="shared" ca="1" si="66"/>
        <v>0.58209019024762088</v>
      </c>
      <c r="BW72">
        <f t="shared" ca="1" si="66"/>
        <v>0.80783177431102815</v>
      </c>
      <c r="BX72">
        <f t="shared" ca="1" si="67"/>
        <v>0.32191194887907237</v>
      </c>
      <c r="BY72">
        <f t="shared" ca="1" si="67"/>
        <v>-0.32560727104439696</v>
      </c>
      <c r="BZ72">
        <f t="shared" ca="1" si="67"/>
        <v>-0.45862875241960005</v>
      </c>
      <c r="CA72">
        <f t="shared" ca="1" si="67"/>
        <v>1.3247794467235219</v>
      </c>
      <c r="CB72">
        <f t="shared" ca="1" si="67"/>
        <v>1.6053517973868445</v>
      </c>
      <c r="CC72">
        <f t="shared" ca="1" si="67"/>
        <v>-0.38700316978627136</v>
      </c>
      <c r="CD72">
        <f t="shared" ca="1" si="67"/>
        <v>-1.8689009585663017</v>
      </c>
      <c r="CE72">
        <f t="shared" ca="1" si="67"/>
        <v>-1.0271898331179392</v>
      </c>
      <c r="CF72">
        <f t="shared" ca="1" si="67"/>
        <v>2.0363613427313889</v>
      </c>
      <c r="CG72">
        <f t="shared" ca="1" si="67"/>
        <v>0.6732469677414088</v>
      </c>
      <c r="CH72">
        <f t="shared" ca="1" si="68"/>
        <v>-0.53040069457809136</v>
      </c>
      <c r="CI72">
        <f t="shared" ca="1" si="68"/>
        <v>0.34257437903697519</v>
      </c>
      <c r="CJ72">
        <f t="shared" ca="1" si="68"/>
        <v>9.541428021959171E-2</v>
      </c>
      <c r="CK72">
        <f t="shared" ca="1" si="68"/>
        <v>0.48046223152076944</v>
      </c>
      <c r="CL72">
        <f t="shared" ca="1" si="68"/>
        <v>-1.4573241612778525</v>
      </c>
      <c r="CM72">
        <f t="shared" ca="1" si="68"/>
        <v>-1.3918846373348686</v>
      </c>
      <c r="CN72">
        <f t="shared" ca="1" si="68"/>
        <v>1.0110174764091848</v>
      </c>
      <c r="CO72">
        <f t="shared" ca="1" si="68"/>
        <v>-0.24598660579611037</v>
      </c>
      <c r="CP72">
        <f t="shared" ca="1" si="68"/>
        <v>-0.20835333525935801</v>
      </c>
      <c r="CQ72">
        <f t="shared" ca="1" si="68"/>
        <v>-0.78080396908642002</v>
      </c>
      <c r="CR72">
        <f t="shared" ca="1" si="69"/>
        <v>-4.2382576016747768E-2</v>
      </c>
      <c r="CS72">
        <f t="shared" ca="1" si="69"/>
        <v>2.5560260435106148</v>
      </c>
      <c r="CT72">
        <f t="shared" ca="1" si="69"/>
        <v>-0.30454671355514201</v>
      </c>
      <c r="CU72">
        <f t="shared" ca="1" si="69"/>
        <v>1.1245091540759913</v>
      </c>
      <c r="CV72">
        <f t="shared" ca="1" si="69"/>
        <v>9.4195550442298062E-2</v>
      </c>
      <c r="CW72">
        <f t="shared" ca="1" si="69"/>
        <v>0.2890853764227666</v>
      </c>
      <c r="CX72">
        <f t="shared" ca="1" si="69"/>
        <v>0.86463961396956646</v>
      </c>
      <c r="CY72">
        <f t="shared" ca="1" si="69"/>
        <v>-0.50921550103024749</v>
      </c>
      <c r="CZ72">
        <f t="shared" ca="1" si="69"/>
        <v>-1.3526481892953</v>
      </c>
      <c r="DA72">
        <f t="shared" ca="1" si="69"/>
        <v>-1.0200612196691508</v>
      </c>
    </row>
    <row r="73" spans="5:105" x14ac:dyDescent="0.25">
      <c r="E73">
        <f>S_plus!L73</f>
        <v>0.71000000000000041</v>
      </c>
      <c r="F73">
        <f t="shared" ref="F73:O82" ca="1" si="70">_xlfn.NORM.S.INV(RAND())</f>
        <v>-4.9597449187078008E-2</v>
      </c>
      <c r="G73">
        <f t="shared" ca="1" si="70"/>
        <v>-0.43301735417214454</v>
      </c>
      <c r="H73">
        <f t="shared" ca="1" si="70"/>
        <v>-1.4650272086579257</v>
      </c>
      <c r="I73">
        <f t="shared" ca="1" si="70"/>
        <v>-0.22310785847422143</v>
      </c>
      <c r="J73">
        <f t="shared" ca="1" si="70"/>
        <v>-1.6122830998302016</v>
      </c>
      <c r="K73">
        <f t="shared" ca="1" si="70"/>
        <v>0.36994638252854539</v>
      </c>
      <c r="L73">
        <f t="shared" ca="1" si="70"/>
        <v>-2.0183695041151068</v>
      </c>
      <c r="M73">
        <f t="shared" ca="1" si="70"/>
        <v>0.30662798378655742</v>
      </c>
      <c r="N73">
        <f t="shared" ca="1" si="70"/>
        <v>9.7984059152510572E-2</v>
      </c>
      <c r="O73">
        <f t="shared" ca="1" si="70"/>
        <v>-0.11533676721865935</v>
      </c>
      <c r="P73">
        <f t="shared" ref="P73:Y82" ca="1" si="71">_xlfn.NORM.S.INV(RAND())</f>
        <v>-1.1165508735900203</v>
      </c>
      <c r="Q73">
        <f t="shared" ca="1" si="71"/>
        <v>-6.0958721394864836E-2</v>
      </c>
      <c r="R73">
        <f t="shared" ca="1" si="71"/>
        <v>0.5576219411478418</v>
      </c>
      <c r="S73">
        <f t="shared" ca="1" si="71"/>
        <v>-0.44412608727224168</v>
      </c>
      <c r="T73">
        <f t="shared" ca="1" si="71"/>
        <v>0.51940689508054017</v>
      </c>
      <c r="U73">
        <f t="shared" ca="1" si="71"/>
        <v>-1.2047113706336674</v>
      </c>
      <c r="V73">
        <f t="shared" ca="1" si="71"/>
        <v>-3.6366896882900901E-3</v>
      </c>
      <c r="W73">
        <f t="shared" ca="1" si="71"/>
        <v>-1.4314668658193861E-2</v>
      </c>
      <c r="X73">
        <f t="shared" ca="1" si="71"/>
        <v>-6.803704276938824E-2</v>
      </c>
      <c r="Y73">
        <f t="shared" ca="1" si="71"/>
        <v>1.4759961182903005</v>
      </c>
      <c r="Z73">
        <f t="shared" ref="Z73:AI82" ca="1" si="72">_xlfn.NORM.S.INV(RAND())</f>
        <v>1.7027684925709274</v>
      </c>
      <c r="AA73">
        <f t="shared" ca="1" si="72"/>
        <v>-1.1508437232960418</v>
      </c>
      <c r="AB73">
        <f t="shared" ca="1" si="72"/>
        <v>-1.2882935791041217</v>
      </c>
      <c r="AC73">
        <f t="shared" ca="1" si="72"/>
        <v>-2.3976738758971825</v>
      </c>
      <c r="AD73">
        <f t="shared" ca="1" si="72"/>
        <v>-0.20457387837415522</v>
      </c>
      <c r="AE73">
        <f t="shared" ca="1" si="72"/>
        <v>-0.11430400148880591</v>
      </c>
      <c r="AF73">
        <f t="shared" ca="1" si="72"/>
        <v>0.90047497300094403</v>
      </c>
      <c r="AG73">
        <f t="shared" ca="1" si="72"/>
        <v>-0.5507426699411746</v>
      </c>
      <c r="AH73">
        <f t="shared" ca="1" si="72"/>
        <v>0.17489112739654997</v>
      </c>
      <c r="AI73">
        <f t="shared" ca="1" si="72"/>
        <v>1.9610134993776018</v>
      </c>
      <c r="AJ73">
        <f t="shared" ref="AJ73:AS82" ca="1" si="73">_xlfn.NORM.S.INV(RAND())</f>
        <v>2.4391547179736279</v>
      </c>
      <c r="AK73">
        <f t="shared" ca="1" si="73"/>
        <v>-0.6441811967076615</v>
      </c>
      <c r="AL73">
        <f t="shared" ca="1" si="73"/>
        <v>0.14916382640689102</v>
      </c>
      <c r="AM73">
        <f t="shared" ca="1" si="73"/>
        <v>0.60521383327705058</v>
      </c>
      <c r="AN73">
        <f t="shared" ca="1" si="73"/>
        <v>-1.3804727477976055</v>
      </c>
      <c r="AO73">
        <f t="shared" ca="1" si="73"/>
        <v>1.0498054692037999</v>
      </c>
      <c r="AP73">
        <f t="shared" ca="1" si="73"/>
        <v>5.33726071059493E-2</v>
      </c>
      <c r="AQ73">
        <f t="shared" ca="1" si="73"/>
        <v>0.27163370664873182</v>
      </c>
      <c r="AR73">
        <f t="shared" ca="1" si="73"/>
        <v>-0.67404293971281393</v>
      </c>
      <c r="AS73">
        <f t="shared" ca="1" si="73"/>
        <v>-0.48493122642299513</v>
      </c>
      <c r="AT73">
        <f t="shared" ref="AT73:BC82" ca="1" si="74">_xlfn.NORM.S.INV(RAND())</f>
        <v>-0.39387592106919767</v>
      </c>
      <c r="AU73">
        <f t="shared" ca="1" si="74"/>
        <v>-1.1267952782009809</v>
      </c>
      <c r="AV73">
        <f t="shared" ca="1" si="74"/>
        <v>2.3180542830520987</v>
      </c>
      <c r="AW73">
        <f t="shared" ca="1" si="74"/>
        <v>-1.5756094353926982</v>
      </c>
      <c r="AX73">
        <f t="shared" ca="1" si="74"/>
        <v>-0.38385733959818596</v>
      </c>
      <c r="AY73">
        <f t="shared" ca="1" si="74"/>
        <v>2.09552720773722</v>
      </c>
      <c r="AZ73">
        <f t="shared" ca="1" si="74"/>
        <v>1.3035936760626003</v>
      </c>
      <c r="BA73">
        <f t="shared" ca="1" si="74"/>
        <v>0.8554011894951099</v>
      </c>
      <c r="BB73">
        <f t="shared" ca="1" si="74"/>
        <v>0.37335352544457534</v>
      </c>
      <c r="BC73">
        <f t="shared" ca="1" si="74"/>
        <v>0.62894137084140145</v>
      </c>
      <c r="BD73">
        <f t="shared" ref="BD73:BM82" ca="1" si="75">_xlfn.NORM.S.INV(RAND())</f>
        <v>-1.3939778463688737</v>
      </c>
      <c r="BE73">
        <f t="shared" ca="1" si="75"/>
        <v>-1.1768829437988451</v>
      </c>
      <c r="BF73">
        <f t="shared" ca="1" si="75"/>
        <v>3.5080004079988347E-2</v>
      </c>
      <c r="BG73">
        <f t="shared" ca="1" si="75"/>
        <v>-1.0369142367769559</v>
      </c>
      <c r="BH73">
        <f t="shared" ca="1" si="75"/>
        <v>-0.59319168362365149</v>
      </c>
      <c r="BI73">
        <f t="shared" ca="1" si="75"/>
        <v>-2.3456968946162504E-2</v>
      </c>
      <c r="BJ73">
        <f t="shared" ca="1" si="75"/>
        <v>-4.1985207997159948E-2</v>
      </c>
      <c r="BK73">
        <f t="shared" ca="1" si="75"/>
        <v>0.64470522940062847</v>
      </c>
      <c r="BL73">
        <f t="shared" ca="1" si="75"/>
        <v>-0.98144579200502313</v>
      </c>
      <c r="BM73">
        <f t="shared" ca="1" si="75"/>
        <v>-0.51147123821015672</v>
      </c>
      <c r="BN73">
        <f t="shared" ref="BN73:BW82" ca="1" si="76">_xlfn.NORM.S.INV(RAND())</f>
        <v>-0.99211439609800733</v>
      </c>
      <c r="BO73">
        <f t="shared" ca="1" si="76"/>
        <v>0.9296051189970419</v>
      </c>
      <c r="BP73">
        <f t="shared" ca="1" si="76"/>
        <v>-1.2102440103883358</v>
      </c>
      <c r="BQ73">
        <f t="shared" ca="1" si="76"/>
        <v>-0.64615299148046235</v>
      </c>
      <c r="BR73">
        <f t="shared" ca="1" si="76"/>
        <v>0.86214470102287977</v>
      </c>
      <c r="BS73">
        <f t="shared" ca="1" si="76"/>
        <v>0.30856047360013111</v>
      </c>
      <c r="BT73">
        <f t="shared" ca="1" si="76"/>
        <v>-0.31655460148626341</v>
      </c>
      <c r="BU73">
        <f t="shared" ca="1" si="76"/>
        <v>-1.5850576134834937</v>
      </c>
      <c r="BV73">
        <f t="shared" ca="1" si="76"/>
        <v>1.7474780390258084</v>
      </c>
      <c r="BW73">
        <f t="shared" ca="1" si="76"/>
        <v>-0.89096195337700845</v>
      </c>
      <c r="BX73">
        <f t="shared" ref="BX73:CG82" ca="1" si="77">_xlfn.NORM.S.INV(RAND())</f>
        <v>0.81341301962620094</v>
      </c>
      <c r="BY73">
        <f t="shared" ca="1" si="77"/>
        <v>1.5143581053012927</v>
      </c>
      <c r="BZ73">
        <f t="shared" ca="1" si="77"/>
        <v>-1.6844015772941392</v>
      </c>
      <c r="CA73">
        <f t="shared" ca="1" si="77"/>
        <v>-0.35734262249833249</v>
      </c>
      <c r="CB73">
        <f t="shared" ca="1" si="77"/>
        <v>-0.36086108136970807</v>
      </c>
      <c r="CC73">
        <f t="shared" ca="1" si="77"/>
        <v>-1.3662765820114817</v>
      </c>
      <c r="CD73">
        <f t="shared" ca="1" si="77"/>
        <v>0.58259355074665831</v>
      </c>
      <c r="CE73">
        <f t="shared" ca="1" si="77"/>
        <v>0.24688602928324149</v>
      </c>
      <c r="CF73">
        <f t="shared" ca="1" si="77"/>
        <v>-0.88652561283137987</v>
      </c>
      <c r="CG73">
        <f t="shared" ca="1" si="77"/>
        <v>1.8683703818306236</v>
      </c>
      <c r="CH73">
        <f t="shared" ref="CH73:CQ82" ca="1" si="78">_xlfn.NORM.S.INV(RAND())</f>
        <v>1.1326356024827742</v>
      </c>
      <c r="CI73">
        <f t="shared" ca="1" si="78"/>
        <v>-5.6787736387904499E-2</v>
      </c>
      <c r="CJ73">
        <f t="shared" ca="1" si="78"/>
        <v>0.69892440149106239</v>
      </c>
      <c r="CK73">
        <f t="shared" ca="1" si="78"/>
        <v>0.21018123615209702</v>
      </c>
      <c r="CL73">
        <f t="shared" ca="1" si="78"/>
        <v>7.7934226481991706E-2</v>
      </c>
      <c r="CM73">
        <f t="shared" ca="1" si="78"/>
        <v>1.3182058106506547</v>
      </c>
      <c r="CN73">
        <f t="shared" ca="1" si="78"/>
        <v>3.0302166330139468</v>
      </c>
      <c r="CO73">
        <f t="shared" ca="1" si="78"/>
        <v>-0.95949192368988867</v>
      </c>
      <c r="CP73">
        <f t="shared" ca="1" si="78"/>
        <v>0.85241512267168706</v>
      </c>
      <c r="CQ73">
        <f t="shared" ca="1" si="78"/>
        <v>-2.4519279656171378</v>
      </c>
      <c r="CR73">
        <f t="shared" ref="CR73:DA82" ca="1" si="79">_xlfn.NORM.S.INV(RAND())</f>
        <v>1.0609613851917439</v>
      </c>
      <c r="CS73">
        <f t="shared" ca="1" si="79"/>
        <v>-0.46377080993625464</v>
      </c>
      <c r="CT73">
        <f t="shared" ca="1" si="79"/>
        <v>1.6952820183117681</v>
      </c>
      <c r="CU73">
        <f t="shared" ca="1" si="79"/>
        <v>1.6069410515451954</v>
      </c>
      <c r="CV73">
        <f t="shared" ca="1" si="79"/>
        <v>0.50000253030164132</v>
      </c>
      <c r="CW73">
        <f t="shared" ca="1" si="79"/>
        <v>-0.47190007300977604</v>
      </c>
      <c r="CX73">
        <f t="shared" ca="1" si="79"/>
        <v>1.0473222759494825</v>
      </c>
      <c r="CY73">
        <f t="shared" ca="1" si="79"/>
        <v>0.32570651351421637</v>
      </c>
      <c r="CZ73">
        <f t="shared" ca="1" si="79"/>
        <v>-0.21103389408241746</v>
      </c>
      <c r="DA73">
        <f t="shared" ca="1" si="79"/>
        <v>1.0241701740536784</v>
      </c>
    </row>
    <row r="74" spans="5:105" x14ac:dyDescent="0.25">
      <c r="E74">
        <f>S_plus!L74</f>
        <v>0.72000000000000042</v>
      </c>
      <c r="F74">
        <f t="shared" ca="1" si="70"/>
        <v>0.45742945076012087</v>
      </c>
      <c r="G74">
        <f t="shared" ca="1" si="70"/>
        <v>-1.674820975980601</v>
      </c>
      <c r="H74">
        <f t="shared" ca="1" si="70"/>
        <v>-0.5978546675223988</v>
      </c>
      <c r="I74">
        <f t="shared" ca="1" si="70"/>
        <v>0.38778347164437099</v>
      </c>
      <c r="J74">
        <f t="shared" ca="1" si="70"/>
        <v>0.9965599926141413</v>
      </c>
      <c r="K74">
        <f t="shared" ca="1" si="70"/>
        <v>-1.3657781775289337</v>
      </c>
      <c r="L74">
        <f t="shared" ca="1" si="70"/>
        <v>-1.7433154683521936</v>
      </c>
      <c r="M74">
        <f t="shared" ca="1" si="70"/>
        <v>-0.25100687002438937</v>
      </c>
      <c r="N74">
        <f t="shared" ca="1" si="70"/>
        <v>3.633527183713875E-2</v>
      </c>
      <c r="O74">
        <f t="shared" ca="1" si="70"/>
        <v>0.73313079952424542</v>
      </c>
      <c r="P74">
        <f t="shared" ca="1" si="71"/>
        <v>-1.0772815863547971</v>
      </c>
      <c r="Q74">
        <f t="shared" ca="1" si="71"/>
        <v>7.2066895462046976E-2</v>
      </c>
      <c r="R74">
        <f t="shared" ca="1" si="71"/>
        <v>-0.69890039146890481</v>
      </c>
      <c r="S74">
        <f t="shared" ca="1" si="71"/>
        <v>-1.1289272073513283</v>
      </c>
      <c r="T74">
        <f t="shared" ca="1" si="71"/>
        <v>-1.0939567315595056</v>
      </c>
      <c r="U74">
        <f t="shared" ca="1" si="71"/>
        <v>-0.59903153128192432</v>
      </c>
      <c r="V74">
        <f t="shared" ca="1" si="71"/>
        <v>0.95886845466679249</v>
      </c>
      <c r="W74">
        <f t="shared" ca="1" si="71"/>
        <v>-1.055557273336079</v>
      </c>
      <c r="X74">
        <f t="shared" ca="1" si="71"/>
        <v>-1.445540587367258</v>
      </c>
      <c r="Y74">
        <f t="shared" ca="1" si="71"/>
        <v>6.0534671425792844E-2</v>
      </c>
      <c r="Z74">
        <f t="shared" ca="1" si="72"/>
        <v>-1.3783417400135962</v>
      </c>
      <c r="AA74">
        <f t="shared" ca="1" si="72"/>
        <v>-2.2180636404815131</v>
      </c>
      <c r="AB74">
        <f t="shared" ca="1" si="72"/>
        <v>0.70420100066666391</v>
      </c>
      <c r="AC74">
        <f t="shared" ca="1" si="72"/>
        <v>0.34632727301578931</v>
      </c>
      <c r="AD74">
        <f t="shared" ca="1" si="72"/>
        <v>1.6488264370240826</v>
      </c>
      <c r="AE74">
        <f t="shared" ca="1" si="72"/>
        <v>0.71195767164776691</v>
      </c>
      <c r="AF74">
        <f t="shared" ca="1" si="72"/>
        <v>0.89588520059365639</v>
      </c>
      <c r="AG74">
        <f t="shared" ca="1" si="72"/>
        <v>-0.21553178236213605</v>
      </c>
      <c r="AH74">
        <f t="shared" ca="1" si="72"/>
        <v>-0.84545890589605899</v>
      </c>
      <c r="AI74">
        <f t="shared" ca="1" si="72"/>
        <v>-1.0684989180636686</v>
      </c>
      <c r="AJ74">
        <f t="shared" ca="1" si="73"/>
        <v>-0.99276732665813183</v>
      </c>
      <c r="AK74">
        <f t="shared" ca="1" si="73"/>
        <v>2.0240494090247387</v>
      </c>
      <c r="AL74">
        <f t="shared" ca="1" si="73"/>
        <v>0.24644732143673737</v>
      </c>
      <c r="AM74">
        <f t="shared" ca="1" si="73"/>
        <v>-1.5733595793488819</v>
      </c>
      <c r="AN74">
        <f t="shared" ca="1" si="73"/>
        <v>-0.31113684659883417</v>
      </c>
      <c r="AO74">
        <f t="shared" ca="1" si="73"/>
        <v>-0.43620523359985891</v>
      </c>
      <c r="AP74">
        <f t="shared" ca="1" si="73"/>
        <v>-4.5054679049781353E-2</v>
      </c>
      <c r="AQ74">
        <f t="shared" ca="1" si="73"/>
        <v>-0.91689384450322087</v>
      </c>
      <c r="AR74">
        <f t="shared" ca="1" si="73"/>
        <v>6.2662528454253921E-2</v>
      </c>
      <c r="AS74">
        <f t="shared" ca="1" si="73"/>
        <v>0.61713829052640123</v>
      </c>
      <c r="AT74">
        <f t="shared" ca="1" si="74"/>
        <v>0.14269716128946525</v>
      </c>
      <c r="AU74">
        <f t="shared" ca="1" si="74"/>
        <v>2.0779611688060502</v>
      </c>
      <c r="AV74">
        <f t="shared" ca="1" si="74"/>
        <v>-0.79576124944983706</v>
      </c>
      <c r="AW74">
        <f t="shared" ca="1" si="74"/>
        <v>-0.31948657475558268</v>
      </c>
      <c r="AX74">
        <f t="shared" ca="1" si="74"/>
        <v>0.56533196018043375</v>
      </c>
      <c r="AY74">
        <f t="shared" ca="1" si="74"/>
        <v>-0.88167565319310637</v>
      </c>
      <c r="AZ74">
        <f t="shared" ca="1" si="74"/>
        <v>-0.37777361056857228</v>
      </c>
      <c r="BA74">
        <f t="shared" ca="1" si="74"/>
        <v>2.854769748505408</v>
      </c>
      <c r="BB74">
        <f t="shared" ca="1" si="74"/>
        <v>0.90438877197901102</v>
      </c>
      <c r="BC74">
        <f t="shared" ca="1" si="74"/>
        <v>0.57580801240695789</v>
      </c>
      <c r="BD74">
        <f t="shared" ca="1" si="75"/>
        <v>-0.29751258986771983</v>
      </c>
      <c r="BE74">
        <f t="shared" ca="1" si="75"/>
        <v>-8.794025961411215E-3</v>
      </c>
      <c r="BF74">
        <f t="shared" ca="1" si="75"/>
        <v>-1.1732868415898541</v>
      </c>
      <c r="BG74">
        <f t="shared" ca="1" si="75"/>
        <v>-0.38094200773315884</v>
      </c>
      <c r="BH74">
        <f t="shared" ca="1" si="75"/>
        <v>-0.49769800331503522</v>
      </c>
      <c r="BI74">
        <f t="shared" ca="1" si="75"/>
        <v>-0.55469633691308573</v>
      </c>
      <c r="BJ74">
        <f t="shared" ca="1" si="75"/>
        <v>-0.93483859343439868</v>
      </c>
      <c r="BK74">
        <f t="shared" ca="1" si="75"/>
        <v>-0.79662885624605695</v>
      </c>
      <c r="BL74">
        <f t="shared" ca="1" si="75"/>
        <v>-1.9071560849604037</v>
      </c>
      <c r="BM74">
        <f t="shared" ca="1" si="75"/>
        <v>1.9706047183512234</v>
      </c>
      <c r="BN74">
        <f t="shared" ca="1" si="76"/>
        <v>-0.49279741297032553</v>
      </c>
      <c r="BO74">
        <f t="shared" ca="1" si="76"/>
        <v>-0.32913536291754714</v>
      </c>
      <c r="BP74">
        <f t="shared" ca="1" si="76"/>
        <v>-3.021015103000799E-2</v>
      </c>
      <c r="BQ74">
        <f t="shared" ca="1" si="76"/>
        <v>-1.3348598848207751</v>
      </c>
      <c r="BR74">
        <f t="shared" ca="1" si="76"/>
        <v>-2.1235454606815266E-2</v>
      </c>
      <c r="BS74">
        <f t="shared" ca="1" si="76"/>
        <v>-1.786711487099691</v>
      </c>
      <c r="BT74">
        <f t="shared" ca="1" si="76"/>
        <v>1.7553029619670915</v>
      </c>
      <c r="BU74">
        <f t="shared" ca="1" si="76"/>
        <v>1.189479316480784</v>
      </c>
      <c r="BV74">
        <f t="shared" ca="1" si="76"/>
        <v>-2.1482676562600687</v>
      </c>
      <c r="BW74">
        <f t="shared" ca="1" si="76"/>
        <v>0.31302795976530418</v>
      </c>
      <c r="BX74">
        <f t="shared" ca="1" si="77"/>
        <v>-1.3975647680246366</v>
      </c>
      <c r="BY74">
        <f t="shared" ca="1" si="77"/>
        <v>-1.8370178714329317</v>
      </c>
      <c r="BZ74">
        <f t="shared" ca="1" si="77"/>
        <v>-2.6129531787595019</v>
      </c>
      <c r="CA74">
        <f t="shared" ca="1" si="77"/>
        <v>-1.2438020772205431</v>
      </c>
      <c r="CB74">
        <f t="shared" ca="1" si="77"/>
        <v>-1.1375465830505362</v>
      </c>
      <c r="CC74">
        <f t="shared" ca="1" si="77"/>
        <v>0.5588060401784678</v>
      </c>
      <c r="CD74">
        <f t="shared" ca="1" si="77"/>
        <v>-1.2044894189840896</v>
      </c>
      <c r="CE74">
        <f t="shared" ca="1" si="77"/>
        <v>7.9882864402877132E-3</v>
      </c>
      <c r="CF74">
        <f t="shared" ca="1" si="77"/>
        <v>1.1021590053570876</v>
      </c>
      <c r="CG74">
        <f t="shared" ca="1" si="77"/>
        <v>-0.54867658158287058</v>
      </c>
      <c r="CH74">
        <f t="shared" ca="1" si="78"/>
        <v>-1.1094652932170652</v>
      </c>
      <c r="CI74">
        <f t="shared" ca="1" si="78"/>
        <v>0.46253895397052674</v>
      </c>
      <c r="CJ74">
        <f t="shared" ca="1" si="78"/>
        <v>0.54305424318460649</v>
      </c>
      <c r="CK74">
        <f t="shared" ca="1" si="78"/>
        <v>-0.82278065457179661</v>
      </c>
      <c r="CL74">
        <f t="shared" ca="1" si="78"/>
        <v>-0.72985623427873314</v>
      </c>
      <c r="CM74">
        <f t="shared" ca="1" si="78"/>
        <v>-1.0001175468044006</v>
      </c>
      <c r="CN74">
        <f t="shared" ca="1" si="78"/>
        <v>1.490223021212024</v>
      </c>
      <c r="CO74">
        <f t="shared" ca="1" si="78"/>
        <v>-1.5784848325693501</v>
      </c>
      <c r="CP74">
        <f t="shared" ca="1" si="78"/>
        <v>1.8167990096208826</v>
      </c>
      <c r="CQ74">
        <f t="shared" ca="1" si="78"/>
        <v>-1.2056556100063045</v>
      </c>
      <c r="CR74">
        <f t="shared" ca="1" si="79"/>
        <v>-0.34515413005722428</v>
      </c>
      <c r="CS74">
        <f t="shared" ca="1" si="79"/>
        <v>3.5716310285294254E-3</v>
      </c>
      <c r="CT74">
        <f t="shared" ca="1" si="79"/>
        <v>0.78043135150817078</v>
      </c>
      <c r="CU74">
        <f t="shared" ca="1" si="79"/>
        <v>-0.15218170377265414</v>
      </c>
      <c r="CV74">
        <f t="shared" ca="1" si="79"/>
        <v>0.88248787816379248</v>
      </c>
      <c r="CW74">
        <f t="shared" ca="1" si="79"/>
        <v>0.89863503395479116</v>
      </c>
      <c r="CX74">
        <f t="shared" ca="1" si="79"/>
        <v>0.36512461697237564</v>
      </c>
      <c r="CY74">
        <f t="shared" ca="1" si="79"/>
        <v>-1.0372583961309021E-2</v>
      </c>
      <c r="CZ74">
        <f t="shared" ca="1" si="79"/>
        <v>1.502568462161844</v>
      </c>
      <c r="DA74">
        <f t="shared" ca="1" si="79"/>
        <v>-0.7309792069306249</v>
      </c>
    </row>
    <row r="75" spans="5:105" x14ac:dyDescent="0.25">
      <c r="E75">
        <f>S_plus!L75</f>
        <v>0.73000000000000043</v>
      </c>
      <c r="F75">
        <f t="shared" ca="1" si="70"/>
        <v>0.82154797788814349</v>
      </c>
      <c r="G75">
        <f t="shared" ca="1" si="70"/>
        <v>0.90278330385855921</v>
      </c>
      <c r="H75">
        <f t="shared" ca="1" si="70"/>
        <v>-0.96199576836784417</v>
      </c>
      <c r="I75">
        <f t="shared" ca="1" si="70"/>
        <v>0.26960451917938433</v>
      </c>
      <c r="J75">
        <f t="shared" ca="1" si="70"/>
        <v>0.6933986438515447</v>
      </c>
      <c r="K75">
        <f t="shared" ca="1" si="70"/>
        <v>0.32134856106337439</v>
      </c>
      <c r="L75">
        <f t="shared" ca="1" si="70"/>
        <v>0.2188117640880963</v>
      </c>
      <c r="M75">
        <f t="shared" ca="1" si="70"/>
        <v>0.23718157515232749</v>
      </c>
      <c r="N75">
        <f t="shared" ca="1" si="70"/>
        <v>0.74943093601337152</v>
      </c>
      <c r="O75">
        <f t="shared" ca="1" si="70"/>
        <v>1.6982759983427875</v>
      </c>
      <c r="P75">
        <f t="shared" ca="1" si="71"/>
        <v>-0.65408363646686218</v>
      </c>
      <c r="Q75">
        <f t="shared" ca="1" si="71"/>
        <v>0.94236047977994053</v>
      </c>
      <c r="R75">
        <f t="shared" ca="1" si="71"/>
        <v>-1.215644610984429</v>
      </c>
      <c r="S75">
        <f t="shared" ca="1" si="71"/>
        <v>1.574285997310775</v>
      </c>
      <c r="T75">
        <f t="shared" ca="1" si="71"/>
        <v>0.85015779027602412</v>
      </c>
      <c r="U75">
        <f t="shared" ca="1" si="71"/>
        <v>-1.5189207018707498</v>
      </c>
      <c r="V75">
        <f t="shared" ca="1" si="71"/>
        <v>-0.5793346769040858</v>
      </c>
      <c r="W75">
        <f t="shared" ca="1" si="71"/>
        <v>0.90023506295642419</v>
      </c>
      <c r="X75">
        <f t="shared" ca="1" si="71"/>
        <v>-1.5923488788552076</v>
      </c>
      <c r="Y75">
        <f t="shared" ca="1" si="71"/>
        <v>0.80798903638747166</v>
      </c>
      <c r="Z75">
        <f t="shared" ca="1" si="72"/>
        <v>0.20365859234595499</v>
      </c>
      <c r="AA75">
        <f t="shared" ca="1" si="72"/>
        <v>-1.0302949546900133</v>
      </c>
      <c r="AB75">
        <f t="shared" ca="1" si="72"/>
        <v>-8.4174654962302004E-2</v>
      </c>
      <c r="AC75">
        <f t="shared" ca="1" si="72"/>
        <v>6.389367582982769E-2</v>
      </c>
      <c r="AD75">
        <f t="shared" ca="1" si="72"/>
        <v>0.20280968472499258</v>
      </c>
      <c r="AE75">
        <f t="shared" ca="1" si="72"/>
        <v>-1.9328826544221596</v>
      </c>
      <c r="AF75">
        <f t="shared" ca="1" si="72"/>
        <v>0.27073151355145192</v>
      </c>
      <c r="AG75">
        <f t="shared" ca="1" si="72"/>
        <v>-1.9360247827919339</v>
      </c>
      <c r="AH75">
        <f t="shared" ca="1" si="72"/>
        <v>2.3113852647350024</v>
      </c>
      <c r="AI75">
        <f t="shared" ca="1" si="72"/>
        <v>-1.4025320159920402</v>
      </c>
      <c r="AJ75">
        <f t="shared" ca="1" si="73"/>
        <v>9.0957281471364934E-2</v>
      </c>
      <c r="AK75">
        <f t="shared" ca="1" si="73"/>
        <v>0.57580266993360374</v>
      </c>
      <c r="AL75">
        <f t="shared" ca="1" si="73"/>
        <v>-0.457303566294394</v>
      </c>
      <c r="AM75">
        <f t="shared" ca="1" si="73"/>
        <v>1.8987166626572987</v>
      </c>
      <c r="AN75">
        <f t="shared" ca="1" si="73"/>
        <v>-0.78169671884648728</v>
      </c>
      <c r="AO75">
        <f t="shared" ca="1" si="73"/>
        <v>-1.4495808028082755</v>
      </c>
      <c r="AP75">
        <f t="shared" ca="1" si="73"/>
        <v>1.4395030989775859</v>
      </c>
      <c r="AQ75">
        <f t="shared" ca="1" si="73"/>
        <v>0.46580502985703004</v>
      </c>
      <c r="AR75">
        <f t="shared" ca="1" si="73"/>
        <v>-2.3684461355149078</v>
      </c>
      <c r="AS75">
        <f t="shared" ca="1" si="73"/>
        <v>1.6786986603853714E-2</v>
      </c>
      <c r="AT75">
        <f t="shared" ca="1" si="74"/>
        <v>-1.416898072570334</v>
      </c>
      <c r="AU75">
        <f t="shared" ca="1" si="74"/>
        <v>1.1059176882867974</v>
      </c>
      <c r="AV75">
        <f t="shared" ca="1" si="74"/>
        <v>0.30735988056023533</v>
      </c>
      <c r="AW75">
        <f t="shared" ca="1" si="74"/>
        <v>-1.2207184809839025</v>
      </c>
      <c r="AX75">
        <f t="shared" ca="1" si="74"/>
        <v>0.39844844419703046</v>
      </c>
      <c r="AY75">
        <f t="shared" ca="1" si="74"/>
        <v>0.25375119662088236</v>
      </c>
      <c r="AZ75">
        <f t="shared" ca="1" si="74"/>
        <v>0.31068245112939402</v>
      </c>
      <c r="BA75">
        <f t="shared" ca="1" si="74"/>
        <v>0.931727782547497</v>
      </c>
      <c r="BB75">
        <f t="shared" ca="1" si="74"/>
        <v>-0.97629136897322122</v>
      </c>
      <c r="BC75">
        <f t="shared" ca="1" si="74"/>
        <v>0.39833481298821954</v>
      </c>
      <c r="BD75">
        <f t="shared" ca="1" si="75"/>
        <v>-0.3461209664510434</v>
      </c>
      <c r="BE75">
        <f t="shared" ca="1" si="75"/>
        <v>1.1071669196324074</v>
      </c>
      <c r="BF75">
        <f t="shared" ca="1" si="75"/>
        <v>-0.95702129920920398</v>
      </c>
      <c r="BG75">
        <f t="shared" ca="1" si="75"/>
        <v>-1.1251653337124277</v>
      </c>
      <c r="BH75">
        <f t="shared" ca="1" si="75"/>
        <v>1.0371701096245791</v>
      </c>
      <c r="BI75">
        <f t="shared" ca="1" si="75"/>
        <v>-6.6842117925960981E-2</v>
      </c>
      <c r="BJ75">
        <f t="shared" ca="1" si="75"/>
        <v>1.196972444093136</v>
      </c>
      <c r="BK75">
        <f t="shared" ca="1" si="75"/>
        <v>-0.17905460199024228</v>
      </c>
      <c r="BL75">
        <f t="shared" ca="1" si="75"/>
        <v>0.66177001834418769</v>
      </c>
      <c r="BM75">
        <f t="shared" ca="1" si="75"/>
        <v>0.83303440896856562</v>
      </c>
      <c r="BN75">
        <f t="shared" ca="1" si="76"/>
        <v>0.39237167146164709</v>
      </c>
      <c r="BO75">
        <f t="shared" ca="1" si="76"/>
        <v>-1.861353160309827</v>
      </c>
      <c r="BP75">
        <f t="shared" ca="1" si="76"/>
        <v>9.9940859651585431E-2</v>
      </c>
      <c r="BQ75">
        <f t="shared" ca="1" si="76"/>
        <v>1.7752995408932584</v>
      </c>
      <c r="BR75">
        <f t="shared" ca="1" si="76"/>
        <v>8.8482354312874843E-3</v>
      </c>
      <c r="BS75">
        <f t="shared" ca="1" si="76"/>
        <v>-1.2655648167832105</v>
      </c>
      <c r="BT75">
        <f t="shared" ca="1" si="76"/>
        <v>0.58996908620052457</v>
      </c>
      <c r="BU75">
        <f t="shared" ca="1" si="76"/>
        <v>-0.34041065551503014</v>
      </c>
      <c r="BV75">
        <f t="shared" ca="1" si="76"/>
        <v>-6.6666445585413696E-3</v>
      </c>
      <c r="BW75">
        <f t="shared" ca="1" si="76"/>
        <v>1.007925735735598</v>
      </c>
      <c r="BX75">
        <f t="shared" ca="1" si="77"/>
        <v>-0.87957843692261473</v>
      </c>
      <c r="BY75">
        <f t="shared" ca="1" si="77"/>
        <v>-0.59291127642136687</v>
      </c>
      <c r="BZ75">
        <f t="shared" ca="1" si="77"/>
        <v>1.5332223986932538</v>
      </c>
      <c r="CA75">
        <f t="shared" ca="1" si="77"/>
        <v>2.3850593773106558E-2</v>
      </c>
      <c r="CB75">
        <f t="shared" ca="1" si="77"/>
        <v>1.9804646662567127</v>
      </c>
      <c r="CC75">
        <f t="shared" ca="1" si="77"/>
        <v>1.7062025567926886</v>
      </c>
      <c r="CD75">
        <f t="shared" ca="1" si="77"/>
        <v>-0.61100940097726564</v>
      </c>
      <c r="CE75">
        <f t="shared" ca="1" si="77"/>
        <v>-0.2305127930309584</v>
      </c>
      <c r="CF75">
        <f t="shared" ca="1" si="77"/>
        <v>-1.5921447287602737</v>
      </c>
      <c r="CG75">
        <f t="shared" ca="1" si="77"/>
        <v>-0.800893439401412</v>
      </c>
      <c r="CH75">
        <f t="shared" ca="1" si="78"/>
        <v>5.4608138713163369E-3</v>
      </c>
      <c r="CI75">
        <f t="shared" ca="1" si="78"/>
        <v>-0.98221062140467386</v>
      </c>
      <c r="CJ75">
        <f t="shared" ca="1" si="78"/>
        <v>1.8161331393970548</v>
      </c>
      <c r="CK75">
        <f t="shared" ca="1" si="78"/>
        <v>2.2738069249914048</v>
      </c>
      <c r="CL75">
        <f t="shared" ca="1" si="78"/>
        <v>0.32521050312759281</v>
      </c>
      <c r="CM75">
        <f t="shared" ca="1" si="78"/>
        <v>0.6878354775521347</v>
      </c>
      <c r="CN75">
        <f t="shared" ca="1" si="78"/>
        <v>0.14133988110940415</v>
      </c>
      <c r="CO75">
        <f t="shared" ca="1" si="78"/>
        <v>-0.12419796391997227</v>
      </c>
      <c r="CP75">
        <f t="shared" ca="1" si="78"/>
        <v>-1.3168690502539333</v>
      </c>
      <c r="CQ75">
        <f t="shared" ca="1" si="78"/>
        <v>-1.4561876760297812E-2</v>
      </c>
      <c r="CR75">
        <f t="shared" ca="1" si="79"/>
        <v>-1.813650378501896</v>
      </c>
      <c r="CS75">
        <f t="shared" ca="1" si="79"/>
        <v>0.10631301906001701</v>
      </c>
      <c r="CT75">
        <f t="shared" ca="1" si="79"/>
        <v>2.1047795920371986</v>
      </c>
      <c r="CU75">
        <f t="shared" ca="1" si="79"/>
        <v>1.0045703042884244E-2</v>
      </c>
      <c r="CV75">
        <f t="shared" ca="1" si="79"/>
        <v>7.9325483350874797E-3</v>
      </c>
      <c r="CW75">
        <f t="shared" ca="1" si="79"/>
        <v>-0.23250598163126479</v>
      </c>
      <c r="CX75">
        <f t="shared" ca="1" si="79"/>
        <v>8.6501416314884574E-2</v>
      </c>
      <c r="CY75">
        <f t="shared" ca="1" si="79"/>
        <v>-0.31084774548673544</v>
      </c>
      <c r="CZ75">
        <f t="shared" ca="1" si="79"/>
        <v>-7.9572453198195101E-2</v>
      </c>
      <c r="DA75">
        <f t="shared" ca="1" si="79"/>
        <v>-9.7092948371373208E-2</v>
      </c>
    </row>
    <row r="76" spans="5:105" x14ac:dyDescent="0.25">
      <c r="E76">
        <f>S_plus!L76</f>
        <v>0.74000000000000044</v>
      </c>
      <c r="F76">
        <f t="shared" ca="1" si="70"/>
        <v>-0.20461704714795986</v>
      </c>
      <c r="G76">
        <f t="shared" ca="1" si="70"/>
        <v>-5.579194089519468E-2</v>
      </c>
      <c r="H76">
        <f t="shared" ca="1" si="70"/>
        <v>1.3746808872035874</v>
      </c>
      <c r="I76">
        <f t="shared" ca="1" si="70"/>
        <v>0.62910140636536693</v>
      </c>
      <c r="J76">
        <f t="shared" ca="1" si="70"/>
        <v>0.28396141168627093</v>
      </c>
      <c r="K76">
        <f t="shared" ca="1" si="70"/>
        <v>0.54323192857832725</v>
      </c>
      <c r="L76">
        <f t="shared" ca="1" si="70"/>
        <v>-0.82868816083004604</v>
      </c>
      <c r="M76">
        <f t="shared" ca="1" si="70"/>
        <v>-0.12990311055032353</v>
      </c>
      <c r="N76">
        <f t="shared" ca="1" si="70"/>
        <v>0.16333612944619316</v>
      </c>
      <c r="O76">
        <f t="shared" ca="1" si="70"/>
        <v>-1.0407135306227373</v>
      </c>
      <c r="P76">
        <f t="shared" ca="1" si="71"/>
        <v>-0.5167251325513631</v>
      </c>
      <c r="Q76">
        <f t="shared" ca="1" si="71"/>
        <v>0.4365978263160411</v>
      </c>
      <c r="R76">
        <f t="shared" ca="1" si="71"/>
        <v>-3.8196553120711976E-2</v>
      </c>
      <c r="S76">
        <f t="shared" ca="1" si="71"/>
        <v>-0.30493598419190737</v>
      </c>
      <c r="T76">
        <f t="shared" ca="1" si="71"/>
        <v>5.5699295957255861E-2</v>
      </c>
      <c r="U76">
        <f t="shared" ca="1" si="71"/>
        <v>-0.63117997998506792</v>
      </c>
      <c r="V76">
        <f t="shared" ca="1" si="71"/>
        <v>0.85291767278971287</v>
      </c>
      <c r="W76">
        <f t="shared" ca="1" si="71"/>
        <v>-3.5166918468267146E-2</v>
      </c>
      <c r="X76">
        <f t="shared" ca="1" si="71"/>
        <v>-1.3973472340777611</v>
      </c>
      <c r="Y76">
        <f t="shared" ca="1" si="71"/>
        <v>-1.0282662707827288</v>
      </c>
      <c r="Z76">
        <f t="shared" ca="1" si="72"/>
        <v>0.87469156643401924</v>
      </c>
      <c r="AA76">
        <f t="shared" ca="1" si="72"/>
        <v>0.2690540160974374</v>
      </c>
      <c r="AB76">
        <f t="shared" ca="1" si="72"/>
        <v>-0.54714661368418493</v>
      </c>
      <c r="AC76">
        <f t="shared" ca="1" si="72"/>
        <v>-1.2394587217199589</v>
      </c>
      <c r="AD76">
        <f t="shared" ca="1" si="72"/>
        <v>-1.2340151979165106</v>
      </c>
      <c r="AE76">
        <f t="shared" ca="1" si="72"/>
        <v>-2.497231559333239</v>
      </c>
      <c r="AF76">
        <f t="shared" ca="1" si="72"/>
        <v>-0.42015103927474962</v>
      </c>
      <c r="AG76">
        <f t="shared" ca="1" si="72"/>
        <v>0.7090943800257441</v>
      </c>
      <c r="AH76">
        <f t="shared" ca="1" si="72"/>
        <v>1.6314792133755174</v>
      </c>
      <c r="AI76">
        <f t="shared" ca="1" si="72"/>
        <v>-0.61570609524266318</v>
      </c>
      <c r="AJ76">
        <f t="shared" ca="1" si="73"/>
        <v>-0.13968300174678031</v>
      </c>
      <c r="AK76">
        <f t="shared" ca="1" si="73"/>
        <v>-0.80765500560303127</v>
      </c>
      <c r="AL76">
        <f t="shared" ca="1" si="73"/>
        <v>0.5419444176010394</v>
      </c>
      <c r="AM76">
        <f t="shared" ca="1" si="73"/>
        <v>-2.7321119840824387E-2</v>
      </c>
      <c r="AN76">
        <f t="shared" ca="1" si="73"/>
        <v>-1.0722475355316206</v>
      </c>
      <c r="AO76">
        <f t="shared" ca="1" si="73"/>
        <v>-3.3576897795887328</v>
      </c>
      <c r="AP76">
        <f t="shared" ca="1" si="73"/>
        <v>0.77049215102597779</v>
      </c>
      <c r="AQ76">
        <f t="shared" ca="1" si="73"/>
        <v>0.54449816915096583</v>
      </c>
      <c r="AR76">
        <f t="shared" ca="1" si="73"/>
        <v>5.3863253784509443E-2</v>
      </c>
      <c r="AS76">
        <f t="shared" ca="1" si="73"/>
        <v>1.7711493740352309</v>
      </c>
      <c r="AT76">
        <f t="shared" ca="1" si="74"/>
        <v>-1.0682947619077852</v>
      </c>
      <c r="AU76">
        <f t="shared" ca="1" si="74"/>
        <v>-0.1880189364587353</v>
      </c>
      <c r="AV76">
        <f t="shared" ca="1" si="74"/>
        <v>-1.5938793615183171</v>
      </c>
      <c r="AW76">
        <f t="shared" ca="1" si="74"/>
        <v>-0.21927246527808414</v>
      </c>
      <c r="AX76">
        <f t="shared" ca="1" si="74"/>
        <v>-3.2469924783509539E-2</v>
      </c>
      <c r="AY76">
        <f t="shared" ca="1" si="74"/>
        <v>-2.1731913496758275</v>
      </c>
      <c r="AZ76">
        <f t="shared" ca="1" si="74"/>
        <v>1.6913529919559682</v>
      </c>
      <c r="BA76">
        <f t="shared" ca="1" si="74"/>
        <v>1.5244094179566476</v>
      </c>
      <c r="BB76">
        <f t="shared" ca="1" si="74"/>
        <v>-0.49959657789657613</v>
      </c>
      <c r="BC76">
        <f t="shared" ca="1" si="74"/>
        <v>0.50632132764915394</v>
      </c>
      <c r="BD76">
        <f t="shared" ca="1" si="75"/>
        <v>0.78908835108938957</v>
      </c>
      <c r="BE76">
        <f t="shared" ca="1" si="75"/>
        <v>0.39704788435737481</v>
      </c>
      <c r="BF76">
        <f t="shared" ca="1" si="75"/>
        <v>2.7071298979519522E-2</v>
      </c>
      <c r="BG76">
        <f t="shared" ca="1" si="75"/>
        <v>0.68776717144124799</v>
      </c>
      <c r="BH76">
        <f t="shared" ca="1" si="75"/>
        <v>0.47037571967926389</v>
      </c>
      <c r="BI76">
        <f t="shared" ca="1" si="75"/>
        <v>1.4915739153742504</v>
      </c>
      <c r="BJ76">
        <f t="shared" ca="1" si="75"/>
        <v>0.90980833448515086</v>
      </c>
      <c r="BK76">
        <f t="shared" ca="1" si="75"/>
        <v>-0.51570768644201148</v>
      </c>
      <c r="BL76">
        <f t="shared" ca="1" si="75"/>
        <v>-0.63669571615659848</v>
      </c>
      <c r="BM76">
        <f t="shared" ca="1" si="75"/>
        <v>1.2309055294532867</v>
      </c>
      <c r="BN76">
        <f t="shared" ca="1" si="76"/>
        <v>0.73457121279369564</v>
      </c>
      <c r="BO76">
        <f t="shared" ca="1" si="76"/>
        <v>0.27937962455416948</v>
      </c>
      <c r="BP76">
        <f t="shared" ca="1" si="76"/>
        <v>1.6516138397180313</v>
      </c>
      <c r="BQ76">
        <f t="shared" ca="1" si="76"/>
        <v>-0.49950182631215811</v>
      </c>
      <c r="BR76">
        <f t="shared" ca="1" si="76"/>
        <v>0.39676717465653377</v>
      </c>
      <c r="BS76">
        <f t="shared" ca="1" si="76"/>
        <v>1.1482852581264016</v>
      </c>
      <c r="BT76">
        <f t="shared" ca="1" si="76"/>
        <v>-0.74880794175290555</v>
      </c>
      <c r="BU76">
        <f t="shared" ca="1" si="76"/>
        <v>3.2907845499350059E-2</v>
      </c>
      <c r="BV76">
        <f t="shared" ca="1" si="76"/>
        <v>-1.7251408033144189</v>
      </c>
      <c r="BW76">
        <f t="shared" ca="1" si="76"/>
        <v>1.3728141684903252</v>
      </c>
      <c r="BX76">
        <f t="shared" ca="1" si="77"/>
        <v>-0.47935924423778931</v>
      </c>
      <c r="BY76">
        <f t="shared" ca="1" si="77"/>
        <v>1.7243803849755626</v>
      </c>
      <c r="BZ76">
        <f t="shared" ca="1" si="77"/>
        <v>-0.54037561016382296</v>
      </c>
      <c r="CA76">
        <f t="shared" ca="1" si="77"/>
        <v>-0.20558830011826346</v>
      </c>
      <c r="CB76">
        <f t="shared" ca="1" si="77"/>
        <v>-1.6927220333884079</v>
      </c>
      <c r="CC76">
        <f t="shared" ca="1" si="77"/>
        <v>-1.4682004864647291</v>
      </c>
      <c r="CD76">
        <f t="shared" ca="1" si="77"/>
        <v>-0.82391710076768443</v>
      </c>
      <c r="CE76">
        <f t="shared" ca="1" si="77"/>
        <v>-0.60853013456547533</v>
      </c>
      <c r="CF76">
        <f t="shared" ca="1" si="77"/>
        <v>-0.2184031385095786</v>
      </c>
      <c r="CG76">
        <f t="shared" ca="1" si="77"/>
        <v>-0.84656112595599065</v>
      </c>
      <c r="CH76">
        <f t="shared" ca="1" si="78"/>
        <v>-1.2871623426453533</v>
      </c>
      <c r="CI76">
        <f t="shared" ca="1" si="78"/>
        <v>-0.72806822784192649</v>
      </c>
      <c r="CJ76">
        <f t="shared" ca="1" si="78"/>
        <v>1.0089325544535304</v>
      </c>
      <c r="CK76">
        <f t="shared" ca="1" si="78"/>
        <v>0.38459973768357525</v>
      </c>
      <c r="CL76">
        <f t="shared" ca="1" si="78"/>
        <v>-1.7433720820488521</v>
      </c>
      <c r="CM76">
        <f t="shared" ca="1" si="78"/>
        <v>-1.9111815960390881</v>
      </c>
      <c r="CN76">
        <f t="shared" ca="1" si="78"/>
        <v>1.3559263931616428</v>
      </c>
      <c r="CO76">
        <f t="shared" ca="1" si="78"/>
        <v>-2.1529432289987733</v>
      </c>
      <c r="CP76">
        <f t="shared" ca="1" si="78"/>
        <v>-1.293512869155004</v>
      </c>
      <c r="CQ76">
        <f t="shared" ca="1" si="78"/>
        <v>-2.3486117753043767</v>
      </c>
      <c r="CR76">
        <f t="shared" ca="1" si="79"/>
        <v>1.8529418482547149</v>
      </c>
      <c r="CS76">
        <f t="shared" ca="1" si="79"/>
        <v>0.384366520883136</v>
      </c>
      <c r="CT76">
        <f t="shared" ca="1" si="79"/>
        <v>-1.5145793778043186</v>
      </c>
      <c r="CU76">
        <f t="shared" ca="1" si="79"/>
        <v>-0.81144434603795834</v>
      </c>
      <c r="CV76">
        <f t="shared" ca="1" si="79"/>
        <v>-1.5020624172772126</v>
      </c>
      <c r="CW76">
        <f t="shared" ca="1" si="79"/>
        <v>0.33729166919307857</v>
      </c>
      <c r="CX76">
        <f t="shared" ca="1" si="79"/>
        <v>-1.8915264744285789</v>
      </c>
      <c r="CY76">
        <f t="shared" ca="1" si="79"/>
        <v>-0.14400308896700686</v>
      </c>
      <c r="CZ76">
        <f t="shared" ca="1" si="79"/>
        <v>1.9928528710720275</v>
      </c>
      <c r="DA76">
        <f t="shared" ca="1" si="79"/>
        <v>0.81167441745628854</v>
      </c>
    </row>
    <row r="77" spans="5:105" x14ac:dyDescent="0.25">
      <c r="E77">
        <f>S_plus!L77</f>
        <v>0.75000000000000044</v>
      </c>
      <c r="F77">
        <f t="shared" ca="1" si="70"/>
        <v>6.3224310704109526E-2</v>
      </c>
      <c r="G77">
        <f t="shared" ca="1" si="70"/>
        <v>0.56666874809046264</v>
      </c>
      <c r="H77">
        <f t="shared" ca="1" si="70"/>
        <v>-1.6740182758566129</v>
      </c>
      <c r="I77">
        <f t="shared" ca="1" si="70"/>
        <v>0.21065054852335982</v>
      </c>
      <c r="J77">
        <f t="shared" ca="1" si="70"/>
        <v>-6.4081013961244757E-2</v>
      </c>
      <c r="K77">
        <f t="shared" ca="1" si="70"/>
        <v>6.993391390259214E-2</v>
      </c>
      <c r="L77">
        <f t="shared" ca="1" si="70"/>
        <v>-2.415348060804694</v>
      </c>
      <c r="M77">
        <f t="shared" ca="1" si="70"/>
        <v>-0.20710786811535634</v>
      </c>
      <c r="N77">
        <f t="shared" ca="1" si="70"/>
        <v>-0.78042081361057458</v>
      </c>
      <c r="O77">
        <f t="shared" ca="1" si="70"/>
        <v>0.98303921065494781</v>
      </c>
      <c r="P77">
        <f t="shared" ca="1" si="71"/>
        <v>0.77697624057439008</v>
      </c>
      <c r="Q77">
        <f t="shared" ca="1" si="71"/>
        <v>-1.3886830439985542</v>
      </c>
      <c r="R77">
        <f t="shared" ca="1" si="71"/>
        <v>1.747916089879447</v>
      </c>
      <c r="S77">
        <f t="shared" ca="1" si="71"/>
        <v>-0.37025947500390022</v>
      </c>
      <c r="T77">
        <f t="shared" ca="1" si="71"/>
        <v>-0.27870334516857315</v>
      </c>
      <c r="U77">
        <f t="shared" ca="1" si="71"/>
        <v>0.6156959172175438</v>
      </c>
      <c r="V77">
        <f t="shared" ca="1" si="71"/>
        <v>0.17579992387629001</v>
      </c>
      <c r="W77">
        <f t="shared" ca="1" si="71"/>
        <v>0.62960258646381384</v>
      </c>
      <c r="X77">
        <f t="shared" ca="1" si="71"/>
        <v>-0.53204451370762518</v>
      </c>
      <c r="Y77">
        <f t="shared" ca="1" si="71"/>
        <v>-0.29324835653396247</v>
      </c>
      <c r="Z77">
        <f t="shared" ca="1" si="72"/>
        <v>-0.70909147681330154</v>
      </c>
      <c r="AA77">
        <f t="shared" ca="1" si="72"/>
        <v>-6.0569404911234949E-2</v>
      </c>
      <c r="AB77">
        <f t="shared" ca="1" si="72"/>
        <v>-1.1167636239557033</v>
      </c>
      <c r="AC77">
        <f t="shared" ca="1" si="72"/>
        <v>-0.39277773041544917</v>
      </c>
      <c r="AD77">
        <f t="shared" ca="1" si="72"/>
        <v>-0.51816621103086269</v>
      </c>
      <c r="AE77">
        <f t="shared" ca="1" si="72"/>
        <v>0.19382760342668615</v>
      </c>
      <c r="AF77">
        <f t="shared" ca="1" si="72"/>
        <v>-1.4194770794653575</v>
      </c>
      <c r="AG77">
        <f t="shared" ca="1" si="72"/>
        <v>1.3686265827851769</v>
      </c>
      <c r="AH77">
        <f t="shared" ca="1" si="72"/>
        <v>0.13592765180176986</v>
      </c>
      <c r="AI77">
        <f t="shared" ca="1" si="72"/>
        <v>-0.66989909744180098</v>
      </c>
      <c r="AJ77">
        <f t="shared" ca="1" si="73"/>
        <v>0.38056129899836733</v>
      </c>
      <c r="AK77">
        <f t="shared" ca="1" si="73"/>
        <v>0.53433426116786953</v>
      </c>
      <c r="AL77">
        <f t="shared" ca="1" si="73"/>
        <v>1.1057280854291975</v>
      </c>
      <c r="AM77">
        <f t="shared" ca="1" si="73"/>
        <v>0.41283379397878789</v>
      </c>
      <c r="AN77">
        <f t="shared" ca="1" si="73"/>
        <v>-0.15803973914589045</v>
      </c>
      <c r="AO77">
        <f t="shared" ca="1" si="73"/>
        <v>-1.4780471278715901</v>
      </c>
      <c r="AP77">
        <f t="shared" ca="1" si="73"/>
        <v>1.1942192083503038</v>
      </c>
      <c r="AQ77">
        <f t="shared" ca="1" si="73"/>
        <v>0.10213425897061974</v>
      </c>
      <c r="AR77">
        <f t="shared" ca="1" si="73"/>
        <v>-0.12949671845823107</v>
      </c>
      <c r="AS77">
        <f t="shared" ca="1" si="73"/>
        <v>0.60420843370234734</v>
      </c>
      <c r="AT77">
        <f t="shared" ca="1" si="74"/>
        <v>1.8727522965483219</v>
      </c>
      <c r="AU77">
        <f t="shared" ca="1" si="74"/>
        <v>0.34664458479826421</v>
      </c>
      <c r="AV77">
        <f t="shared" ca="1" si="74"/>
        <v>0.15255209646759646</v>
      </c>
      <c r="AW77">
        <f t="shared" ca="1" si="74"/>
        <v>-0.56619884535435538</v>
      </c>
      <c r="AX77">
        <f t="shared" ca="1" si="74"/>
        <v>0.91187010674395974</v>
      </c>
      <c r="AY77">
        <f t="shared" ca="1" si="74"/>
        <v>-0.68870173117451605</v>
      </c>
      <c r="AZ77">
        <f t="shared" ca="1" si="74"/>
        <v>1.163063396762215</v>
      </c>
      <c r="BA77">
        <f t="shared" ca="1" si="74"/>
        <v>0.20926382536948801</v>
      </c>
      <c r="BB77">
        <f t="shared" ca="1" si="74"/>
        <v>-2.3411743145993156</v>
      </c>
      <c r="BC77">
        <f t="shared" ca="1" si="74"/>
        <v>0.42038925589208881</v>
      </c>
      <c r="BD77">
        <f t="shared" ca="1" si="75"/>
        <v>1.8738322559131799</v>
      </c>
      <c r="BE77">
        <f t="shared" ca="1" si="75"/>
        <v>0.83140886023032479</v>
      </c>
      <c r="BF77">
        <f t="shared" ca="1" si="75"/>
        <v>0.83036327044100389</v>
      </c>
      <c r="BG77">
        <f t="shared" ca="1" si="75"/>
        <v>-0.40974027822331571</v>
      </c>
      <c r="BH77">
        <f t="shared" ca="1" si="75"/>
        <v>0.10342661965805852</v>
      </c>
      <c r="BI77">
        <f t="shared" ca="1" si="75"/>
        <v>-1.0046988763309102</v>
      </c>
      <c r="BJ77">
        <f t="shared" ca="1" si="75"/>
        <v>0.40666990394148622</v>
      </c>
      <c r="BK77">
        <f t="shared" ca="1" si="75"/>
        <v>-0.17094259692444946</v>
      </c>
      <c r="BL77">
        <f t="shared" ca="1" si="75"/>
        <v>-0.44969243092173572</v>
      </c>
      <c r="BM77">
        <f t="shared" ca="1" si="75"/>
        <v>-0.73653124382841439</v>
      </c>
      <c r="BN77">
        <f t="shared" ca="1" si="76"/>
        <v>-0.1577946133480479</v>
      </c>
      <c r="BO77">
        <f t="shared" ca="1" si="76"/>
        <v>5.758206081198506E-2</v>
      </c>
      <c r="BP77">
        <f t="shared" ca="1" si="76"/>
        <v>0.48139665680560911</v>
      </c>
      <c r="BQ77">
        <f t="shared" ca="1" si="76"/>
        <v>-0.25371943050288043</v>
      </c>
      <c r="BR77">
        <f t="shared" ca="1" si="76"/>
        <v>0.85498903359110223</v>
      </c>
      <c r="BS77">
        <f t="shared" ca="1" si="76"/>
        <v>-0.24015275363452987</v>
      </c>
      <c r="BT77">
        <f t="shared" ca="1" si="76"/>
        <v>-0.40006974300087544</v>
      </c>
      <c r="BU77">
        <f t="shared" ca="1" si="76"/>
        <v>-2.5145981343519912</v>
      </c>
      <c r="BV77">
        <f t="shared" ca="1" si="76"/>
        <v>0.63840877856562395</v>
      </c>
      <c r="BW77">
        <f t="shared" ca="1" si="76"/>
        <v>-0.75973705368814037</v>
      </c>
      <c r="BX77">
        <f t="shared" ca="1" si="77"/>
        <v>0.3371146887262666</v>
      </c>
      <c r="BY77">
        <f t="shared" ca="1" si="77"/>
        <v>-1.3630012331743373</v>
      </c>
      <c r="BZ77">
        <f t="shared" ca="1" si="77"/>
        <v>1.055213720754945</v>
      </c>
      <c r="CA77">
        <f t="shared" ca="1" si="77"/>
        <v>-0.76241358918144697</v>
      </c>
      <c r="CB77">
        <f t="shared" ca="1" si="77"/>
        <v>1.0888856384036636</v>
      </c>
      <c r="CC77">
        <f t="shared" ca="1" si="77"/>
        <v>-1.0538869588169264</v>
      </c>
      <c r="CD77">
        <f t="shared" ca="1" si="77"/>
        <v>1.0854543067200737</v>
      </c>
      <c r="CE77">
        <f t="shared" ca="1" si="77"/>
        <v>0.92377946963752322</v>
      </c>
      <c r="CF77">
        <f t="shared" ca="1" si="77"/>
        <v>-0.92448063758226684</v>
      </c>
      <c r="CG77">
        <f t="shared" ca="1" si="77"/>
        <v>6.1502789400518891E-2</v>
      </c>
      <c r="CH77">
        <f t="shared" ca="1" si="78"/>
        <v>-0.78642939467118622</v>
      </c>
      <c r="CI77">
        <f t="shared" ca="1" si="78"/>
        <v>-3.9802126981391364E-2</v>
      </c>
      <c r="CJ77">
        <f t="shared" ca="1" si="78"/>
        <v>-0.58222284759558962</v>
      </c>
      <c r="CK77">
        <f t="shared" ca="1" si="78"/>
        <v>-8.5322547051031428E-2</v>
      </c>
      <c r="CL77">
        <f t="shared" ca="1" si="78"/>
        <v>0.64724325005472105</v>
      </c>
      <c r="CM77">
        <f t="shared" ca="1" si="78"/>
        <v>1.8994109148270821</v>
      </c>
      <c r="CN77">
        <f t="shared" ca="1" si="78"/>
        <v>-0.96495105670073933</v>
      </c>
      <c r="CO77">
        <f t="shared" ca="1" si="78"/>
        <v>-0.37684572108666614</v>
      </c>
      <c r="CP77">
        <f t="shared" ca="1" si="78"/>
        <v>-1.7942153229487234</v>
      </c>
      <c r="CQ77">
        <f t="shared" ca="1" si="78"/>
        <v>1.4593504381265829</v>
      </c>
      <c r="CR77">
        <f t="shared" ca="1" si="79"/>
        <v>-0.89766753814176392</v>
      </c>
      <c r="CS77">
        <f t="shared" ca="1" si="79"/>
        <v>0.67961636493944588</v>
      </c>
      <c r="CT77">
        <f t="shared" ca="1" si="79"/>
        <v>-1.2385984262066014</v>
      </c>
      <c r="CU77">
        <f t="shared" ca="1" si="79"/>
        <v>0.16625542914158312</v>
      </c>
      <c r="CV77">
        <f t="shared" ca="1" si="79"/>
        <v>0.64237375103641936</v>
      </c>
      <c r="CW77">
        <f t="shared" ca="1" si="79"/>
        <v>-0.99637779766890455</v>
      </c>
      <c r="CX77">
        <f t="shared" ca="1" si="79"/>
        <v>-1.9801742513760383</v>
      </c>
      <c r="CY77">
        <f t="shared" ca="1" si="79"/>
        <v>-0.65571874480683989</v>
      </c>
      <c r="CZ77">
        <f t="shared" ca="1" si="79"/>
        <v>-0.52369102859661909</v>
      </c>
      <c r="DA77">
        <f t="shared" ca="1" si="79"/>
        <v>0.36915150994585255</v>
      </c>
    </row>
    <row r="78" spans="5:105" x14ac:dyDescent="0.25">
      <c r="E78">
        <f>S_plus!L78</f>
        <v>0.76000000000000045</v>
      </c>
      <c r="F78">
        <f t="shared" ca="1" si="70"/>
        <v>-0.50725089391719647</v>
      </c>
      <c r="G78">
        <f t="shared" ca="1" si="70"/>
        <v>1.554114494414863</v>
      </c>
      <c r="H78">
        <f t="shared" ca="1" si="70"/>
        <v>-2.4715947902439739</v>
      </c>
      <c r="I78">
        <f t="shared" ca="1" si="70"/>
        <v>1.9203565846762047</v>
      </c>
      <c r="J78">
        <f t="shared" ca="1" si="70"/>
        <v>1.1933260365823655</v>
      </c>
      <c r="K78">
        <f t="shared" ca="1" si="70"/>
        <v>-0.35543038205379357</v>
      </c>
      <c r="L78">
        <f t="shared" ca="1" si="70"/>
        <v>-0.44451573000017053</v>
      </c>
      <c r="M78">
        <f t="shared" ca="1" si="70"/>
        <v>0.97421019507209461</v>
      </c>
      <c r="N78">
        <f t="shared" ca="1" si="70"/>
        <v>0.46107104353394751</v>
      </c>
      <c r="O78">
        <f t="shared" ca="1" si="70"/>
        <v>-1.9278496859280676</v>
      </c>
      <c r="P78">
        <f t="shared" ca="1" si="71"/>
        <v>0.75126094586481462</v>
      </c>
      <c r="Q78">
        <f t="shared" ca="1" si="71"/>
        <v>-1.2487854099863638</v>
      </c>
      <c r="R78">
        <f t="shared" ca="1" si="71"/>
        <v>-0.51992213436628532</v>
      </c>
      <c r="S78">
        <f t="shared" ca="1" si="71"/>
        <v>-0.28828048563263581</v>
      </c>
      <c r="T78">
        <f t="shared" ca="1" si="71"/>
        <v>-1.2739583700187356</v>
      </c>
      <c r="U78">
        <f t="shared" ca="1" si="71"/>
        <v>-1.0445638416113021</v>
      </c>
      <c r="V78">
        <f t="shared" ca="1" si="71"/>
        <v>-0.27993752925572912</v>
      </c>
      <c r="W78">
        <f t="shared" ca="1" si="71"/>
        <v>-4.1007127996895631</v>
      </c>
      <c r="X78">
        <f t="shared" ca="1" si="71"/>
        <v>0.82080313172405339</v>
      </c>
      <c r="Y78">
        <f t="shared" ca="1" si="71"/>
        <v>-0.57564334904636161</v>
      </c>
      <c r="Z78">
        <f t="shared" ca="1" si="72"/>
        <v>-2.0483622673231672</v>
      </c>
      <c r="AA78">
        <f t="shared" ca="1" si="72"/>
        <v>0.21466018451513449</v>
      </c>
      <c r="AB78">
        <f t="shared" ca="1" si="72"/>
        <v>0.59348322730364345</v>
      </c>
      <c r="AC78">
        <f t="shared" ca="1" si="72"/>
        <v>0.39145459107925629</v>
      </c>
      <c r="AD78">
        <f t="shared" ca="1" si="72"/>
        <v>0.24658294080150864</v>
      </c>
      <c r="AE78">
        <f t="shared" ca="1" si="72"/>
        <v>7.1318335674625769E-2</v>
      </c>
      <c r="AF78">
        <f t="shared" ca="1" si="72"/>
        <v>-0.28999754838975578</v>
      </c>
      <c r="AG78">
        <f t="shared" ca="1" si="72"/>
        <v>-0.67283148093040346</v>
      </c>
      <c r="AH78">
        <f t="shared" ca="1" si="72"/>
        <v>2.328263078296922</v>
      </c>
      <c r="AI78">
        <f t="shared" ca="1" si="72"/>
        <v>0.32119050398986598</v>
      </c>
      <c r="AJ78">
        <f t="shared" ca="1" si="73"/>
        <v>0.82080731210265201</v>
      </c>
      <c r="AK78">
        <f t="shared" ca="1" si="73"/>
        <v>-0.2725451790104762</v>
      </c>
      <c r="AL78">
        <f t="shared" ca="1" si="73"/>
        <v>0.47977771731026964</v>
      </c>
      <c r="AM78">
        <f t="shared" ca="1" si="73"/>
        <v>1.122205770173434</v>
      </c>
      <c r="AN78">
        <f t="shared" ca="1" si="73"/>
        <v>-0.41355012965860405</v>
      </c>
      <c r="AO78">
        <f t="shared" ca="1" si="73"/>
        <v>-1.3578329558897964</v>
      </c>
      <c r="AP78">
        <f t="shared" ca="1" si="73"/>
        <v>-0.57892591053101838</v>
      </c>
      <c r="AQ78">
        <f t="shared" ca="1" si="73"/>
        <v>0.30206694567744552</v>
      </c>
      <c r="AR78">
        <f t="shared" ca="1" si="73"/>
        <v>-0.29068423466332932</v>
      </c>
      <c r="AS78">
        <f t="shared" ca="1" si="73"/>
        <v>0.89597576463321615</v>
      </c>
      <c r="AT78">
        <f t="shared" ca="1" si="74"/>
        <v>1.2879207666150203</v>
      </c>
      <c r="AU78">
        <f t="shared" ca="1" si="74"/>
        <v>-0.88288096878690681</v>
      </c>
      <c r="AV78">
        <f t="shared" ca="1" si="74"/>
        <v>0.30810197665349914</v>
      </c>
      <c r="AW78">
        <f t="shared" ca="1" si="74"/>
        <v>0.19626198791517316</v>
      </c>
      <c r="AX78">
        <f t="shared" ca="1" si="74"/>
        <v>2.0933001804440012</v>
      </c>
      <c r="AY78">
        <f t="shared" ca="1" si="74"/>
        <v>-0.20098735351628078</v>
      </c>
      <c r="AZ78">
        <f t="shared" ca="1" si="74"/>
        <v>-2.5529824279195843</v>
      </c>
      <c r="BA78">
        <f t="shared" ca="1" si="74"/>
        <v>-1.6713626404586361</v>
      </c>
      <c r="BB78">
        <f t="shared" ca="1" si="74"/>
        <v>6.8850124482007433E-2</v>
      </c>
      <c r="BC78">
        <f t="shared" ca="1" si="74"/>
        <v>2.2067912073083988</v>
      </c>
      <c r="BD78">
        <f t="shared" ca="1" si="75"/>
        <v>0.63016517513689663</v>
      </c>
      <c r="BE78">
        <f t="shared" ca="1" si="75"/>
        <v>-1.1609627298980956</v>
      </c>
      <c r="BF78">
        <f t="shared" ca="1" si="75"/>
        <v>-0.89100371450758442</v>
      </c>
      <c r="BG78">
        <f t="shared" ca="1" si="75"/>
        <v>-1.1244140205394664</v>
      </c>
      <c r="BH78">
        <f t="shared" ca="1" si="75"/>
        <v>-1.3670581832177571</v>
      </c>
      <c r="BI78">
        <f t="shared" ca="1" si="75"/>
        <v>0.48032685573649686</v>
      </c>
      <c r="BJ78">
        <f t="shared" ca="1" si="75"/>
        <v>-0.7462030545539281</v>
      </c>
      <c r="BK78">
        <f t="shared" ca="1" si="75"/>
        <v>0.99594012276014021</v>
      </c>
      <c r="BL78">
        <f t="shared" ca="1" si="75"/>
        <v>0.1558991187226422</v>
      </c>
      <c r="BM78">
        <f t="shared" ca="1" si="75"/>
        <v>0.18725351332110041</v>
      </c>
      <c r="BN78">
        <f t="shared" ca="1" si="76"/>
        <v>-1.6849228278180188</v>
      </c>
      <c r="BO78">
        <f t="shared" ca="1" si="76"/>
        <v>-0.96436921513917473</v>
      </c>
      <c r="BP78">
        <f t="shared" ca="1" si="76"/>
        <v>0.40538669061950355</v>
      </c>
      <c r="BQ78">
        <f t="shared" ca="1" si="76"/>
        <v>1.2186843345381773</v>
      </c>
      <c r="BR78">
        <f t="shared" ca="1" si="76"/>
        <v>1.2924653200226572</v>
      </c>
      <c r="BS78">
        <f t="shared" ca="1" si="76"/>
        <v>1.0140284871247507</v>
      </c>
      <c r="BT78">
        <f t="shared" ca="1" si="76"/>
        <v>1.4052791930539339</v>
      </c>
      <c r="BU78">
        <f t="shared" ca="1" si="76"/>
        <v>1.3125858885206996</v>
      </c>
      <c r="BV78">
        <f t="shared" ca="1" si="76"/>
        <v>-0.93184729221437934</v>
      </c>
      <c r="BW78">
        <f t="shared" ca="1" si="76"/>
        <v>-2.4591762629896983</v>
      </c>
      <c r="BX78">
        <f t="shared" ca="1" si="77"/>
        <v>0.42428722964219917</v>
      </c>
      <c r="BY78">
        <f t="shared" ca="1" si="77"/>
        <v>-9.4399734629966633E-2</v>
      </c>
      <c r="BZ78">
        <f t="shared" ca="1" si="77"/>
        <v>1.3386846156524921</v>
      </c>
      <c r="CA78">
        <f t="shared" ca="1" si="77"/>
        <v>0.42571815865461837</v>
      </c>
      <c r="CB78">
        <f t="shared" ca="1" si="77"/>
        <v>-0.49758404630151126</v>
      </c>
      <c r="CC78">
        <f t="shared" ca="1" si="77"/>
        <v>3.3853891361608004E-2</v>
      </c>
      <c r="CD78">
        <f t="shared" ca="1" si="77"/>
        <v>0.38257113894830092</v>
      </c>
      <c r="CE78">
        <f t="shared" ca="1" si="77"/>
        <v>0.9532950529180918</v>
      </c>
      <c r="CF78">
        <f t="shared" ca="1" si="77"/>
        <v>-0.32099197131346829</v>
      </c>
      <c r="CG78">
        <f t="shared" ca="1" si="77"/>
        <v>6.1720514244346089E-2</v>
      </c>
      <c r="CH78">
        <f t="shared" ca="1" si="78"/>
        <v>0.41051383926546808</v>
      </c>
      <c r="CI78">
        <f t="shared" ca="1" si="78"/>
        <v>-1.0893656423989333</v>
      </c>
      <c r="CJ78">
        <f t="shared" ca="1" si="78"/>
        <v>0.26388404189440501</v>
      </c>
      <c r="CK78">
        <f t="shared" ca="1" si="78"/>
        <v>1.5629544730866731</v>
      </c>
      <c r="CL78">
        <f t="shared" ca="1" si="78"/>
        <v>-1.3202105087352858</v>
      </c>
      <c r="CM78">
        <f t="shared" ca="1" si="78"/>
        <v>-0.72639903833234132</v>
      </c>
      <c r="CN78">
        <f t="shared" ca="1" si="78"/>
        <v>-0.1613693282922545</v>
      </c>
      <c r="CO78">
        <f t="shared" ca="1" si="78"/>
        <v>1.7079549701581327</v>
      </c>
      <c r="CP78">
        <f t="shared" ca="1" si="78"/>
        <v>-0.65536283484447411</v>
      </c>
      <c r="CQ78">
        <f t="shared" ca="1" si="78"/>
        <v>0.59034779320090203</v>
      </c>
      <c r="CR78">
        <f t="shared" ca="1" si="79"/>
        <v>0.13922465232932021</v>
      </c>
      <c r="CS78">
        <f t="shared" ca="1" si="79"/>
        <v>0.63961461690733401</v>
      </c>
      <c r="CT78">
        <f t="shared" ca="1" si="79"/>
        <v>-0.83430905016513035</v>
      </c>
      <c r="CU78">
        <f t="shared" ca="1" si="79"/>
        <v>2.3100303782144236</v>
      </c>
      <c r="CV78">
        <f t="shared" ca="1" si="79"/>
        <v>1.8354124559589409</v>
      </c>
      <c r="CW78">
        <f t="shared" ca="1" si="79"/>
        <v>0.36537219194784121</v>
      </c>
      <c r="CX78">
        <f t="shared" ca="1" si="79"/>
        <v>-2.6391311961851561E-3</v>
      </c>
      <c r="CY78">
        <f t="shared" ca="1" si="79"/>
        <v>-8.2788079961762087E-2</v>
      </c>
      <c r="CZ78">
        <f t="shared" ca="1" si="79"/>
        <v>-1.4940015456745841</v>
      </c>
      <c r="DA78">
        <f t="shared" ca="1" si="79"/>
        <v>0.92377222829989836</v>
      </c>
    </row>
    <row r="79" spans="5:105" x14ac:dyDescent="0.25">
      <c r="E79">
        <f>S_plus!L79</f>
        <v>0.77000000000000046</v>
      </c>
      <c r="F79">
        <f t="shared" ca="1" si="70"/>
        <v>-0.62871156462647182</v>
      </c>
      <c r="G79">
        <f t="shared" ca="1" si="70"/>
        <v>-0.68453278500531767</v>
      </c>
      <c r="H79">
        <f t="shared" ca="1" si="70"/>
        <v>-0.37566230632044134</v>
      </c>
      <c r="I79">
        <f t="shared" ca="1" si="70"/>
        <v>0.27488375760353617</v>
      </c>
      <c r="J79">
        <f t="shared" ca="1" si="70"/>
        <v>1.049402019672081</v>
      </c>
      <c r="K79">
        <f t="shared" ca="1" si="70"/>
        <v>0.74306095185843157</v>
      </c>
      <c r="L79">
        <f t="shared" ca="1" si="70"/>
        <v>0.56669742547796564</v>
      </c>
      <c r="M79">
        <f t="shared" ca="1" si="70"/>
        <v>-0.40413028529064604</v>
      </c>
      <c r="N79">
        <f t="shared" ca="1" si="70"/>
        <v>0.63429950836647242</v>
      </c>
      <c r="O79">
        <f t="shared" ca="1" si="70"/>
        <v>0.39369394594100471</v>
      </c>
      <c r="P79">
        <f t="shared" ca="1" si="71"/>
        <v>-0.9739888330009645</v>
      </c>
      <c r="Q79">
        <f t="shared" ca="1" si="71"/>
        <v>0.56963125697646477</v>
      </c>
      <c r="R79">
        <f t="shared" ca="1" si="71"/>
        <v>-1.0693440372529486</v>
      </c>
      <c r="S79">
        <f t="shared" ca="1" si="71"/>
        <v>-0.81418334900798484</v>
      </c>
      <c r="T79">
        <f t="shared" ca="1" si="71"/>
        <v>-0.52195265274238611</v>
      </c>
      <c r="U79">
        <f t="shared" ca="1" si="71"/>
        <v>0.50888609319564582</v>
      </c>
      <c r="V79">
        <f t="shared" ca="1" si="71"/>
        <v>0.78628771002339404</v>
      </c>
      <c r="W79">
        <f t="shared" ca="1" si="71"/>
        <v>-0.88432947667352324</v>
      </c>
      <c r="X79">
        <f t="shared" ca="1" si="71"/>
        <v>0.2639935859415658</v>
      </c>
      <c r="Y79">
        <f t="shared" ca="1" si="71"/>
        <v>0.7590777291480777</v>
      </c>
      <c r="Z79">
        <f t="shared" ca="1" si="72"/>
        <v>9.4029776870148643E-2</v>
      </c>
      <c r="AA79">
        <f t="shared" ca="1" si="72"/>
        <v>0.77231184906149808</v>
      </c>
      <c r="AB79">
        <f t="shared" ca="1" si="72"/>
        <v>4.6523269082450407E-2</v>
      </c>
      <c r="AC79">
        <f t="shared" ca="1" si="72"/>
        <v>-0.42587410981559803</v>
      </c>
      <c r="AD79">
        <f t="shared" ca="1" si="72"/>
        <v>0.18143431191221837</v>
      </c>
      <c r="AE79">
        <f t="shared" ca="1" si="72"/>
        <v>0.65838420975341994</v>
      </c>
      <c r="AF79">
        <f t="shared" ca="1" si="72"/>
        <v>-1.7312159727013137</v>
      </c>
      <c r="AG79">
        <f t="shared" ca="1" si="72"/>
        <v>1.3602554066110568</v>
      </c>
      <c r="AH79">
        <f t="shared" ca="1" si="72"/>
        <v>-0.90327297825693964</v>
      </c>
      <c r="AI79">
        <f t="shared" ca="1" si="72"/>
        <v>1.7669498083274764E-2</v>
      </c>
      <c r="AJ79">
        <f t="shared" ca="1" si="73"/>
        <v>0.68222090281263303</v>
      </c>
      <c r="AK79">
        <f t="shared" ca="1" si="73"/>
        <v>-1.2085925254547631</v>
      </c>
      <c r="AL79">
        <f t="shared" ca="1" si="73"/>
        <v>0.62004871610817114</v>
      </c>
      <c r="AM79">
        <f t="shared" ca="1" si="73"/>
        <v>2.4357496118589759</v>
      </c>
      <c r="AN79">
        <f t="shared" ca="1" si="73"/>
        <v>0.43473589826194631</v>
      </c>
      <c r="AO79">
        <f t="shared" ca="1" si="73"/>
        <v>-1.4769716226091294</v>
      </c>
      <c r="AP79">
        <f t="shared" ca="1" si="73"/>
        <v>-0.62769409714091384</v>
      </c>
      <c r="AQ79">
        <f t="shared" ca="1" si="73"/>
        <v>0.8517755258370372</v>
      </c>
      <c r="AR79">
        <f t="shared" ca="1" si="73"/>
        <v>-0.28830294190876743</v>
      </c>
      <c r="AS79">
        <f t="shared" ca="1" si="73"/>
        <v>-1.0041169336526461</v>
      </c>
      <c r="AT79">
        <f t="shared" ca="1" si="74"/>
        <v>0.28801061781106568</v>
      </c>
      <c r="AU79">
        <f t="shared" ca="1" si="74"/>
        <v>-0.83250371971053738</v>
      </c>
      <c r="AV79">
        <f t="shared" ca="1" si="74"/>
        <v>6.7394510678743899E-2</v>
      </c>
      <c r="AW79">
        <f t="shared" ca="1" si="74"/>
        <v>-1.0443037400363937</v>
      </c>
      <c r="AX79">
        <f t="shared" ca="1" si="74"/>
        <v>-1.2101011744063666</v>
      </c>
      <c r="AY79">
        <f t="shared" ca="1" si="74"/>
        <v>1.6654929881076974</v>
      </c>
      <c r="AZ79">
        <f t="shared" ca="1" si="74"/>
        <v>-0.12947199152878211</v>
      </c>
      <c r="BA79">
        <f t="shared" ca="1" si="74"/>
        <v>-0.519042615909167</v>
      </c>
      <c r="BB79">
        <f t="shared" ca="1" si="74"/>
        <v>0.76858288114666273</v>
      </c>
      <c r="BC79">
        <f t="shared" ca="1" si="74"/>
        <v>-1.0821663581611971</v>
      </c>
      <c r="BD79">
        <f t="shared" ca="1" si="75"/>
        <v>0.79739052641625519</v>
      </c>
      <c r="BE79">
        <f t="shared" ca="1" si="75"/>
        <v>2.9378997650024767</v>
      </c>
      <c r="BF79">
        <f t="shared" ca="1" si="75"/>
        <v>0.57959636032994255</v>
      </c>
      <c r="BG79">
        <f t="shared" ca="1" si="75"/>
        <v>-1.5103253967893071</v>
      </c>
      <c r="BH79">
        <f t="shared" ca="1" si="75"/>
        <v>-1.3893144858444195</v>
      </c>
      <c r="BI79">
        <f t="shared" ca="1" si="75"/>
        <v>0.85672464683250527</v>
      </c>
      <c r="BJ79">
        <f t="shared" ca="1" si="75"/>
        <v>0.62834556240555572</v>
      </c>
      <c r="BK79">
        <f t="shared" ca="1" si="75"/>
        <v>0.43669087426584324</v>
      </c>
      <c r="BL79">
        <f t="shared" ca="1" si="75"/>
        <v>-1.0248154395798441</v>
      </c>
      <c r="BM79">
        <f t="shared" ca="1" si="75"/>
        <v>-0.39770866842989827</v>
      </c>
      <c r="BN79">
        <f t="shared" ca="1" si="76"/>
        <v>0.12140169604729825</v>
      </c>
      <c r="BO79">
        <f t="shared" ca="1" si="76"/>
        <v>-0.55190021737923467</v>
      </c>
      <c r="BP79">
        <f t="shared" ca="1" si="76"/>
        <v>0.25100080545934078</v>
      </c>
      <c r="BQ79">
        <f t="shared" ca="1" si="76"/>
        <v>-2.2468383157254439</v>
      </c>
      <c r="BR79">
        <f t="shared" ca="1" si="76"/>
        <v>-0.7136998630238941</v>
      </c>
      <c r="BS79">
        <f t="shared" ca="1" si="76"/>
        <v>-0.86679153554204513</v>
      </c>
      <c r="BT79">
        <f t="shared" ca="1" si="76"/>
        <v>-0.85824009826600323</v>
      </c>
      <c r="BU79">
        <f t="shared" ca="1" si="76"/>
        <v>-1.1518647039759315</v>
      </c>
      <c r="BV79">
        <f t="shared" ca="1" si="76"/>
        <v>-0.67554042667882608</v>
      </c>
      <c r="BW79">
        <f t="shared" ca="1" si="76"/>
        <v>-0.76855503815785686</v>
      </c>
      <c r="BX79">
        <f t="shared" ca="1" si="77"/>
        <v>-1.3394996463389368</v>
      </c>
      <c r="BY79">
        <f t="shared" ca="1" si="77"/>
        <v>-0.71477900318454302</v>
      </c>
      <c r="BZ79">
        <f t="shared" ca="1" si="77"/>
        <v>-1.21065524102391</v>
      </c>
      <c r="CA79">
        <f t="shared" ca="1" si="77"/>
        <v>-0.55132641275023664</v>
      </c>
      <c r="CB79">
        <f t="shared" ca="1" si="77"/>
        <v>0.71799513985077523</v>
      </c>
      <c r="CC79">
        <f t="shared" ca="1" si="77"/>
        <v>2.1483251205134679</v>
      </c>
      <c r="CD79">
        <f t="shared" ca="1" si="77"/>
        <v>0.50677619074886959</v>
      </c>
      <c r="CE79">
        <f t="shared" ca="1" si="77"/>
        <v>0.34811071575661068</v>
      </c>
      <c r="CF79">
        <f t="shared" ca="1" si="77"/>
        <v>-0.39986645344827332</v>
      </c>
      <c r="CG79">
        <f t="shared" ca="1" si="77"/>
        <v>0.62096541080503909</v>
      </c>
      <c r="CH79">
        <f t="shared" ca="1" si="78"/>
        <v>-1.031918353194812</v>
      </c>
      <c r="CI79">
        <f t="shared" ca="1" si="78"/>
        <v>1.157759622558872</v>
      </c>
      <c r="CJ79">
        <f t="shared" ca="1" si="78"/>
        <v>-0.70977373780833863</v>
      </c>
      <c r="CK79">
        <f t="shared" ca="1" si="78"/>
        <v>1.0828042397872779</v>
      </c>
      <c r="CL79">
        <f t="shared" ca="1" si="78"/>
        <v>-0.13116922972235581</v>
      </c>
      <c r="CM79">
        <f t="shared" ca="1" si="78"/>
        <v>-0.68936449051179216</v>
      </c>
      <c r="CN79">
        <f t="shared" ca="1" si="78"/>
        <v>0.68609734749576978</v>
      </c>
      <c r="CO79">
        <f t="shared" ca="1" si="78"/>
        <v>-0.92828269131419139</v>
      </c>
      <c r="CP79">
        <f t="shared" ca="1" si="78"/>
        <v>0.51280197253335935</v>
      </c>
      <c r="CQ79">
        <f t="shared" ca="1" si="78"/>
        <v>0.57936808600211065</v>
      </c>
      <c r="CR79">
        <f t="shared" ca="1" si="79"/>
        <v>-0.98975699866778466</v>
      </c>
      <c r="CS79">
        <f t="shared" ca="1" si="79"/>
        <v>-1.0811695435346653</v>
      </c>
      <c r="CT79">
        <f t="shared" ca="1" si="79"/>
        <v>-0.95887766872366498</v>
      </c>
      <c r="CU79">
        <f t="shared" ca="1" si="79"/>
        <v>8.4771547878865761E-3</v>
      </c>
      <c r="CV79">
        <f t="shared" ca="1" si="79"/>
        <v>-1.6593166706960864E-2</v>
      </c>
      <c r="CW79">
        <f t="shared" ca="1" si="79"/>
        <v>0.10666895266666074</v>
      </c>
      <c r="CX79">
        <f t="shared" ca="1" si="79"/>
        <v>0.58248701201941866</v>
      </c>
      <c r="CY79">
        <f t="shared" ca="1" si="79"/>
        <v>-1.6849761033358113</v>
      </c>
      <c r="CZ79">
        <f t="shared" ca="1" si="79"/>
        <v>-1.3421138773059658</v>
      </c>
      <c r="DA79">
        <f t="shared" ca="1" si="79"/>
        <v>-0.1621614185359172</v>
      </c>
    </row>
    <row r="80" spans="5:105" x14ac:dyDescent="0.25">
      <c r="E80">
        <f>S_plus!L80</f>
        <v>0.78000000000000047</v>
      </c>
      <c r="F80">
        <f t="shared" ca="1" si="70"/>
        <v>-1.7341640257660094</v>
      </c>
      <c r="G80">
        <f t="shared" ca="1" si="70"/>
        <v>-2.1994437272814618</v>
      </c>
      <c r="H80">
        <f t="shared" ca="1" si="70"/>
        <v>0.92788394608317404</v>
      </c>
      <c r="I80">
        <f t="shared" ca="1" si="70"/>
        <v>-1.5179113085106712</v>
      </c>
      <c r="J80">
        <f t="shared" ca="1" si="70"/>
        <v>0.40213888798463365</v>
      </c>
      <c r="K80">
        <f t="shared" ca="1" si="70"/>
        <v>0.75223047512096242</v>
      </c>
      <c r="L80">
        <f t="shared" ca="1" si="70"/>
        <v>1.2428039155257484</v>
      </c>
      <c r="M80">
        <f t="shared" ca="1" si="70"/>
        <v>-0.92508842671025704</v>
      </c>
      <c r="N80">
        <f t="shared" ca="1" si="70"/>
        <v>0.70694659484136269</v>
      </c>
      <c r="O80">
        <f t="shared" ca="1" si="70"/>
        <v>-0.94826681146257796</v>
      </c>
      <c r="P80">
        <f t="shared" ca="1" si="71"/>
        <v>-0.81580546485514227</v>
      </c>
      <c r="Q80">
        <f t="shared" ca="1" si="71"/>
        <v>2.5957618935058206E-2</v>
      </c>
      <c r="R80">
        <f t="shared" ca="1" si="71"/>
        <v>-0.75881634196966485</v>
      </c>
      <c r="S80">
        <f t="shared" ca="1" si="71"/>
        <v>-0.19603673343161665</v>
      </c>
      <c r="T80">
        <f t="shared" ca="1" si="71"/>
        <v>1.3997655426257356</v>
      </c>
      <c r="U80">
        <f t="shared" ca="1" si="71"/>
        <v>1.8892741441361107</v>
      </c>
      <c r="V80">
        <f t="shared" ca="1" si="71"/>
        <v>-1.7501805462169309</v>
      </c>
      <c r="W80">
        <f t="shared" ca="1" si="71"/>
        <v>0.9267345060521025</v>
      </c>
      <c r="X80">
        <f t="shared" ca="1" si="71"/>
        <v>0.50658064364072697</v>
      </c>
      <c r="Y80">
        <f t="shared" ca="1" si="71"/>
        <v>-0.42892804722359273</v>
      </c>
      <c r="Z80">
        <f t="shared" ca="1" si="72"/>
        <v>-0.823865048173957</v>
      </c>
      <c r="AA80">
        <f t="shared" ca="1" si="72"/>
        <v>0.44175801201904175</v>
      </c>
      <c r="AB80">
        <f t="shared" ca="1" si="72"/>
        <v>0.42991911826000745</v>
      </c>
      <c r="AC80">
        <f t="shared" ca="1" si="72"/>
        <v>-6.5078030965938463E-2</v>
      </c>
      <c r="AD80">
        <f t="shared" ca="1" si="72"/>
        <v>0.766303647451132</v>
      </c>
      <c r="AE80">
        <f t="shared" ca="1" si="72"/>
        <v>2.2525447389418036</v>
      </c>
      <c r="AF80">
        <f t="shared" ca="1" si="72"/>
        <v>1.2681941881491614</v>
      </c>
      <c r="AG80">
        <f t="shared" ca="1" si="72"/>
        <v>-0.51764189469581035</v>
      </c>
      <c r="AH80">
        <f t="shared" ca="1" si="72"/>
        <v>-2.2495968723549105</v>
      </c>
      <c r="AI80">
        <f t="shared" ca="1" si="72"/>
        <v>0.92702787422863975</v>
      </c>
      <c r="AJ80">
        <f t="shared" ca="1" si="73"/>
        <v>1.1473553447174107</v>
      </c>
      <c r="AK80">
        <f t="shared" ca="1" si="73"/>
        <v>0.42079044091118994</v>
      </c>
      <c r="AL80">
        <f t="shared" ca="1" si="73"/>
        <v>0.97878697953551386</v>
      </c>
      <c r="AM80">
        <f t="shared" ca="1" si="73"/>
        <v>9.4637730804305167E-2</v>
      </c>
      <c r="AN80">
        <f t="shared" ca="1" si="73"/>
        <v>0.12425148954510225</v>
      </c>
      <c r="AO80">
        <f t="shared" ca="1" si="73"/>
        <v>-1.2416576613955881</v>
      </c>
      <c r="AP80">
        <f t="shared" ca="1" si="73"/>
        <v>-1.562380229872826</v>
      </c>
      <c r="AQ80">
        <f t="shared" ca="1" si="73"/>
        <v>-0.49892512592603727</v>
      </c>
      <c r="AR80">
        <f t="shared" ca="1" si="73"/>
        <v>-0.35921707249060031</v>
      </c>
      <c r="AS80">
        <f t="shared" ca="1" si="73"/>
        <v>-0.54016715987265251</v>
      </c>
      <c r="AT80">
        <f t="shared" ca="1" si="74"/>
        <v>2.6897086507136292</v>
      </c>
      <c r="AU80">
        <f t="shared" ca="1" si="74"/>
        <v>-0.1445055337812173</v>
      </c>
      <c r="AV80">
        <f t="shared" ca="1" si="74"/>
        <v>0.80328428715777089</v>
      </c>
      <c r="AW80">
        <f t="shared" ca="1" si="74"/>
        <v>-0.55522572890413457</v>
      </c>
      <c r="AX80">
        <f t="shared" ca="1" si="74"/>
        <v>0.32806466426416159</v>
      </c>
      <c r="AY80">
        <f t="shared" ca="1" si="74"/>
        <v>-0.12916047880597242</v>
      </c>
      <c r="AZ80">
        <f t="shared" ca="1" si="74"/>
        <v>-0.7361547890025637</v>
      </c>
      <c r="BA80">
        <f t="shared" ca="1" si="74"/>
        <v>0.80107087213209072</v>
      </c>
      <c r="BB80">
        <f t="shared" ca="1" si="74"/>
        <v>-0.667284543428455</v>
      </c>
      <c r="BC80">
        <f t="shared" ca="1" si="74"/>
        <v>2.530733559373807</v>
      </c>
      <c r="BD80">
        <f t="shared" ca="1" si="75"/>
        <v>-0.3263308852276412</v>
      </c>
      <c r="BE80">
        <f t="shared" ca="1" si="75"/>
        <v>0.82329166369346174</v>
      </c>
      <c r="BF80">
        <f t="shared" ca="1" si="75"/>
        <v>0.55762455077536244</v>
      </c>
      <c r="BG80">
        <f t="shared" ca="1" si="75"/>
        <v>1.0520882985683055</v>
      </c>
      <c r="BH80">
        <f t="shared" ca="1" si="75"/>
        <v>0.95042461481581386</v>
      </c>
      <c r="BI80">
        <f t="shared" ca="1" si="75"/>
        <v>1.8455584498035909</v>
      </c>
      <c r="BJ80">
        <f t="shared" ca="1" si="75"/>
        <v>-1.2626069659005459</v>
      </c>
      <c r="BK80">
        <f t="shared" ca="1" si="75"/>
        <v>7.8014693365078547E-2</v>
      </c>
      <c r="BL80">
        <f t="shared" ca="1" si="75"/>
        <v>-0.53294464080892157</v>
      </c>
      <c r="BM80">
        <f t="shared" ca="1" si="75"/>
        <v>1.1306792956455272</v>
      </c>
      <c r="BN80">
        <f t="shared" ca="1" si="76"/>
        <v>0.85883128035143697</v>
      </c>
      <c r="BO80">
        <f t="shared" ca="1" si="76"/>
        <v>0.82719143318456734</v>
      </c>
      <c r="BP80">
        <f t="shared" ca="1" si="76"/>
        <v>-0.17661928477918656</v>
      </c>
      <c r="BQ80">
        <f t="shared" ca="1" si="76"/>
        <v>0.13449995502642628</v>
      </c>
      <c r="BR80">
        <f t="shared" ca="1" si="76"/>
        <v>-4.9483017574984495E-2</v>
      </c>
      <c r="BS80">
        <f t="shared" ca="1" si="76"/>
        <v>1.4283151366285354</v>
      </c>
      <c r="BT80">
        <f t="shared" ca="1" si="76"/>
        <v>-0.1385445225220461</v>
      </c>
      <c r="BU80">
        <f t="shared" ca="1" si="76"/>
        <v>-0.17931482511095873</v>
      </c>
      <c r="BV80">
        <f t="shared" ca="1" si="76"/>
        <v>0.26807491680293727</v>
      </c>
      <c r="BW80">
        <f t="shared" ca="1" si="76"/>
        <v>2.1662105185300269</v>
      </c>
      <c r="BX80">
        <f t="shared" ca="1" si="77"/>
        <v>0.74408512190009557</v>
      </c>
      <c r="BY80">
        <f t="shared" ca="1" si="77"/>
        <v>0.63827120105736257</v>
      </c>
      <c r="BZ80">
        <f t="shared" ca="1" si="77"/>
        <v>-0.44675428527096944</v>
      </c>
      <c r="CA80">
        <f t="shared" ca="1" si="77"/>
        <v>-2.5840711176285978</v>
      </c>
      <c r="CB80">
        <f t="shared" ca="1" si="77"/>
        <v>-1.6085301428871612E-2</v>
      </c>
      <c r="CC80">
        <f t="shared" ca="1" si="77"/>
        <v>0.21565402662136096</v>
      </c>
      <c r="CD80">
        <f t="shared" ca="1" si="77"/>
        <v>-0.94975929215281596</v>
      </c>
      <c r="CE80">
        <f t="shared" ca="1" si="77"/>
        <v>0.86607519926224341</v>
      </c>
      <c r="CF80">
        <f t="shared" ca="1" si="77"/>
        <v>0.80585141295737794</v>
      </c>
      <c r="CG80">
        <f t="shared" ca="1" si="77"/>
        <v>0.89424049820897988</v>
      </c>
      <c r="CH80">
        <f t="shared" ca="1" si="78"/>
        <v>0.21420904205747943</v>
      </c>
      <c r="CI80">
        <f t="shared" ca="1" si="78"/>
        <v>-1.5433639595520314</v>
      </c>
      <c r="CJ80">
        <f t="shared" ca="1" si="78"/>
        <v>-8.6105760758329569E-2</v>
      </c>
      <c r="CK80">
        <f t="shared" ca="1" si="78"/>
        <v>1.0721567676444892</v>
      </c>
      <c r="CL80">
        <f t="shared" ca="1" si="78"/>
        <v>1.6670140092673416</v>
      </c>
      <c r="CM80">
        <f t="shared" ca="1" si="78"/>
        <v>1.1918221591420692</v>
      </c>
      <c r="CN80">
        <f t="shared" ca="1" si="78"/>
        <v>-0.12158438678780509</v>
      </c>
      <c r="CO80">
        <f t="shared" ca="1" si="78"/>
        <v>0.62560417054130191</v>
      </c>
      <c r="CP80">
        <f t="shared" ca="1" si="78"/>
        <v>1.1324505470017163</v>
      </c>
      <c r="CQ80">
        <f t="shared" ca="1" si="78"/>
        <v>1.456460885546548</v>
      </c>
      <c r="CR80">
        <f t="shared" ca="1" si="79"/>
        <v>0.31508115977666551</v>
      </c>
      <c r="CS80">
        <f t="shared" ca="1" si="79"/>
        <v>0.56452457944682177</v>
      </c>
      <c r="CT80">
        <f t="shared" ca="1" si="79"/>
        <v>0.52045075884168912</v>
      </c>
      <c r="CU80">
        <f t="shared" ca="1" si="79"/>
        <v>-0.68066707147897065</v>
      </c>
      <c r="CV80">
        <f t="shared" ca="1" si="79"/>
        <v>-0.89741041555615997</v>
      </c>
      <c r="CW80">
        <f t="shared" ca="1" si="79"/>
        <v>1.3226218557024172</v>
      </c>
      <c r="CX80">
        <f t="shared" ca="1" si="79"/>
        <v>-1.3088654698137254</v>
      </c>
      <c r="CY80">
        <f t="shared" ca="1" si="79"/>
        <v>-0.88599134438774463</v>
      </c>
      <c r="CZ80">
        <f t="shared" ca="1" si="79"/>
        <v>-2.8440907407008619E-2</v>
      </c>
      <c r="DA80">
        <f t="shared" ca="1" si="79"/>
        <v>-0.72521924455302922</v>
      </c>
    </row>
    <row r="81" spans="5:105" x14ac:dyDescent="0.25">
      <c r="E81">
        <f>S_plus!L81</f>
        <v>0.79000000000000048</v>
      </c>
      <c r="F81">
        <f t="shared" ca="1" si="70"/>
        <v>-2.0293413502570772</v>
      </c>
      <c r="G81">
        <f t="shared" ca="1" si="70"/>
        <v>-0.10572271567049389</v>
      </c>
      <c r="H81">
        <f t="shared" ca="1" si="70"/>
        <v>-0.53088017531288523</v>
      </c>
      <c r="I81">
        <f t="shared" ca="1" si="70"/>
        <v>0.12538443100587182</v>
      </c>
      <c r="J81">
        <f t="shared" ca="1" si="70"/>
        <v>-0.30349929585972668</v>
      </c>
      <c r="K81">
        <f t="shared" ca="1" si="70"/>
        <v>-4.094353550572024E-2</v>
      </c>
      <c r="L81">
        <f t="shared" ca="1" si="70"/>
        <v>-3.7144069862624821E-2</v>
      </c>
      <c r="M81">
        <f t="shared" ca="1" si="70"/>
        <v>0.85093214497607761</v>
      </c>
      <c r="N81">
        <f t="shared" ca="1" si="70"/>
        <v>1.1086133805040237</v>
      </c>
      <c r="O81">
        <f t="shared" ca="1" si="70"/>
        <v>-0.14791492461611971</v>
      </c>
      <c r="P81">
        <f t="shared" ca="1" si="71"/>
        <v>-3.1339510849120499E-3</v>
      </c>
      <c r="Q81">
        <f t="shared" ca="1" si="71"/>
        <v>-0.40271732538784261</v>
      </c>
      <c r="R81">
        <f t="shared" ca="1" si="71"/>
        <v>4.1198297950669288E-2</v>
      </c>
      <c r="S81">
        <f t="shared" ca="1" si="71"/>
        <v>0.18135789805250038</v>
      </c>
      <c r="T81">
        <f t="shared" ca="1" si="71"/>
        <v>1.3695347956121755</v>
      </c>
      <c r="U81">
        <f t="shared" ca="1" si="71"/>
        <v>0.28675447134257481</v>
      </c>
      <c r="V81">
        <f t="shared" ca="1" si="71"/>
        <v>-0.86440842455317157</v>
      </c>
      <c r="W81">
        <f t="shared" ca="1" si="71"/>
        <v>-2.9247278223152238</v>
      </c>
      <c r="X81">
        <f t="shared" ca="1" si="71"/>
        <v>1.2205024850403925</v>
      </c>
      <c r="Y81">
        <f t="shared" ca="1" si="71"/>
        <v>1.1821295526811182</v>
      </c>
      <c r="Z81">
        <f t="shared" ca="1" si="72"/>
        <v>0.91882626104488885</v>
      </c>
      <c r="AA81">
        <f t="shared" ca="1" si="72"/>
        <v>0.90589968114585095</v>
      </c>
      <c r="AB81">
        <f t="shared" ca="1" si="72"/>
        <v>0.41584937974247049</v>
      </c>
      <c r="AC81">
        <f t="shared" ca="1" si="72"/>
        <v>-0.17691024532595429</v>
      </c>
      <c r="AD81">
        <f t="shared" ca="1" si="72"/>
        <v>-0.68564156621105632</v>
      </c>
      <c r="AE81">
        <f t="shared" ca="1" si="72"/>
        <v>0.62652311900221302</v>
      </c>
      <c r="AF81">
        <f t="shared" ca="1" si="72"/>
        <v>-0.73057614117426561</v>
      </c>
      <c r="AG81">
        <f t="shared" ca="1" si="72"/>
        <v>-0.60840344195891061</v>
      </c>
      <c r="AH81">
        <f t="shared" ca="1" si="72"/>
        <v>-0.12858235784661218</v>
      </c>
      <c r="AI81">
        <f t="shared" ca="1" si="72"/>
        <v>0.52347787872903284</v>
      </c>
      <c r="AJ81">
        <f t="shared" ca="1" si="73"/>
        <v>2.002071066983854</v>
      </c>
      <c r="AK81">
        <f t="shared" ca="1" si="73"/>
        <v>0.97254018493778494</v>
      </c>
      <c r="AL81">
        <f t="shared" ca="1" si="73"/>
        <v>1.3799664650065373</v>
      </c>
      <c r="AM81">
        <f t="shared" ca="1" si="73"/>
        <v>0.4088249586710726</v>
      </c>
      <c r="AN81">
        <f t="shared" ca="1" si="73"/>
        <v>0.71584207392379673</v>
      </c>
      <c r="AO81">
        <f t="shared" ca="1" si="73"/>
        <v>0.32278549159053149</v>
      </c>
      <c r="AP81">
        <f t="shared" ca="1" si="73"/>
        <v>-0.22919619782766873</v>
      </c>
      <c r="AQ81">
        <f t="shared" ca="1" si="73"/>
        <v>1.3704229270385559</v>
      </c>
      <c r="AR81">
        <f t="shared" ca="1" si="73"/>
        <v>5.3459910324412663E-2</v>
      </c>
      <c r="AS81">
        <f t="shared" ca="1" si="73"/>
        <v>0.8749253211517235</v>
      </c>
      <c r="AT81">
        <f t="shared" ca="1" si="74"/>
        <v>-0.80704541665725427</v>
      </c>
      <c r="AU81">
        <f t="shared" ca="1" si="74"/>
        <v>-0.77349897045739435</v>
      </c>
      <c r="AV81">
        <f t="shared" ca="1" si="74"/>
        <v>-0.96325945717363004</v>
      </c>
      <c r="AW81">
        <f t="shared" ca="1" si="74"/>
        <v>0.3327829562993953</v>
      </c>
      <c r="AX81">
        <f t="shared" ca="1" si="74"/>
        <v>0.2421558937139425</v>
      </c>
      <c r="AY81">
        <f t="shared" ca="1" si="74"/>
        <v>0.62768623814679847</v>
      </c>
      <c r="AZ81">
        <f t="shared" ca="1" si="74"/>
        <v>0.26615372215919897</v>
      </c>
      <c r="BA81">
        <f t="shared" ca="1" si="74"/>
        <v>-1.744624417882811</v>
      </c>
      <c r="BB81">
        <f t="shared" ca="1" si="74"/>
        <v>0.26017410176036626</v>
      </c>
      <c r="BC81">
        <f t="shared" ca="1" si="74"/>
        <v>-1.2565399269004388E-2</v>
      </c>
      <c r="BD81">
        <f t="shared" ca="1" si="75"/>
        <v>-1.1388681108540624</v>
      </c>
      <c r="BE81">
        <f t="shared" ca="1" si="75"/>
        <v>-0.76482092236777233</v>
      </c>
      <c r="BF81">
        <f t="shared" ca="1" si="75"/>
        <v>-1.2549134279824086</v>
      </c>
      <c r="BG81">
        <f t="shared" ca="1" si="75"/>
        <v>-0.67669290672217064</v>
      </c>
      <c r="BH81">
        <f t="shared" ca="1" si="75"/>
        <v>-0.46278195251173027</v>
      </c>
      <c r="BI81">
        <f t="shared" ca="1" si="75"/>
        <v>0.12226218422930517</v>
      </c>
      <c r="BJ81">
        <f t="shared" ca="1" si="75"/>
        <v>0.53907615509592244</v>
      </c>
      <c r="BK81">
        <f t="shared" ca="1" si="75"/>
        <v>-0.99010649463585898</v>
      </c>
      <c r="BL81">
        <f t="shared" ca="1" si="75"/>
        <v>-1.4186546839248597</v>
      </c>
      <c r="BM81">
        <f t="shared" ca="1" si="75"/>
        <v>-0.17104384144289067</v>
      </c>
      <c r="BN81">
        <f t="shared" ca="1" si="76"/>
        <v>1.6178988159488876</v>
      </c>
      <c r="BO81">
        <f t="shared" ca="1" si="76"/>
        <v>0.68189989419390418</v>
      </c>
      <c r="BP81">
        <f t="shared" ca="1" si="76"/>
        <v>5.3653810817588465E-2</v>
      </c>
      <c r="BQ81">
        <f t="shared" ca="1" si="76"/>
        <v>0.54920857139906498</v>
      </c>
      <c r="BR81">
        <f t="shared" ca="1" si="76"/>
        <v>-0.76383940164038466</v>
      </c>
      <c r="BS81">
        <f t="shared" ca="1" si="76"/>
        <v>1.2979301588314378</v>
      </c>
      <c r="BT81">
        <f t="shared" ca="1" si="76"/>
        <v>0.16637574749860934</v>
      </c>
      <c r="BU81">
        <f t="shared" ca="1" si="76"/>
        <v>-0.26988406220437899</v>
      </c>
      <c r="BV81">
        <f t="shared" ca="1" si="76"/>
        <v>-2.0791153810302996</v>
      </c>
      <c r="BW81">
        <f t="shared" ca="1" si="76"/>
        <v>0.19532904671262846</v>
      </c>
      <c r="BX81">
        <f t="shared" ca="1" si="77"/>
        <v>-2.0851710076611982</v>
      </c>
      <c r="BY81">
        <f t="shared" ca="1" si="77"/>
        <v>0.85599796752758639</v>
      </c>
      <c r="BZ81">
        <f t="shared" ca="1" si="77"/>
        <v>0.27033550655334854</v>
      </c>
      <c r="CA81">
        <f t="shared" ca="1" si="77"/>
        <v>-0.96721693477297155</v>
      </c>
      <c r="CB81">
        <f t="shared" ca="1" si="77"/>
        <v>-1.075016280788013</v>
      </c>
      <c r="CC81">
        <f t="shared" ca="1" si="77"/>
        <v>-1.4695456767588175</v>
      </c>
      <c r="CD81">
        <f t="shared" ca="1" si="77"/>
        <v>0.32490039055536724</v>
      </c>
      <c r="CE81">
        <f t="shared" ca="1" si="77"/>
        <v>-0.43254386303038622</v>
      </c>
      <c r="CF81">
        <f t="shared" ca="1" si="77"/>
        <v>-0.82385960688262516</v>
      </c>
      <c r="CG81">
        <f t="shared" ca="1" si="77"/>
        <v>0.83036242224575296</v>
      </c>
      <c r="CH81">
        <f t="shared" ca="1" si="78"/>
        <v>-0.41169408718116163</v>
      </c>
      <c r="CI81">
        <f t="shared" ca="1" si="78"/>
        <v>1.5662972290188326</v>
      </c>
      <c r="CJ81">
        <f t="shared" ca="1" si="78"/>
        <v>-0.58217006816686445</v>
      </c>
      <c r="CK81">
        <f t="shared" ca="1" si="78"/>
        <v>-0.57284153780757041</v>
      </c>
      <c r="CL81">
        <f t="shared" ca="1" si="78"/>
        <v>-0.44201181737442496</v>
      </c>
      <c r="CM81">
        <f t="shared" ca="1" si="78"/>
        <v>-3.5071125215192289E-2</v>
      </c>
      <c r="CN81">
        <f t="shared" ca="1" si="78"/>
        <v>-0.55753345857072012</v>
      </c>
      <c r="CO81">
        <f t="shared" ca="1" si="78"/>
        <v>1.510579811170162E-2</v>
      </c>
      <c r="CP81">
        <f t="shared" ca="1" si="78"/>
        <v>-1.94473827720218</v>
      </c>
      <c r="CQ81">
        <f t="shared" ca="1" si="78"/>
        <v>1.0875500215994003</v>
      </c>
      <c r="CR81">
        <f t="shared" ca="1" si="79"/>
        <v>0.10134107932297225</v>
      </c>
      <c r="CS81">
        <f t="shared" ca="1" si="79"/>
        <v>-7.7359045288457426E-2</v>
      </c>
      <c r="CT81">
        <f t="shared" ca="1" si="79"/>
        <v>1.0672674636362189</v>
      </c>
      <c r="CU81">
        <f t="shared" ca="1" si="79"/>
        <v>-3.9921865195189532E-2</v>
      </c>
      <c r="CV81">
        <f t="shared" ca="1" si="79"/>
        <v>1.1978409675444639</v>
      </c>
      <c r="CW81">
        <f t="shared" ca="1" si="79"/>
        <v>-1.6888901540000034</v>
      </c>
      <c r="CX81">
        <f t="shared" ca="1" si="79"/>
        <v>1.3830740466494829</v>
      </c>
      <c r="CY81">
        <f t="shared" ca="1" si="79"/>
        <v>-1.5933069612143169</v>
      </c>
      <c r="CZ81">
        <f t="shared" ca="1" si="79"/>
        <v>-2.3768022766009582</v>
      </c>
      <c r="DA81">
        <f t="shared" ca="1" si="79"/>
        <v>1.7364859435019688</v>
      </c>
    </row>
    <row r="82" spans="5:105" x14ac:dyDescent="0.25">
      <c r="E82">
        <f>S_plus!L82</f>
        <v>0.80000000000000049</v>
      </c>
      <c r="F82">
        <f t="shared" ca="1" si="70"/>
        <v>0.33045228500167007</v>
      </c>
      <c r="G82">
        <f t="shared" ca="1" si="70"/>
        <v>-0.46393332540338345</v>
      </c>
      <c r="H82">
        <f t="shared" ca="1" si="70"/>
        <v>-0.42793136647246094</v>
      </c>
      <c r="I82">
        <f t="shared" ca="1" si="70"/>
        <v>-0.43976973136969949</v>
      </c>
      <c r="J82">
        <f t="shared" ca="1" si="70"/>
        <v>1.3529745875990007</v>
      </c>
      <c r="K82">
        <f t="shared" ca="1" si="70"/>
        <v>-0.57115740131074832</v>
      </c>
      <c r="L82">
        <f t="shared" ca="1" si="70"/>
        <v>-1.2165891571785952</v>
      </c>
      <c r="M82">
        <f t="shared" ca="1" si="70"/>
        <v>0.87114086959372583</v>
      </c>
      <c r="N82">
        <f t="shared" ca="1" si="70"/>
        <v>-0.29991280484100535</v>
      </c>
      <c r="O82">
        <f t="shared" ca="1" si="70"/>
        <v>-0.41598133112691837</v>
      </c>
      <c r="P82">
        <f t="shared" ca="1" si="71"/>
        <v>1.0726128809303879</v>
      </c>
      <c r="Q82">
        <f t="shared" ca="1" si="71"/>
        <v>-0.7234775494256922</v>
      </c>
      <c r="R82">
        <f t="shared" ca="1" si="71"/>
        <v>-1.2858279449197196</v>
      </c>
      <c r="S82">
        <f t="shared" ca="1" si="71"/>
        <v>0.58672155763314104</v>
      </c>
      <c r="T82">
        <f t="shared" ca="1" si="71"/>
        <v>1.1742135576616235</v>
      </c>
      <c r="U82">
        <f t="shared" ca="1" si="71"/>
        <v>0.98440907346646223</v>
      </c>
      <c r="V82">
        <f t="shared" ca="1" si="71"/>
        <v>0.55302287945632156</v>
      </c>
      <c r="W82">
        <f t="shared" ca="1" si="71"/>
        <v>-0.23213320321150935</v>
      </c>
      <c r="X82">
        <f t="shared" ca="1" si="71"/>
        <v>-1.3102439516183</v>
      </c>
      <c r="Y82">
        <f t="shared" ca="1" si="71"/>
        <v>1.0629200619695081</v>
      </c>
      <c r="Z82">
        <f t="shared" ca="1" si="72"/>
        <v>-0.58578686566161176</v>
      </c>
      <c r="AA82">
        <f t="shared" ca="1" si="72"/>
        <v>4.7372864992610418E-2</v>
      </c>
      <c r="AB82">
        <f t="shared" ca="1" si="72"/>
        <v>-1.369798205020786</v>
      </c>
      <c r="AC82">
        <f t="shared" ca="1" si="72"/>
        <v>0.81167783220928647</v>
      </c>
      <c r="AD82">
        <f t="shared" ca="1" si="72"/>
        <v>0.98281276646317939</v>
      </c>
      <c r="AE82">
        <f t="shared" ca="1" si="72"/>
        <v>1.3253570520312214</v>
      </c>
      <c r="AF82">
        <f t="shared" ca="1" si="72"/>
        <v>-1.9647169013927999</v>
      </c>
      <c r="AG82">
        <f t="shared" ca="1" si="72"/>
        <v>2.098809105641545</v>
      </c>
      <c r="AH82">
        <f t="shared" ca="1" si="72"/>
        <v>1.1878434451180606</v>
      </c>
      <c r="AI82">
        <f t="shared" ca="1" si="72"/>
        <v>-0.65779224849608509</v>
      </c>
      <c r="AJ82">
        <f t="shared" ca="1" si="73"/>
        <v>-0.97854967422102412</v>
      </c>
      <c r="AK82">
        <f t="shared" ca="1" si="73"/>
        <v>1.4916406315458586</v>
      </c>
      <c r="AL82">
        <f t="shared" ca="1" si="73"/>
        <v>0.42283380451100788</v>
      </c>
      <c r="AM82">
        <f t="shared" ca="1" si="73"/>
        <v>0.29442299244592118</v>
      </c>
      <c r="AN82">
        <f t="shared" ca="1" si="73"/>
        <v>-1.1028809913462392</v>
      </c>
      <c r="AO82">
        <f t="shared" ca="1" si="73"/>
        <v>-0.92668760377100823</v>
      </c>
      <c r="AP82">
        <f t="shared" ca="1" si="73"/>
        <v>-0.35861479360244219</v>
      </c>
      <c r="AQ82">
        <f t="shared" ca="1" si="73"/>
        <v>-1.5179854151102381</v>
      </c>
      <c r="AR82">
        <f t="shared" ca="1" si="73"/>
        <v>1.1026157147301388</v>
      </c>
      <c r="AS82">
        <f t="shared" ca="1" si="73"/>
        <v>-0.42162575488135301</v>
      </c>
      <c r="AT82">
        <f t="shared" ca="1" si="74"/>
        <v>0.69174333539673583</v>
      </c>
      <c r="AU82">
        <f t="shared" ca="1" si="74"/>
        <v>-0.3409312317529693</v>
      </c>
      <c r="AV82">
        <f t="shared" ca="1" si="74"/>
        <v>-0.14335632942252347</v>
      </c>
      <c r="AW82">
        <f t="shared" ca="1" si="74"/>
        <v>-1.6421215742150068</v>
      </c>
      <c r="AX82">
        <f t="shared" ca="1" si="74"/>
        <v>0.47372808362700969</v>
      </c>
      <c r="AY82">
        <f t="shared" ca="1" si="74"/>
        <v>1.0978348827466251</v>
      </c>
      <c r="AZ82">
        <f t="shared" ca="1" si="74"/>
        <v>1.8236675603906287</v>
      </c>
      <c r="BA82">
        <f t="shared" ca="1" si="74"/>
        <v>0.28896988930991352</v>
      </c>
      <c r="BB82">
        <f t="shared" ca="1" si="74"/>
        <v>-8.662505717069062E-2</v>
      </c>
      <c r="BC82">
        <f t="shared" ca="1" si="74"/>
        <v>-6.1841903903179458E-2</v>
      </c>
      <c r="BD82">
        <f t="shared" ca="1" si="75"/>
        <v>-0.5295465898048981</v>
      </c>
      <c r="BE82">
        <f t="shared" ca="1" si="75"/>
        <v>-1.5682264694702144</v>
      </c>
      <c r="BF82">
        <f t="shared" ca="1" si="75"/>
        <v>0.6470044120783659</v>
      </c>
      <c r="BG82">
        <f t="shared" ca="1" si="75"/>
        <v>-0.34441542580598922</v>
      </c>
      <c r="BH82">
        <f t="shared" ca="1" si="75"/>
        <v>1.1454306872981324</v>
      </c>
      <c r="BI82">
        <f t="shared" ca="1" si="75"/>
        <v>-0.47599806566942493</v>
      </c>
      <c r="BJ82">
        <f t="shared" ca="1" si="75"/>
        <v>0.56807190061365886</v>
      </c>
      <c r="BK82">
        <f t="shared" ca="1" si="75"/>
        <v>-0.55853770908455447</v>
      </c>
      <c r="BL82">
        <f t="shared" ca="1" si="75"/>
        <v>-0.40243350746437845</v>
      </c>
      <c r="BM82">
        <f t="shared" ca="1" si="75"/>
        <v>-0.6681954846332111</v>
      </c>
      <c r="BN82">
        <f t="shared" ca="1" si="76"/>
        <v>-0.34651629472926332</v>
      </c>
      <c r="BO82">
        <f t="shared" ca="1" si="76"/>
        <v>0.77562266028936622</v>
      </c>
      <c r="BP82">
        <f t="shared" ca="1" si="76"/>
        <v>0.11768706974652245</v>
      </c>
      <c r="BQ82">
        <f t="shared" ca="1" si="76"/>
        <v>-0.98443806815358714</v>
      </c>
      <c r="BR82">
        <f t="shared" ca="1" si="76"/>
        <v>-1.6245442401394159</v>
      </c>
      <c r="BS82">
        <f t="shared" ca="1" si="76"/>
        <v>0.51287564419231557</v>
      </c>
      <c r="BT82">
        <f t="shared" ca="1" si="76"/>
        <v>-1.69180781033392</v>
      </c>
      <c r="BU82">
        <f t="shared" ca="1" si="76"/>
        <v>-2.3838491776553945</v>
      </c>
      <c r="BV82">
        <f t="shared" ca="1" si="76"/>
        <v>-1.393432672506083</v>
      </c>
      <c r="BW82">
        <f t="shared" ca="1" si="76"/>
        <v>-2.2149622028178118</v>
      </c>
      <c r="BX82">
        <f t="shared" ca="1" si="77"/>
        <v>-1.1908563677166137</v>
      </c>
      <c r="BY82">
        <f t="shared" ca="1" si="77"/>
        <v>-1.2844016936940827</v>
      </c>
      <c r="BZ82">
        <f t="shared" ca="1" si="77"/>
        <v>-1.8510830352859633</v>
      </c>
      <c r="CA82">
        <f t="shared" ca="1" si="77"/>
        <v>-1.0856381407565676</v>
      </c>
      <c r="CB82">
        <f t="shared" ca="1" si="77"/>
        <v>-0.59998838928343068</v>
      </c>
      <c r="CC82">
        <f t="shared" ca="1" si="77"/>
        <v>-0.45519417496332792</v>
      </c>
      <c r="CD82">
        <f t="shared" ca="1" si="77"/>
        <v>1.1453922542083281</v>
      </c>
      <c r="CE82">
        <f t="shared" ca="1" si="77"/>
        <v>1.3940605827046217</v>
      </c>
      <c r="CF82">
        <f t="shared" ca="1" si="77"/>
        <v>5.9321989514460209E-2</v>
      </c>
      <c r="CG82">
        <f t="shared" ca="1" si="77"/>
        <v>-0.10508693115048308</v>
      </c>
      <c r="CH82">
        <f t="shared" ca="1" si="78"/>
        <v>2.5448288208197543</v>
      </c>
      <c r="CI82">
        <f t="shared" ca="1" si="78"/>
        <v>-0.87143284082884753</v>
      </c>
      <c r="CJ82">
        <f t="shared" ca="1" si="78"/>
        <v>-0.53442461005472863</v>
      </c>
      <c r="CK82">
        <f t="shared" ca="1" si="78"/>
        <v>-1.4966177053867835</v>
      </c>
      <c r="CL82">
        <f t="shared" ca="1" si="78"/>
        <v>-1.9504963828250867E-2</v>
      </c>
      <c r="CM82">
        <f t="shared" ca="1" si="78"/>
        <v>-1.1024556694785272</v>
      </c>
      <c r="CN82">
        <f t="shared" ca="1" si="78"/>
        <v>-3.4656452347726449E-2</v>
      </c>
      <c r="CO82">
        <f t="shared" ca="1" si="78"/>
        <v>1.1453445471867432</v>
      </c>
      <c r="CP82">
        <f t="shared" ca="1" si="78"/>
        <v>-1.8683693705340811</v>
      </c>
      <c r="CQ82">
        <f t="shared" ca="1" si="78"/>
        <v>0.78992750604739737</v>
      </c>
      <c r="CR82">
        <f t="shared" ca="1" si="79"/>
        <v>-0.56149283404017014</v>
      </c>
      <c r="CS82">
        <f t="shared" ca="1" si="79"/>
        <v>-1.3726337354166258</v>
      </c>
      <c r="CT82">
        <f t="shared" ca="1" si="79"/>
        <v>-0.29027034948056202</v>
      </c>
      <c r="CU82">
        <f t="shared" ca="1" si="79"/>
        <v>0.66618212611790173</v>
      </c>
      <c r="CV82">
        <f t="shared" ca="1" si="79"/>
        <v>-0.48356941630656813</v>
      </c>
      <c r="CW82">
        <f t="shared" ca="1" si="79"/>
        <v>1.5581693176983407</v>
      </c>
      <c r="CX82">
        <f t="shared" ca="1" si="79"/>
        <v>-0.55431801271528547</v>
      </c>
      <c r="CY82">
        <f t="shared" ca="1" si="79"/>
        <v>-1.5169626655394632</v>
      </c>
      <c r="CZ82">
        <f t="shared" ca="1" si="79"/>
        <v>-2.0508082232867411</v>
      </c>
      <c r="DA82">
        <f t="shared" ca="1" si="79"/>
        <v>-0.50809754597170154</v>
      </c>
    </row>
    <row r="83" spans="5:105" x14ac:dyDescent="0.25">
      <c r="E83">
        <f>S_plus!L83</f>
        <v>0.8100000000000005</v>
      </c>
      <c r="F83">
        <f t="shared" ref="F83:O92" ca="1" si="80">_xlfn.NORM.S.INV(RAND())</f>
        <v>-0.38411784332532645</v>
      </c>
      <c r="G83">
        <f t="shared" ca="1" si="80"/>
        <v>0.35210691224709745</v>
      </c>
      <c r="H83">
        <f t="shared" ca="1" si="80"/>
        <v>0.63845632018528098</v>
      </c>
      <c r="I83">
        <f t="shared" ca="1" si="80"/>
        <v>2.3249650105993367</v>
      </c>
      <c r="J83">
        <f t="shared" ca="1" si="80"/>
        <v>-0.36173782584229375</v>
      </c>
      <c r="K83">
        <f t="shared" ca="1" si="80"/>
        <v>-0.93286378318291485</v>
      </c>
      <c r="L83">
        <f t="shared" ca="1" si="80"/>
        <v>-0.28988536634759227</v>
      </c>
      <c r="M83">
        <f t="shared" ca="1" si="80"/>
        <v>0.29058311633997724</v>
      </c>
      <c r="N83">
        <f t="shared" ca="1" si="80"/>
        <v>-0.24540171029178637</v>
      </c>
      <c r="O83">
        <f t="shared" ca="1" si="80"/>
        <v>-1.3884923339925643</v>
      </c>
      <c r="P83">
        <f t="shared" ref="P83:Y92" ca="1" si="81">_xlfn.NORM.S.INV(RAND())</f>
        <v>0.11755774082552568</v>
      </c>
      <c r="Q83">
        <f t="shared" ca="1" si="81"/>
        <v>-0.26190552260423811</v>
      </c>
      <c r="R83">
        <f t="shared" ca="1" si="81"/>
        <v>-0.15570718603177738</v>
      </c>
      <c r="S83">
        <f t="shared" ca="1" si="81"/>
        <v>0.38713547792865755</v>
      </c>
      <c r="T83">
        <f t="shared" ca="1" si="81"/>
        <v>-2.8425764489991283E-2</v>
      </c>
      <c r="U83">
        <f t="shared" ca="1" si="81"/>
        <v>0.50477935130866902</v>
      </c>
      <c r="V83">
        <f t="shared" ca="1" si="81"/>
        <v>-0.90593531599637966</v>
      </c>
      <c r="W83">
        <f t="shared" ca="1" si="81"/>
        <v>0.78487224708586723</v>
      </c>
      <c r="X83">
        <f t="shared" ca="1" si="81"/>
        <v>-0.52557875399913456</v>
      </c>
      <c r="Y83">
        <f t="shared" ca="1" si="81"/>
        <v>0.62840271828639949</v>
      </c>
      <c r="Z83">
        <f t="shared" ref="Z83:AI92" ca="1" si="82">_xlfn.NORM.S.INV(RAND())</f>
        <v>-1.3209205592153934</v>
      </c>
      <c r="AA83">
        <f t="shared" ca="1" si="82"/>
        <v>0.8054373566196994</v>
      </c>
      <c r="AB83">
        <f t="shared" ca="1" si="82"/>
        <v>-0.20535755353286086</v>
      </c>
      <c r="AC83">
        <f t="shared" ca="1" si="82"/>
        <v>3.1710230695971365E-3</v>
      </c>
      <c r="AD83">
        <f t="shared" ca="1" si="82"/>
        <v>1.3852486789130456</v>
      </c>
      <c r="AE83">
        <f t="shared" ca="1" si="82"/>
        <v>-2.2423290469139212E-2</v>
      </c>
      <c r="AF83">
        <f t="shared" ca="1" si="82"/>
        <v>0.79683326753639505</v>
      </c>
      <c r="AG83">
        <f t="shared" ca="1" si="82"/>
        <v>1.2057949024104988</v>
      </c>
      <c r="AH83">
        <f t="shared" ca="1" si="82"/>
        <v>1.5091683092329529</v>
      </c>
      <c r="AI83">
        <f t="shared" ca="1" si="82"/>
        <v>0.18282566180897997</v>
      </c>
      <c r="AJ83">
        <f t="shared" ref="AJ83:AS92" ca="1" si="83">_xlfn.NORM.S.INV(RAND())</f>
        <v>8.0392750372324448E-2</v>
      </c>
      <c r="AK83">
        <f t="shared" ca="1" si="83"/>
        <v>-0.88703133288561031</v>
      </c>
      <c r="AL83">
        <f t="shared" ca="1" si="83"/>
        <v>0.41952716330846046</v>
      </c>
      <c r="AM83">
        <f t="shared" ca="1" si="83"/>
        <v>0.69533921716852021</v>
      </c>
      <c r="AN83">
        <f t="shared" ca="1" si="83"/>
        <v>1.075388331587662</v>
      </c>
      <c r="AO83">
        <f t="shared" ca="1" si="83"/>
        <v>0.75315752216991338</v>
      </c>
      <c r="AP83">
        <f t="shared" ca="1" si="83"/>
        <v>0.66374245285314648</v>
      </c>
      <c r="AQ83">
        <f t="shared" ca="1" si="83"/>
        <v>-0.12157815040694973</v>
      </c>
      <c r="AR83">
        <f t="shared" ca="1" si="83"/>
        <v>-0.74654630807697198</v>
      </c>
      <c r="AS83">
        <f t="shared" ca="1" si="83"/>
        <v>1.0050643635792109</v>
      </c>
      <c r="AT83">
        <f t="shared" ref="AT83:BC92" ca="1" si="84">_xlfn.NORM.S.INV(RAND())</f>
        <v>0.82050528522952182</v>
      </c>
      <c r="AU83">
        <f t="shared" ca="1" si="84"/>
        <v>0.41366371770041965</v>
      </c>
      <c r="AV83">
        <f t="shared" ca="1" si="84"/>
        <v>1.0375956013924903</v>
      </c>
      <c r="AW83">
        <f t="shared" ca="1" si="84"/>
        <v>-1.5904873391899013</v>
      </c>
      <c r="AX83">
        <f t="shared" ca="1" si="84"/>
        <v>-0.84499859724749415</v>
      </c>
      <c r="AY83">
        <f t="shared" ca="1" si="84"/>
        <v>0.8111426364698493</v>
      </c>
      <c r="AZ83">
        <f t="shared" ca="1" si="84"/>
        <v>-0.39246140138641117</v>
      </c>
      <c r="BA83">
        <f t="shared" ca="1" si="84"/>
        <v>1.178167596080812</v>
      </c>
      <c r="BB83">
        <f t="shared" ca="1" si="84"/>
        <v>1.9828804481434765</v>
      </c>
      <c r="BC83">
        <f t="shared" ca="1" si="84"/>
        <v>-0.84638775584975767</v>
      </c>
      <c r="BD83">
        <f t="shared" ref="BD83:BM92" ca="1" si="85">_xlfn.NORM.S.INV(RAND())</f>
        <v>-0.67249676293167204</v>
      </c>
      <c r="BE83">
        <f t="shared" ca="1" si="85"/>
        <v>0.68349473248992698</v>
      </c>
      <c r="BF83">
        <f t="shared" ca="1" si="85"/>
        <v>7.8262342948215755E-2</v>
      </c>
      <c r="BG83">
        <f t="shared" ca="1" si="85"/>
        <v>0.64791776573498794</v>
      </c>
      <c r="BH83">
        <f t="shared" ca="1" si="85"/>
        <v>0.72941496855997123</v>
      </c>
      <c r="BI83">
        <f t="shared" ca="1" si="85"/>
        <v>-1.0843175007620476</v>
      </c>
      <c r="BJ83">
        <f t="shared" ca="1" si="85"/>
        <v>-1.6545962688830984</v>
      </c>
      <c r="BK83">
        <f t="shared" ca="1" si="85"/>
        <v>1.4090281017864836</v>
      </c>
      <c r="BL83">
        <f t="shared" ca="1" si="85"/>
        <v>0.47125928940880885</v>
      </c>
      <c r="BM83">
        <f t="shared" ca="1" si="85"/>
        <v>0.63464584033423821</v>
      </c>
      <c r="BN83">
        <f t="shared" ref="BN83:BW92" ca="1" si="86">_xlfn.NORM.S.INV(RAND())</f>
        <v>1.1431804738704021</v>
      </c>
      <c r="BO83">
        <f t="shared" ca="1" si="86"/>
        <v>0.52928690896203046</v>
      </c>
      <c r="BP83">
        <f t="shared" ca="1" si="86"/>
        <v>1.2826192944179178</v>
      </c>
      <c r="BQ83">
        <f t="shared" ca="1" si="86"/>
        <v>-0.89424501758887598</v>
      </c>
      <c r="BR83">
        <f t="shared" ca="1" si="86"/>
        <v>-0.37445658523514663</v>
      </c>
      <c r="BS83">
        <f t="shared" ca="1" si="86"/>
        <v>-0.66403670663506942</v>
      </c>
      <c r="BT83">
        <f t="shared" ca="1" si="86"/>
        <v>1.2703515085421431</v>
      </c>
      <c r="BU83">
        <f t="shared" ca="1" si="86"/>
        <v>-7.2368185951576522E-3</v>
      </c>
      <c r="BV83">
        <f t="shared" ca="1" si="86"/>
        <v>-0.80592052103582923</v>
      </c>
      <c r="BW83">
        <f t="shared" ca="1" si="86"/>
        <v>-0.14694808417829211</v>
      </c>
      <c r="BX83">
        <f t="shared" ref="BX83:CG92" ca="1" si="87">_xlfn.NORM.S.INV(RAND())</f>
        <v>0.46999772339265289</v>
      </c>
      <c r="BY83">
        <f t="shared" ca="1" si="87"/>
        <v>1.6228349331850151</v>
      </c>
      <c r="BZ83">
        <f t="shared" ca="1" si="87"/>
        <v>-0.15122991479557318</v>
      </c>
      <c r="CA83">
        <f t="shared" ca="1" si="87"/>
        <v>-1.2593563899593794</v>
      </c>
      <c r="CB83">
        <f t="shared" ca="1" si="87"/>
        <v>-0.11877851174861277</v>
      </c>
      <c r="CC83">
        <f t="shared" ca="1" si="87"/>
        <v>-0.36705853150888534</v>
      </c>
      <c r="CD83">
        <f t="shared" ca="1" si="87"/>
        <v>-1.0721533481250534</v>
      </c>
      <c r="CE83">
        <f t="shared" ca="1" si="87"/>
        <v>0.27426413700640928</v>
      </c>
      <c r="CF83">
        <f t="shared" ca="1" si="87"/>
        <v>1.6719856279237004</v>
      </c>
      <c r="CG83">
        <f t="shared" ca="1" si="87"/>
        <v>-5.7164337072281482E-2</v>
      </c>
      <c r="CH83">
        <f t="shared" ref="CH83:CQ92" ca="1" si="88">_xlfn.NORM.S.INV(RAND())</f>
        <v>0.16640109818312995</v>
      </c>
      <c r="CI83">
        <f t="shared" ca="1" si="88"/>
        <v>0.5998165080142589</v>
      </c>
      <c r="CJ83">
        <f t="shared" ca="1" si="88"/>
        <v>1.970019301459441E-2</v>
      </c>
      <c r="CK83">
        <f t="shared" ca="1" si="88"/>
        <v>-0.55884699907502333</v>
      </c>
      <c r="CL83">
        <f t="shared" ca="1" si="88"/>
        <v>0.76557576490775781</v>
      </c>
      <c r="CM83">
        <f t="shared" ca="1" si="88"/>
        <v>-0.45960633833027492</v>
      </c>
      <c r="CN83">
        <f t="shared" ca="1" si="88"/>
        <v>-1.1939407604790049E-2</v>
      </c>
      <c r="CO83">
        <f t="shared" ca="1" si="88"/>
        <v>0.43189173961025423</v>
      </c>
      <c r="CP83">
        <f t="shared" ca="1" si="88"/>
        <v>-0.80143089389920319</v>
      </c>
      <c r="CQ83">
        <f t="shared" ca="1" si="88"/>
        <v>1.618922556401402</v>
      </c>
      <c r="CR83">
        <f t="shared" ref="CR83:DA92" ca="1" si="89">_xlfn.NORM.S.INV(RAND())</f>
        <v>-1.4736529474618636</v>
      </c>
      <c r="CS83">
        <f t="shared" ca="1" si="89"/>
        <v>0.75462525938803138</v>
      </c>
      <c r="CT83">
        <f t="shared" ca="1" si="89"/>
        <v>-1.1096852336218906E-2</v>
      </c>
      <c r="CU83">
        <f t="shared" ca="1" si="89"/>
        <v>-0.28850039428969587</v>
      </c>
      <c r="CV83">
        <f t="shared" ca="1" si="89"/>
        <v>-0.66407484013655993</v>
      </c>
      <c r="CW83">
        <f t="shared" ca="1" si="89"/>
        <v>-1.1325414264978919</v>
      </c>
      <c r="CX83">
        <f t="shared" ca="1" si="89"/>
        <v>-0.97154062558684084</v>
      </c>
      <c r="CY83">
        <f t="shared" ca="1" si="89"/>
        <v>-0.89208706371790469</v>
      </c>
      <c r="CZ83">
        <f t="shared" ca="1" si="89"/>
        <v>-0.20994463050002929</v>
      </c>
      <c r="DA83">
        <f t="shared" ca="1" si="89"/>
        <v>2.0034180617031998</v>
      </c>
    </row>
    <row r="84" spans="5:105" x14ac:dyDescent="0.25">
      <c r="E84">
        <f>S_plus!L84</f>
        <v>0.82000000000000051</v>
      </c>
      <c r="F84">
        <f t="shared" ca="1" si="80"/>
        <v>2.3867027135110912</v>
      </c>
      <c r="G84">
        <f t="shared" ca="1" si="80"/>
        <v>-0.75311282152953452</v>
      </c>
      <c r="H84">
        <f t="shared" ca="1" si="80"/>
        <v>0.52480932502710054</v>
      </c>
      <c r="I84">
        <f t="shared" ca="1" si="80"/>
        <v>0.60479865930343746</v>
      </c>
      <c r="J84">
        <f t="shared" ca="1" si="80"/>
        <v>0.37908573981424254</v>
      </c>
      <c r="K84">
        <f t="shared" ca="1" si="80"/>
        <v>-0.40857999476180296</v>
      </c>
      <c r="L84">
        <f t="shared" ca="1" si="80"/>
        <v>1.0538247877062941</v>
      </c>
      <c r="M84">
        <f t="shared" ca="1" si="80"/>
        <v>-1.1924848723690267</v>
      </c>
      <c r="N84">
        <f t="shared" ca="1" si="80"/>
        <v>-0.39268516896049277</v>
      </c>
      <c r="O84">
        <f t="shared" ca="1" si="80"/>
        <v>-0.3504067528723529</v>
      </c>
      <c r="P84">
        <f t="shared" ca="1" si="81"/>
        <v>-0.36001052101713787</v>
      </c>
      <c r="Q84">
        <f t="shared" ca="1" si="81"/>
        <v>0.45087073271497724</v>
      </c>
      <c r="R84">
        <f t="shared" ca="1" si="81"/>
        <v>-0.83810132898929446</v>
      </c>
      <c r="S84">
        <f t="shared" ca="1" si="81"/>
        <v>1.081509294308358</v>
      </c>
      <c r="T84">
        <f t="shared" ca="1" si="81"/>
        <v>-0.25526968619958013</v>
      </c>
      <c r="U84">
        <f t="shared" ca="1" si="81"/>
        <v>-0.57507946763093731</v>
      </c>
      <c r="V84">
        <f t="shared" ca="1" si="81"/>
        <v>5.2006723411477204E-2</v>
      </c>
      <c r="W84">
        <f t="shared" ca="1" si="81"/>
        <v>-0.99986422939659503</v>
      </c>
      <c r="X84">
        <f t="shared" ca="1" si="81"/>
        <v>0.15794078588823693</v>
      </c>
      <c r="Y84">
        <f t="shared" ca="1" si="81"/>
        <v>-5.371220330730616E-2</v>
      </c>
      <c r="Z84">
        <f t="shared" ca="1" si="82"/>
        <v>-1.0875404584140973</v>
      </c>
      <c r="AA84">
        <f t="shared" ca="1" si="82"/>
        <v>1.0408288834002724</v>
      </c>
      <c r="AB84">
        <f t="shared" ca="1" si="82"/>
        <v>-0.46126129386521542</v>
      </c>
      <c r="AC84">
        <f t="shared" ca="1" si="82"/>
        <v>-1.5646532633993864</v>
      </c>
      <c r="AD84">
        <f t="shared" ca="1" si="82"/>
        <v>0.80181950834080717</v>
      </c>
      <c r="AE84">
        <f t="shared" ca="1" si="82"/>
        <v>-0.28337268074472993</v>
      </c>
      <c r="AF84">
        <f t="shared" ca="1" si="82"/>
        <v>0.46278475665882823</v>
      </c>
      <c r="AG84">
        <f t="shared" ca="1" si="82"/>
        <v>0.72468591606199273</v>
      </c>
      <c r="AH84">
        <f t="shared" ca="1" si="82"/>
        <v>1.6153747313479456</v>
      </c>
      <c r="AI84">
        <f t="shared" ca="1" si="82"/>
        <v>-0.80035751281110468</v>
      </c>
      <c r="AJ84">
        <f t="shared" ca="1" si="83"/>
        <v>1.2701526973424828</v>
      </c>
      <c r="AK84">
        <f t="shared" ca="1" si="83"/>
        <v>-0.22462966690081415</v>
      </c>
      <c r="AL84">
        <f t="shared" ca="1" si="83"/>
        <v>1.2606863524947691</v>
      </c>
      <c r="AM84">
        <f t="shared" ca="1" si="83"/>
        <v>-0.16998535748188359</v>
      </c>
      <c r="AN84">
        <f t="shared" ca="1" si="83"/>
        <v>-1.0075604697818674</v>
      </c>
      <c r="AO84">
        <f t="shared" ca="1" si="83"/>
        <v>0.52330871313965466</v>
      </c>
      <c r="AP84">
        <f t="shared" ca="1" si="83"/>
        <v>-5.5103597009170016E-2</v>
      </c>
      <c r="AQ84">
        <f t="shared" ca="1" si="83"/>
        <v>-0.53637844252044609</v>
      </c>
      <c r="AR84">
        <f t="shared" ca="1" si="83"/>
        <v>-3.2335044552030859E-2</v>
      </c>
      <c r="AS84">
        <f t="shared" ca="1" si="83"/>
        <v>0.55921148288198685</v>
      </c>
      <c r="AT84">
        <f t="shared" ca="1" si="84"/>
        <v>-0.11078857312242013</v>
      </c>
      <c r="AU84">
        <f t="shared" ca="1" si="84"/>
        <v>-1.914255065998089</v>
      </c>
      <c r="AV84">
        <f t="shared" ca="1" si="84"/>
        <v>0.13589412165485662</v>
      </c>
      <c r="AW84">
        <f t="shared" ca="1" si="84"/>
        <v>0.66129158178618219</v>
      </c>
      <c r="AX84">
        <f t="shared" ca="1" si="84"/>
        <v>1.0481495352378143</v>
      </c>
      <c r="AY84">
        <f t="shared" ca="1" si="84"/>
        <v>0.72518403396949038</v>
      </c>
      <c r="AZ84">
        <f t="shared" ca="1" si="84"/>
        <v>0.65957462098206199</v>
      </c>
      <c r="BA84">
        <f t="shared" ca="1" si="84"/>
        <v>1.6737933657783439</v>
      </c>
      <c r="BB84">
        <f t="shared" ca="1" si="84"/>
        <v>-0.38650131944077598</v>
      </c>
      <c r="BC84">
        <f t="shared" ca="1" si="84"/>
        <v>1.6900946105593905E-2</v>
      </c>
      <c r="BD84">
        <f t="shared" ca="1" si="85"/>
        <v>0.57254832340377515</v>
      </c>
      <c r="BE84">
        <f t="shared" ca="1" si="85"/>
        <v>-0.50706174229581236</v>
      </c>
      <c r="BF84">
        <f t="shared" ca="1" si="85"/>
        <v>0.24107513626886076</v>
      </c>
      <c r="BG84">
        <f t="shared" ca="1" si="85"/>
        <v>-2.6007816362551135</v>
      </c>
      <c r="BH84">
        <f t="shared" ca="1" si="85"/>
        <v>-0.13421135793545633</v>
      </c>
      <c r="BI84">
        <f t="shared" ca="1" si="85"/>
        <v>0.74160188921202874</v>
      </c>
      <c r="BJ84">
        <f t="shared" ca="1" si="85"/>
        <v>2.2618644907419863</v>
      </c>
      <c r="BK84">
        <f t="shared" ca="1" si="85"/>
        <v>1.4251255828534422</v>
      </c>
      <c r="BL84">
        <f t="shared" ca="1" si="85"/>
        <v>0.9629531351522912</v>
      </c>
      <c r="BM84">
        <f t="shared" ca="1" si="85"/>
        <v>0.26890385139201234</v>
      </c>
      <c r="BN84">
        <f t="shared" ca="1" si="86"/>
        <v>9.0428783127690426E-2</v>
      </c>
      <c r="BO84">
        <f t="shared" ca="1" si="86"/>
        <v>-3.4651434569392764E-2</v>
      </c>
      <c r="BP84">
        <f t="shared" ca="1" si="86"/>
        <v>-0.81458432382680679</v>
      </c>
      <c r="BQ84">
        <f t="shared" ca="1" si="86"/>
        <v>-0.21806165423168586</v>
      </c>
      <c r="BR84">
        <f t="shared" ca="1" si="86"/>
        <v>-0.38345918832160697</v>
      </c>
      <c r="BS84">
        <f t="shared" ca="1" si="86"/>
        <v>-0.8637132176327198</v>
      </c>
      <c r="BT84">
        <f t="shared" ca="1" si="86"/>
        <v>-0.44967857191127497</v>
      </c>
      <c r="BU84">
        <f t="shared" ca="1" si="86"/>
        <v>2.2406532776586765</v>
      </c>
      <c r="BV84">
        <f t="shared" ca="1" si="86"/>
        <v>-0.70589406190447357</v>
      </c>
      <c r="BW84">
        <f t="shared" ca="1" si="86"/>
        <v>1.5700023544163884</v>
      </c>
      <c r="BX84">
        <f t="shared" ca="1" si="87"/>
        <v>0.22496901985714807</v>
      </c>
      <c r="BY84">
        <f t="shared" ca="1" si="87"/>
        <v>-1.3289301589927409</v>
      </c>
      <c r="BZ84">
        <f t="shared" ca="1" si="87"/>
        <v>2.0249726377654382</v>
      </c>
      <c r="CA84">
        <f t="shared" ca="1" si="87"/>
        <v>-0.40071622043059618</v>
      </c>
      <c r="CB84">
        <f t="shared" ca="1" si="87"/>
        <v>-0.63634015930877985</v>
      </c>
      <c r="CC84">
        <f t="shared" ca="1" si="87"/>
        <v>-0.94671397122496581</v>
      </c>
      <c r="CD84">
        <f t="shared" ca="1" si="87"/>
        <v>3.4663301557180073E-2</v>
      </c>
      <c r="CE84">
        <f t="shared" ca="1" si="87"/>
        <v>2.2814252464727987</v>
      </c>
      <c r="CF84">
        <f t="shared" ca="1" si="87"/>
        <v>0.61257321536576981</v>
      </c>
      <c r="CG84">
        <f t="shared" ca="1" si="87"/>
        <v>1.7601095421681974</v>
      </c>
      <c r="CH84">
        <f t="shared" ca="1" si="88"/>
        <v>-1.0712241083932506</v>
      </c>
      <c r="CI84">
        <f t="shared" ca="1" si="88"/>
        <v>-0.92039063525970921</v>
      </c>
      <c r="CJ84">
        <f t="shared" ca="1" si="88"/>
        <v>5.9459709337485039E-2</v>
      </c>
      <c r="CK84">
        <f t="shared" ca="1" si="88"/>
        <v>1.3197833123186276</v>
      </c>
      <c r="CL84">
        <f t="shared" ca="1" si="88"/>
        <v>-0.13996065274651587</v>
      </c>
      <c r="CM84">
        <f t="shared" ca="1" si="88"/>
        <v>0.66059032583109079</v>
      </c>
      <c r="CN84">
        <f t="shared" ca="1" si="88"/>
        <v>-4.7551723793284373E-2</v>
      </c>
      <c r="CO84">
        <f t="shared" ca="1" si="88"/>
        <v>-0.68807786906961499</v>
      </c>
      <c r="CP84">
        <f t="shared" ca="1" si="88"/>
        <v>-2.6731689630173541E-2</v>
      </c>
      <c r="CQ84">
        <f t="shared" ca="1" si="88"/>
        <v>1.3909468642658074</v>
      </c>
      <c r="CR84">
        <f t="shared" ca="1" si="89"/>
        <v>-0.66055216217703272</v>
      </c>
      <c r="CS84">
        <f t="shared" ca="1" si="89"/>
        <v>-0.13661303888308496</v>
      </c>
      <c r="CT84">
        <f t="shared" ca="1" si="89"/>
        <v>0.49190118524754467</v>
      </c>
      <c r="CU84">
        <f t="shared" ca="1" si="89"/>
        <v>0.328236952263949</v>
      </c>
      <c r="CV84">
        <f t="shared" ca="1" si="89"/>
        <v>0.82963114061099241</v>
      </c>
      <c r="CW84">
        <f t="shared" ca="1" si="89"/>
        <v>0.47735129031542411</v>
      </c>
      <c r="CX84">
        <f t="shared" ca="1" si="89"/>
        <v>-0.72882281260309212</v>
      </c>
      <c r="CY84">
        <f t="shared" ca="1" si="89"/>
        <v>2.5033014141962333</v>
      </c>
      <c r="CZ84">
        <f t="shared" ca="1" si="89"/>
        <v>0.2945144588923998</v>
      </c>
      <c r="DA84">
        <f t="shared" ca="1" si="89"/>
        <v>-0.96149074569839166</v>
      </c>
    </row>
    <row r="85" spans="5:105" x14ac:dyDescent="0.25">
      <c r="E85">
        <f>S_plus!L85</f>
        <v>0.83000000000000052</v>
      </c>
      <c r="F85">
        <f t="shared" ca="1" si="80"/>
        <v>-1.1563130130339756</v>
      </c>
      <c r="G85">
        <f t="shared" ca="1" si="80"/>
        <v>-1.0656909551032225</v>
      </c>
      <c r="H85">
        <f t="shared" ca="1" si="80"/>
        <v>0.33016339032699704</v>
      </c>
      <c r="I85">
        <f t="shared" ca="1" si="80"/>
        <v>-1.24632018400197</v>
      </c>
      <c r="J85">
        <f t="shared" ca="1" si="80"/>
        <v>-0.39350381828776515</v>
      </c>
      <c r="K85">
        <f t="shared" ca="1" si="80"/>
        <v>-2.4010328492760951</v>
      </c>
      <c r="L85">
        <f t="shared" ca="1" si="80"/>
        <v>-3.9360718460832181E-2</v>
      </c>
      <c r="M85">
        <f t="shared" ca="1" si="80"/>
        <v>-0.55713299112759518</v>
      </c>
      <c r="N85">
        <f t="shared" ca="1" si="80"/>
        <v>-0.37801104472355368</v>
      </c>
      <c r="O85">
        <f t="shared" ca="1" si="80"/>
        <v>0.15609654840096701</v>
      </c>
      <c r="P85">
        <f t="shared" ca="1" si="81"/>
        <v>1.7112994712545293</v>
      </c>
      <c r="Q85">
        <f t="shared" ca="1" si="81"/>
        <v>-4.9529661847524949E-2</v>
      </c>
      <c r="R85">
        <f t="shared" ca="1" si="81"/>
        <v>0.72863110089740568</v>
      </c>
      <c r="S85">
        <f t="shared" ca="1" si="81"/>
        <v>0.46439638015760687</v>
      </c>
      <c r="T85">
        <f t="shared" ca="1" si="81"/>
        <v>-0.11237578223880224</v>
      </c>
      <c r="U85">
        <f t="shared" ca="1" si="81"/>
        <v>0.72196219436784204</v>
      </c>
      <c r="V85">
        <f t="shared" ca="1" si="81"/>
        <v>-0.74168023123481475</v>
      </c>
      <c r="W85">
        <f t="shared" ca="1" si="81"/>
        <v>0.31837552826516008</v>
      </c>
      <c r="X85">
        <f t="shared" ca="1" si="81"/>
        <v>-2.2190048415698822</v>
      </c>
      <c r="Y85">
        <f t="shared" ca="1" si="81"/>
        <v>-2.1576396006537624</v>
      </c>
      <c r="Z85">
        <f t="shared" ca="1" si="82"/>
        <v>0.42192476047455862</v>
      </c>
      <c r="AA85">
        <f t="shared" ca="1" si="82"/>
        <v>-0.72340051276739969</v>
      </c>
      <c r="AB85">
        <f t="shared" ca="1" si="82"/>
        <v>-1.1731256525809768</v>
      </c>
      <c r="AC85">
        <f t="shared" ca="1" si="82"/>
        <v>-0.81264073170669238</v>
      </c>
      <c r="AD85">
        <f t="shared" ca="1" si="82"/>
        <v>3.8419929694628929E-2</v>
      </c>
      <c r="AE85">
        <f t="shared" ca="1" si="82"/>
        <v>-1.3517030030453303</v>
      </c>
      <c r="AF85">
        <f t="shared" ca="1" si="82"/>
        <v>0.22603604335295258</v>
      </c>
      <c r="AG85">
        <f t="shared" ca="1" si="82"/>
        <v>-0.32480875036859086</v>
      </c>
      <c r="AH85">
        <f t="shared" ca="1" si="82"/>
        <v>1.7375250877513804</v>
      </c>
      <c r="AI85">
        <f t="shared" ca="1" si="82"/>
        <v>-0.59775440153447001</v>
      </c>
      <c r="AJ85">
        <f t="shared" ca="1" si="83"/>
        <v>-1.4766361178530631</v>
      </c>
      <c r="AK85">
        <f t="shared" ca="1" si="83"/>
        <v>-2.3521788082181643</v>
      </c>
      <c r="AL85">
        <f t="shared" ca="1" si="83"/>
        <v>1.2619586077654221</v>
      </c>
      <c r="AM85">
        <f t="shared" ca="1" si="83"/>
        <v>0.12499472749099134</v>
      </c>
      <c r="AN85">
        <f t="shared" ca="1" si="83"/>
        <v>-0.89690759324801694</v>
      </c>
      <c r="AO85">
        <f t="shared" ca="1" si="83"/>
        <v>0.30893225296833937</v>
      </c>
      <c r="AP85">
        <f t="shared" ca="1" si="83"/>
        <v>-0.94218601622826481</v>
      </c>
      <c r="AQ85">
        <f t="shared" ca="1" si="83"/>
        <v>0.84035705946594963</v>
      </c>
      <c r="AR85">
        <f t="shared" ca="1" si="83"/>
        <v>0.24766956872786103</v>
      </c>
      <c r="AS85">
        <f t="shared" ca="1" si="83"/>
        <v>0.20285050194004517</v>
      </c>
      <c r="AT85">
        <f t="shared" ca="1" si="84"/>
        <v>0.49426082428191853</v>
      </c>
      <c r="AU85">
        <f t="shared" ca="1" si="84"/>
        <v>1.9795442446072735</v>
      </c>
      <c r="AV85">
        <f t="shared" ca="1" si="84"/>
        <v>0.21615094353421391</v>
      </c>
      <c r="AW85">
        <f t="shared" ca="1" si="84"/>
        <v>1.628242479449663</v>
      </c>
      <c r="AX85">
        <f t="shared" ca="1" si="84"/>
        <v>0.72279380341351152</v>
      </c>
      <c r="AY85">
        <f t="shared" ca="1" si="84"/>
        <v>-0.89568047709708454</v>
      </c>
      <c r="AZ85">
        <f t="shared" ca="1" si="84"/>
        <v>0.53103842983280647</v>
      </c>
      <c r="BA85">
        <f t="shared" ca="1" si="84"/>
        <v>-0.31778923367284967</v>
      </c>
      <c r="BB85">
        <f t="shared" ca="1" si="84"/>
        <v>-1.1115288079392545</v>
      </c>
      <c r="BC85">
        <f t="shared" ca="1" si="84"/>
        <v>-1.3850384615405678</v>
      </c>
      <c r="BD85">
        <f t="shared" ca="1" si="85"/>
        <v>1.0324308630739421</v>
      </c>
      <c r="BE85">
        <f t="shared" ca="1" si="85"/>
        <v>0.53379097622869309</v>
      </c>
      <c r="BF85">
        <f t="shared" ca="1" si="85"/>
        <v>-1.527247225400427</v>
      </c>
      <c r="BG85">
        <f t="shared" ca="1" si="85"/>
        <v>0.66012667860413576</v>
      </c>
      <c r="BH85">
        <f t="shared" ca="1" si="85"/>
        <v>0.80676253975676393</v>
      </c>
      <c r="BI85">
        <f t="shared" ca="1" si="85"/>
        <v>-1.0671096629454373</v>
      </c>
      <c r="BJ85">
        <f t="shared" ca="1" si="85"/>
        <v>0.88032954291621346</v>
      </c>
      <c r="BK85">
        <f t="shared" ca="1" si="85"/>
        <v>-0.88930721371428922</v>
      </c>
      <c r="BL85">
        <f t="shared" ca="1" si="85"/>
        <v>-0.38844796192898845</v>
      </c>
      <c r="BM85">
        <f t="shared" ca="1" si="85"/>
        <v>1.6508107213750238</v>
      </c>
      <c r="BN85">
        <f t="shared" ca="1" si="86"/>
        <v>-0.87574383487391938</v>
      </c>
      <c r="BO85">
        <f t="shared" ca="1" si="86"/>
        <v>-0.14670931205382626</v>
      </c>
      <c r="BP85">
        <f t="shared" ca="1" si="86"/>
        <v>0.13318919604859708</v>
      </c>
      <c r="BQ85">
        <f t="shared" ca="1" si="86"/>
        <v>-1.0714398893316024E-2</v>
      </c>
      <c r="BR85">
        <f t="shared" ca="1" si="86"/>
        <v>-0.35683433133738829</v>
      </c>
      <c r="BS85">
        <f t="shared" ca="1" si="86"/>
        <v>-0.16713162200176143</v>
      </c>
      <c r="BT85">
        <f t="shared" ca="1" si="86"/>
        <v>-2.0922280728208587</v>
      </c>
      <c r="BU85">
        <f t="shared" ca="1" si="86"/>
        <v>1.2967085459903671</v>
      </c>
      <c r="BV85">
        <f t="shared" ca="1" si="86"/>
        <v>0.45764891956745651</v>
      </c>
      <c r="BW85">
        <f t="shared" ca="1" si="86"/>
        <v>0.77853408617345732</v>
      </c>
      <c r="BX85">
        <f t="shared" ca="1" si="87"/>
        <v>0.33816048668919219</v>
      </c>
      <c r="BY85">
        <f t="shared" ca="1" si="87"/>
        <v>1.6666365744422325</v>
      </c>
      <c r="BZ85">
        <f t="shared" ca="1" si="87"/>
        <v>-1.5829486769882708</v>
      </c>
      <c r="CA85">
        <f t="shared" ca="1" si="87"/>
        <v>0.42123701361537075</v>
      </c>
      <c r="CB85">
        <f t="shared" ca="1" si="87"/>
        <v>2.7013317131345197E-2</v>
      </c>
      <c r="CC85">
        <f t="shared" ca="1" si="87"/>
        <v>0.25066378304716364</v>
      </c>
      <c r="CD85">
        <f t="shared" ca="1" si="87"/>
        <v>-1.1785482504431586</v>
      </c>
      <c r="CE85">
        <f t="shared" ca="1" si="87"/>
        <v>-1.1487319604410613</v>
      </c>
      <c r="CF85">
        <f t="shared" ca="1" si="87"/>
        <v>-1.2676861117556744</v>
      </c>
      <c r="CG85">
        <f t="shared" ca="1" si="87"/>
        <v>2.3758942763198099</v>
      </c>
      <c r="CH85">
        <f t="shared" ca="1" si="88"/>
        <v>1.189064070238615</v>
      </c>
      <c r="CI85">
        <f t="shared" ca="1" si="88"/>
        <v>-0.81193297362919314</v>
      </c>
      <c r="CJ85">
        <f t="shared" ca="1" si="88"/>
        <v>-0.26420947807711442</v>
      </c>
      <c r="CK85">
        <f t="shared" ca="1" si="88"/>
        <v>0.10915440785337015</v>
      </c>
      <c r="CL85">
        <f t="shared" ca="1" si="88"/>
        <v>0.92996996507252228</v>
      </c>
      <c r="CM85">
        <f t="shared" ca="1" si="88"/>
        <v>1.0891865300163917</v>
      </c>
      <c r="CN85">
        <f t="shared" ca="1" si="88"/>
        <v>-0.69039527613247553</v>
      </c>
      <c r="CO85">
        <f t="shared" ca="1" si="88"/>
        <v>1.1964640493837253</v>
      </c>
      <c r="CP85">
        <f t="shared" ca="1" si="88"/>
        <v>0.84514809688790682</v>
      </c>
      <c r="CQ85">
        <f t="shared" ca="1" si="88"/>
        <v>-1.6424740322227309</v>
      </c>
      <c r="CR85">
        <f t="shared" ca="1" si="89"/>
        <v>0.51366339638635816</v>
      </c>
      <c r="CS85">
        <f t="shared" ca="1" si="89"/>
        <v>0.33220700553888</v>
      </c>
      <c r="CT85">
        <f t="shared" ca="1" si="89"/>
        <v>1.6786983276490699</v>
      </c>
      <c r="CU85">
        <f t="shared" ca="1" si="89"/>
        <v>0.79361382348376985</v>
      </c>
      <c r="CV85">
        <f t="shared" ca="1" si="89"/>
        <v>0.7118462940146395</v>
      </c>
      <c r="CW85">
        <f t="shared" ca="1" si="89"/>
        <v>1.8028658245030511</v>
      </c>
      <c r="CX85">
        <f t="shared" ca="1" si="89"/>
        <v>0.56275855308550227</v>
      </c>
      <c r="CY85">
        <f t="shared" ca="1" si="89"/>
        <v>0.16719553467605855</v>
      </c>
      <c r="CZ85">
        <f t="shared" ca="1" si="89"/>
        <v>-0.45296014123055811</v>
      </c>
      <c r="DA85">
        <f t="shared" ca="1" si="89"/>
        <v>-1.195188894416624</v>
      </c>
    </row>
    <row r="86" spans="5:105" x14ac:dyDescent="0.25">
      <c r="E86">
        <f>S_plus!L86</f>
        <v>0.84000000000000052</v>
      </c>
      <c r="F86">
        <f t="shared" ca="1" si="80"/>
        <v>1.0723445327569352</v>
      </c>
      <c r="G86">
        <f t="shared" ca="1" si="80"/>
        <v>1.7554550208298707</v>
      </c>
      <c r="H86">
        <f t="shared" ca="1" si="80"/>
        <v>-1.9281154520856683</v>
      </c>
      <c r="I86">
        <f t="shared" ca="1" si="80"/>
        <v>0.70250654791434108</v>
      </c>
      <c r="J86">
        <f t="shared" ca="1" si="80"/>
        <v>1.3765737631645276</v>
      </c>
      <c r="K86">
        <f t="shared" ca="1" si="80"/>
        <v>1.3371339472828498</v>
      </c>
      <c r="L86">
        <f t="shared" ca="1" si="80"/>
        <v>-1.0327569356859487</v>
      </c>
      <c r="M86">
        <f t="shared" ca="1" si="80"/>
        <v>-0.45878830182365798</v>
      </c>
      <c r="N86">
        <f t="shared" ca="1" si="80"/>
        <v>2.2499988637693966</v>
      </c>
      <c r="O86">
        <f t="shared" ca="1" si="80"/>
        <v>-0.16974937063552414</v>
      </c>
      <c r="P86">
        <f t="shared" ca="1" si="81"/>
        <v>0.51156518450307575</v>
      </c>
      <c r="Q86">
        <f t="shared" ca="1" si="81"/>
        <v>0.76171896701743191</v>
      </c>
      <c r="R86">
        <f t="shared" ca="1" si="81"/>
        <v>0.50878563680993383</v>
      </c>
      <c r="S86">
        <f t="shared" ca="1" si="81"/>
        <v>-0.59705431880991688</v>
      </c>
      <c r="T86">
        <f t="shared" ca="1" si="81"/>
        <v>-0.30967576639685185</v>
      </c>
      <c r="U86">
        <f t="shared" ca="1" si="81"/>
        <v>-1.2302143550700104</v>
      </c>
      <c r="V86">
        <f t="shared" ca="1" si="81"/>
        <v>-1.3833741135242925</v>
      </c>
      <c r="W86">
        <f t="shared" ca="1" si="81"/>
        <v>0.42911017766923076</v>
      </c>
      <c r="X86">
        <f t="shared" ca="1" si="81"/>
        <v>-1.4903130727495726</v>
      </c>
      <c r="Y86">
        <f t="shared" ca="1" si="81"/>
        <v>-0.36574635489533608</v>
      </c>
      <c r="Z86">
        <f t="shared" ca="1" si="82"/>
        <v>-0.63643085657925147</v>
      </c>
      <c r="AA86">
        <f t="shared" ca="1" si="82"/>
        <v>0.83966561651476002</v>
      </c>
      <c r="AB86">
        <f t="shared" ca="1" si="82"/>
        <v>1.1934123127407728</v>
      </c>
      <c r="AC86">
        <f t="shared" ca="1" si="82"/>
        <v>-1.7445322760831699E-2</v>
      </c>
      <c r="AD86">
        <f t="shared" ca="1" si="82"/>
        <v>-0.61605211759559864</v>
      </c>
      <c r="AE86">
        <f t="shared" ca="1" si="82"/>
        <v>0.12008262495941217</v>
      </c>
      <c r="AF86">
        <f t="shared" ca="1" si="82"/>
        <v>0.96404951133896577</v>
      </c>
      <c r="AG86">
        <f t="shared" ca="1" si="82"/>
        <v>-0.40389647789169592</v>
      </c>
      <c r="AH86">
        <f t="shared" ca="1" si="82"/>
        <v>-0.69772172885321271</v>
      </c>
      <c r="AI86">
        <f t="shared" ca="1" si="82"/>
        <v>1.8220756006651302</v>
      </c>
      <c r="AJ86">
        <f t="shared" ca="1" si="83"/>
        <v>-0.43918191058821654</v>
      </c>
      <c r="AK86">
        <f t="shared" ca="1" si="83"/>
        <v>0.18636696737437153</v>
      </c>
      <c r="AL86">
        <f t="shared" ca="1" si="83"/>
        <v>1.297160499723659</v>
      </c>
      <c r="AM86">
        <f t="shared" ca="1" si="83"/>
        <v>-0.42543181899117416</v>
      </c>
      <c r="AN86">
        <f t="shared" ca="1" si="83"/>
        <v>0.3199821586821468</v>
      </c>
      <c r="AO86">
        <f t="shared" ca="1" si="83"/>
        <v>4.3948587288369324E-3</v>
      </c>
      <c r="AP86">
        <f t="shared" ca="1" si="83"/>
        <v>0.97183767798809462</v>
      </c>
      <c r="AQ86">
        <f t="shared" ca="1" si="83"/>
        <v>-0.54736862328402058</v>
      </c>
      <c r="AR86">
        <f t="shared" ca="1" si="83"/>
        <v>1.0122048222802302</v>
      </c>
      <c r="AS86">
        <f t="shared" ca="1" si="83"/>
        <v>2.9524239448253082</v>
      </c>
      <c r="AT86">
        <f t="shared" ca="1" si="84"/>
        <v>0.57832741164798551</v>
      </c>
      <c r="AU86">
        <f t="shared" ca="1" si="84"/>
        <v>0.63360108870610043</v>
      </c>
      <c r="AV86">
        <f t="shared" ca="1" si="84"/>
        <v>-3.5673136744304772E-2</v>
      </c>
      <c r="AW86">
        <f t="shared" ca="1" si="84"/>
        <v>-0.73897167439171374</v>
      </c>
      <c r="AX86">
        <f t="shared" ca="1" si="84"/>
        <v>0.36003230593317975</v>
      </c>
      <c r="AY86">
        <f t="shared" ca="1" si="84"/>
        <v>0.4589271527299007</v>
      </c>
      <c r="AZ86">
        <f t="shared" ca="1" si="84"/>
        <v>-1.2276686183542354</v>
      </c>
      <c r="BA86">
        <f t="shared" ca="1" si="84"/>
        <v>-3.2490297546419731</v>
      </c>
      <c r="BB86">
        <f t="shared" ca="1" si="84"/>
        <v>0.18652370287861769</v>
      </c>
      <c r="BC86">
        <f t="shared" ca="1" si="84"/>
        <v>0.54841690023528411</v>
      </c>
      <c r="BD86">
        <f t="shared" ca="1" si="85"/>
        <v>-1.6475305033472407</v>
      </c>
      <c r="BE86">
        <f t="shared" ca="1" si="85"/>
        <v>1.0204070679748183</v>
      </c>
      <c r="BF86">
        <f t="shared" ca="1" si="85"/>
        <v>1.1217546865780004</v>
      </c>
      <c r="BG86">
        <f t="shared" ca="1" si="85"/>
        <v>-0.13722370098107986</v>
      </c>
      <c r="BH86">
        <f t="shared" ca="1" si="85"/>
        <v>0.95006152590508963</v>
      </c>
      <c r="BI86">
        <f t="shared" ca="1" si="85"/>
        <v>1.786954207926529</v>
      </c>
      <c r="BJ86">
        <f t="shared" ca="1" si="85"/>
        <v>0.46848888015487861</v>
      </c>
      <c r="BK86">
        <f t="shared" ca="1" si="85"/>
        <v>-1.1511825359130496</v>
      </c>
      <c r="BL86">
        <f t="shared" ca="1" si="85"/>
        <v>0.7954609813428819</v>
      </c>
      <c r="BM86">
        <f t="shared" ca="1" si="85"/>
        <v>0.23061446066521268</v>
      </c>
      <c r="BN86">
        <f t="shared" ca="1" si="86"/>
        <v>-1.121638368349728</v>
      </c>
      <c r="BO86">
        <f t="shared" ca="1" si="86"/>
        <v>1.3426770912774939</v>
      </c>
      <c r="BP86">
        <f t="shared" ca="1" si="86"/>
        <v>0.28501626110702355</v>
      </c>
      <c r="BQ86">
        <f t="shared" ca="1" si="86"/>
        <v>0.69084704086437854</v>
      </c>
      <c r="BR86">
        <f t="shared" ca="1" si="86"/>
        <v>0.89179175254237464</v>
      </c>
      <c r="BS86">
        <f t="shared" ca="1" si="86"/>
        <v>-0.93204792905557543</v>
      </c>
      <c r="BT86">
        <f t="shared" ca="1" si="86"/>
        <v>0.78581408520660578</v>
      </c>
      <c r="BU86">
        <f t="shared" ca="1" si="86"/>
        <v>0.60574328007991851</v>
      </c>
      <c r="BV86">
        <f t="shared" ca="1" si="86"/>
        <v>-1.1143523521676839</v>
      </c>
      <c r="BW86">
        <f t="shared" ca="1" si="86"/>
        <v>-0.79147833782165422</v>
      </c>
      <c r="BX86">
        <f t="shared" ca="1" si="87"/>
        <v>-0.13471892065815602</v>
      </c>
      <c r="BY86">
        <f t="shared" ca="1" si="87"/>
        <v>0.54793351603883844</v>
      </c>
      <c r="BZ86">
        <f t="shared" ca="1" si="87"/>
        <v>-4.7010144131740747E-2</v>
      </c>
      <c r="CA86">
        <f t="shared" ca="1" si="87"/>
        <v>-0.36060854895406852</v>
      </c>
      <c r="CB86">
        <f t="shared" ca="1" si="87"/>
        <v>0.16339511281503261</v>
      </c>
      <c r="CC86">
        <f t="shared" ca="1" si="87"/>
        <v>1.1954304397617848</v>
      </c>
      <c r="CD86">
        <f t="shared" ca="1" si="87"/>
        <v>-0.32574150471767205</v>
      </c>
      <c r="CE86">
        <f t="shared" ca="1" si="87"/>
        <v>0.81909499759618887</v>
      </c>
      <c r="CF86">
        <f t="shared" ca="1" si="87"/>
        <v>-0.81556506660966432</v>
      </c>
      <c r="CG86">
        <f t="shared" ca="1" si="87"/>
        <v>0.18008747344418641</v>
      </c>
      <c r="CH86">
        <f t="shared" ca="1" si="88"/>
        <v>0.68585914222519206</v>
      </c>
      <c r="CI86">
        <f t="shared" ca="1" si="88"/>
        <v>-0.45945234483524461</v>
      </c>
      <c r="CJ86">
        <f t="shared" ca="1" si="88"/>
        <v>-0.63699244664164512</v>
      </c>
      <c r="CK86">
        <f t="shared" ca="1" si="88"/>
        <v>-0.20324485690144461</v>
      </c>
      <c r="CL86">
        <f t="shared" ca="1" si="88"/>
        <v>0.59991727046365884</v>
      </c>
      <c r="CM86">
        <f t="shared" ca="1" si="88"/>
        <v>0.24564101412702702</v>
      </c>
      <c r="CN86">
        <f t="shared" ca="1" si="88"/>
        <v>-1.6401319583952718</v>
      </c>
      <c r="CO86">
        <f t="shared" ca="1" si="88"/>
        <v>-9.6050082152065661E-2</v>
      </c>
      <c r="CP86">
        <f t="shared" ca="1" si="88"/>
        <v>0.11848493625785163</v>
      </c>
      <c r="CQ86">
        <f t="shared" ca="1" si="88"/>
        <v>1.1264509994968221</v>
      </c>
      <c r="CR86">
        <f t="shared" ca="1" si="89"/>
        <v>-0.5050199010919153</v>
      </c>
      <c r="CS86">
        <f t="shared" ca="1" si="89"/>
        <v>-0.22513577706885157</v>
      </c>
      <c r="CT86">
        <f t="shared" ca="1" si="89"/>
        <v>-0.33397715384832022</v>
      </c>
      <c r="CU86">
        <f t="shared" ca="1" si="89"/>
        <v>-2.2555593841075936</v>
      </c>
      <c r="CV86">
        <f t="shared" ca="1" si="89"/>
        <v>1.3033321219037706</v>
      </c>
      <c r="CW86">
        <f t="shared" ca="1" si="89"/>
        <v>1.1160052202067583</v>
      </c>
      <c r="CX86">
        <f t="shared" ca="1" si="89"/>
        <v>0.40198167715613775</v>
      </c>
      <c r="CY86">
        <f t="shared" ca="1" si="89"/>
        <v>2.2458112492475437</v>
      </c>
      <c r="CZ86">
        <f t="shared" ca="1" si="89"/>
        <v>-1.1792469456510586</v>
      </c>
      <c r="DA86">
        <f t="shared" ca="1" si="89"/>
        <v>0.17465071672133878</v>
      </c>
    </row>
    <row r="87" spans="5:105" x14ac:dyDescent="0.25">
      <c r="E87">
        <f>S_plus!L87</f>
        <v>0.85000000000000053</v>
      </c>
      <c r="F87">
        <f t="shared" ca="1" si="80"/>
        <v>-0.71453245330534976</v>
      </c>
      <c r="G87">
        <f t="shared" ca="1" si="80"/>
        <v>-0.95376037855295492</v>
      </c>
      <c r="H87">
        <f t="shared" ca="1" si="80"/>
        <v>-1.4604484106293323</v>
      </c>
      <c r="I87">
        <f t="shared" ca="1" si="80"/>
        <v>-7.8733110461573344E-2</v>
      </c>
      <c r="J87">
        <f t="shared" ca="1" si="80"/>
        <v>0.78904753661461169</v>
      </c>
      <c r="K87">
        <f t="shared" ca="1" si="80"/>
        <v>1.1862448486735129</v>
      </c>
      <c r="L87">
        <f t="shared" ca="1" si="80"/>
        <v>-0.3799687161925594</v>
      </c>
      <c r="M87">
        <f t="shared" ca="1" si="80"/>
        <v>-1.2635028719211185</v>
      </c>
      <c r="N87">
        <f t="shared" ca="1" si="80"/>
        <v>1.1476060579013281</v>
      </c>
      <c r="O87">
        <f t="shared" ca="1" si="80"/>
        <v>-0.71593768211489894</v>
      </c>
      <c r="P87">
        <f t="shared" ca="1" si="81"/>
        <v>-0.85842478509169051</v>
      </c>
      <c r="Q87">
        <f t="shared" ca="1" si="81"/>
        <v>-0.59245821013495548</v>
      </c>
      <c r="R87">
        <f t="shared" ca="1" si="81"/>
        <v>0.67303240114227703</v>
      </c>
      <c r="S87">
        <f t="shared" ca="1" si="81"/>
        <v>1.0428083518735534</v>
      </c>
      <c r="T87">
        <f t="shared" ca="1" si="81"/>
        <v>2.1189992474975186</v>
      </c>
      <c r="U87">
        <f t="shared" ca="1" si="81"/>
        <v>-0.50324566988640473</v>
      </c>
      <c r="V87">
        <f t="shared" ca="1" si="81"/>
        <v>0.68602053413551389</v>
      </c>
      <c r="W87">
        <f t="shared" ca="1" si="81"/>
        <v>-0.34577253231222244</v>
      </c>
      <c r="X87">
        <f t="shared" ca="1" si="81"/>
        <v>-0.5654259732696264</v>
      </c>
      <c r="Y87">
        <f t="shared" ca="1" si="81"/>
        <v>0.47071457539588379</v>
      </c>
      <c r="Z87">
        <f t="shared" ca="1" si="82"/>
        <v>2.4992004324154315</v>
      </c>
      <c r="AA87">
        <f t="shared" ca="1" si="82"/>
        <v>-1.2220825734173955</v>
      </c>
      <c r="AB87">
        <f t="shared" ca="1" si="82"/>
        <v>-2.5056274006393124</v>
      </c>
      <c r="AC87">
        <f t="shared" ca="1" si="82"/>
        <v>-5.5295806029577559E-2</v>
      </c>
      <c r="AD87">
        <f t="shared" ca="1" si="82"/>
        <v>0.52579028860879029</v>
      </c>
      <c r="AE87">
        <f t="shared" ca="1" si="82"/>
        <v>-0.69083975661085906</v>
      </c>
      <c r="AF87">
        <f t="shared" ca="1" si="82"/>
        <v>0.50541602555933474</v>
      </c>
      <c r="AG87">
        <f t="shared" ca="1" si="82"/>
        <v>-0.79311275631489941</v>
      </c>
      <c r="AH87">
        <f t="shared" ca="1" si="82"/>
        <v>0.22914036086448619</v>
      </c>
      <c r="AI87">
        <f t="shared" ca="1" si="82"/>
        <v>-1.1372874383507285</v>
      </c>
      <c r="AJ87">
        <f t="shared" ca="1" si="83"/>
        <v>1.2098143791907341</v>
      </c>
      <c r="AK87">
        <f t="shared" ca="1" si="83"/>
        <v>-0.40633089024159752</v>
      </c>
      <c r="AL87">
        <f t="shared" ca="1" si="83"/>
        <v>-1.8028281185097428</v>
      </c>
      <c r="AM87">
        <f t="shared" ca="1" si="83"/>
        <v>1.1084131549487051</v>
      </c>
      <c r="AN87">
        <f t="shared" ca="1" si="83"/>
        <v>-0.18093898801538996</v>
      </c>
      <c r="AO87">
        <f t="shared" ca="1" si="83"/>
        <v>-0.20107928010198406</v>
      </c>
      <c r="AP87">
        <f t="shared" ca="1" si="83"/>
        <v>-2.954317369360946E-2</v>
      </c>
      <c r="AQ87">
        <f t="shared" ca="1" si="83"/>
        <v>-0.58004284540012441</v>
      </c>
      <c r="AR87">
        <f t="shared" ca="1" si="83"/>
        <v>-3.7211653840243268E-2</v>
      </c>
      <c r="AS87">
        <f t="shared" ca="1" si="83"/>
        <v>-0.48716145168926861</v>
      </c>
      <c r="AT87">
        <f t="shared" ca="1" si="84"/>
        <v>0.48566781704161199</v>
      </c>
      <c r="AU87">
        <f t="shared" ca="1" si="84"/>
        <v>-1.2816376383637034</v>
      </c>
      <c r="AV87">
        <f t="shared" ca="1" si="84"/>
        <v>-0.38239440958617121</v>
      </c>
      <c r="AW87">
        <f t="shared" ca="1" si="84"/>
        <v>-0.38402675725329088</v>
      </c>
      <c r="AX87">
        <f t="shared" ca="1" si="84"/>
        <v>0.46188308832943847</v>
      </c>
      <c r="AY87">
        <f t="shared" ca="1" si="84"/>
        <v>0.24434878625314471</v>
      </c>
      <c r="AZ87">
        <f t="shared" ca="1" si="84"/>
        <v>-2.7636226864944882</v>
      </c>
      <c r="BA87">
        <f t="shared" ca="1" si="84"/>
        <v>-0.95053319625435384</v>
      </c>
      <c r="BB87">
        <f t="shared" ca="1" si="84"/>
        <v>0.71053471309190941</v>
      </c>
      <c r="BC87">
        <f t="shared" ca="1" si="84"/>
        <v>0.14758479053800069</v>
      </c>
      <c r="BD87">
        <f t="shared" ca="1" si="85"/>
        <v>-1.3690152638705446</v>
      </c>
      <c r="BE87">
        <f t="shared" ca="1" si="85"/>
        <v>-0.48142807936367188</v>
      </c>
      <c r="BF87">
        <f t="shared" ca="1" si="85"/>
        <v>1.4955007981975574</v>
      </c>
      <c r="BG87">
        <f t="shared" ca="1" si="85"/>
        <v>-0.78122759659731011</v>
      </c>
      <c r="BH87">
        <f t="shared" ca="1" si="85"/>
        <v>1.0851912897158549</v>
      </c>
      <c r="BI87">
        <f t="shared" ca="1" si="85"/>
        <v>-1.5372898328655342</v>
      </c>
      <c r="BJ87">
        <f t="shared" ca="1" si="85"/>
        <v>1.6567092477685046</v>
      </c>
      <c r="BK87">
        <f t="shared" ca="1" si="85"/>
        <v>1.2416099367414868</v>
      </c>
      <c r="BL87">
        <f t="shared" ca="1" si="85"/>
        <v>-0.86718208232112537</v>
      </c>
      <c r="BM87">
        <f t="shared" ca="1" si="85"/>
        <v>0.16984516618159179</v>
      </c>
      <c r="BN87">
        <f t="shared" ca="1" si="86"/>
        <v>-0.71569501761338705</v>
      </c>
      <c r="BO87">
        <f t="shared" ca="1" si="86"/>
        <v>0.97978708722570784</v>
      </c>
      <c r="BP87">
        <f t="shared" ca="1" si="86"/>
        <v>-1.3684474315637543</v>
      </c>
      <c r="BQ87">
        <f t="shared" ca="1" si="86"/>
        <v>0.66108539818070333</v>
      </c>
      <c r="BR87">
        <f t="shared" ca="1" si="86"/>
        <v>-0.35801210297514402</v>
      </c>
      <c r="BS87">
        <f t="shared" ca="1" si="86"/>
        <v>-0.88928096635903298</v>
      </c>
      <c r="BT87">
        <f t="shared" ca="1" si="86"/>
        <v>0.48088852588721537</v>
      </c>
      <c r="BU87">
        <f t="shared" ca="1" si="86"/>
        <v>0.30665592498148136</v>
      </c>
      <c r="BV87">
        <f t="shared" ca="1" si="86"/>
        <v>8.0481001115298975E-2</v>
      </c>
      <c r="BW87">
        <f t="shared" ca="1" si="86"/>
        <v>1.3870791914648222</v>
      </c>
      <c r="BX87">
        <f t="shared" ca="1" si="87"/>
        <v>1.023896825959639</v>
      </c>
      <c r="BY87">
        <f t="shared" ca="1" si="87"/>
        <v>1.0921204826175692</v>
      </c>
      <c r="BZ87">
        <f t="shared" ca="1" si="87"/>
        <v>0.36469680849416392</v>
      </c>
      <c r="CA87">
        <f t="shared" ca="1" si="87"/>
        <v>-0.91718619396667211</v>
      </c>
      <c r="CB87">
        <f t="shared" ca="1" si="87"/>
        <v>-1.1710906880074921</v>
      </c>
      <c r="CC87">
        <f t="shared" ca="1" si="87"/>
        <v>-1.3378760615051581</v>
      </c>
      <c r="CD87">
        <f t="shared" ca="1" si="87"/>
        <v>-0.41855928478999788</v>
      </c>
      <c r="CE87">
        <f t="shared" ca="1" si="87"/>
        <v>-0.23230605512065572</v>
      </c>
      <c r="CF87">
        <f t="shared" ca="1" si="87"/>
        <v>-0.58489691460895377</v>
      </c>
      <c r="CG87">
        <f t="shared" ca="1" si="87"/>
        <v>0.60556127829539852</v>
      </c>
      <c r="CH87">
        <f t="shared" ca="1" si="88"/>
        <v>6.4120730893057101E-2</v>
      </c>
      <c r="CI87">
        <f t="shared" ca="1" si="88"/>
        <v>0.24204440185492115</v>
      </c>
      <c r="CJ87">
        <f t="shared" ca="1" si="88"/>
        <v>0.52768130184552309</v>
      </c>
      <c r="CK87">
        <f t="shared" ca="1" si="88"/>
        <v>0.13699137443142814</v>
      </c>
      <c r="CL87">
        <f t="shared" ca="1" si="88"/>
        <v>-0.25638862287740238</v>
      </c>
      <c r="CM87">
        <f t="shared" ca="1" si="88"/>
        <v>-0.40835548434770352</v>
      </c>
      <c r="CN87">
        <f t="shared" ca="1" si="88"/>
        <v>-1.2716627070489286</v>
      </c>
      <c r="CO87">
        <f t="shared" ca="1" si="88"/>
        <v>0.43836459094928482</v>
      </c>
      <c r="CP87">
        <f t="shared" ca="1" si="88"/>
        <v>-2.7788388848985253E-4</v>
      </c>
      <c r="CQ87">
        <f t="shared" ca="1" si="88"/>
        <v>-0.36109623616866843</v>
      </c>
      <c r="CR87">
        <f t="shared" ca="1" si="89"/>
        <v>-0.41111956804639654</v>
      </c>
      <c r="CS87">
        <f t="shared" ca="1" si="89"/>
        <v>-2.1075984722149568</v>
      </c>
      <c r="CT87">
        <f t="shared" ca="1" si="89"/>
        <v>0.18059115113263985</v>
      </c>
      <c r="CU87">
        <f t="shared" ca="1" si="89"/>
        <v>0.42561200271820215</v>
      </c>
      <c r="CV87">
        <f t="shared" ca="1" si="89"/>
        <v>0.95309880686836834</v>
      </c>
      <c r="CW87">
        <f t="shared" ca="1" si="89"/>
        <v>0.4168431066036265</v>
      </c>
      <c r="CX87">
        <f t="shared" ca="1" si="89"/>
        <v>0.30581298984895872</v>
      </c>
      <c r="CY87">
        <f t="shared" ca="1" si="89"/>
        <v>1.5362611050493924</v>
      </c>
      <c r="CZ87">
        <f t="shared" ca="1" si="89"/>
        <v>0.31782724683345098</v>
      </c>
      <c r="DA87">
        <f t="shared" ca="1" si="89"/>
        <v>1.0627224606138599</v>
      </c>
    </row>
    <row r="88" spans="5:105" x14ac:dyDescent="0.25">
      <c r="E88">
        <f>S_plus!L88</f>
        <v>0.86000000000000054</v>
      </c>
      <c r="F88">
        <f t="shared" ca="1" si="80"/>
        <v>-0.52677701355030082</v>
      </c>
      <c r="G88">
        <f t="shared" ca="1" si="80"/>
        <v>-0.30741344295012896</v>
      </c>
      <c r="H88">
        <f t="shared" ca="1" si="80"/>
        <v>1.2100354473537811</v>
      </c>
      <c r="I88">
        <f t="shared" ca="1" si="80"/>
        <v>0.46502437994791074</v>
      </c>
      <c r="J88">
        <f t="shared" ca="1" si="80"/>
        <v>0.80902576052431885</v>
      </c>
      <c r="K88">
        <f t="shared" ca="1" si="80"/>
        <v>-0.17327298555734785</v>
      </c>
      <c r="L88">
        <f t="shared" ca="1" si="80"/>
        <v>0.18945223309021503</v>
      </c>
      <c r="M88">
        <f t="shared" ca="1" si="80"/>
        <v>0.80197662297224048</v>
      </c>
      <c r="N88">
        <f t="shared" ca="1" si="80"/>
        <v>-2.4963492781313614</v>
      </c>
      <c r="O88">
        <f t="shared" ca="1" si="80"/>
        <v>-0.93040744361958483</v>
      </c>
      <c r="P88">
        <f t="shared" ca="1" si="81"/>
        <v>-1.7319883835995655</v>
      </c>
      <c r="Q88">
        <f t="shared" ca="1" si="81"/>
        <v>-2.7050375118363064E-2</v>
      </c>
      <c r="R88">
        <f t="shared" ca="1" si="81"/>
        <v>-1.0401222214271413</v>
      </c>
      <c r="S88">
        <f t="shared" ca="1" si="81"/>
        <v>1.1352530072971994</v>
      </c>
      <c r="T88">
        <f t="shared" ca="1" si="81"/>
        <v>-0.29260092431945306</v>
      </c>
      <c r="U88">
        <f t="shared" ca="1" si="81"/>
        <v>-2.345140224110887</v>
      </c>
      <c r="V88">
        <f t="shared" ca="1" si="81"/>
        <v>1.0874751508296592</v>
      </c>
      <c r="W88">
        <f t="shared" ca="1" si="81"/>
        <v>0.46569717554069417</v>
      </c>
      <c r="X88">
        <f t="shared" ca="1" si="81"/>
        <v>-0.10385540131891681</v>
      </c>
      <c r="Y88">
        <f t="shared" ca="1" si="81"/>
        <v>-0.28188435489399521</v>
      </c>
      <c r="Z88">
        <f t="shared" ca="1" si="82"/>
        <v>0.52757947885166512</v>
      </c>
      <c r="AA88">
        <f t="shared" ca="1" si="82"/>
        <v>0.53519417584803919</v>
      </c>
      <c r="AB88">
        <f t="shared" ca="1" si="82"/>
        <v>0.79961010050226267</v>
      </c>
      <c r="AC88">
        <f t="shared" ca="1" si="82"/>
        <v>0.89435163303131493</v>
      </c>
      <c r="AD88">
        <f t="shared" ca="1" si="82"/>
        <v>0.10266626692606334</v>
      </c>
      <c r="AE88">
        <f t="shared" ca="1" si="82"/>
        <v>-0.14253796019296516</v>
      </c>
      <c r="AF88">
        <f t="shared" ca="1" si="82"/>
        <v>0.40337779313154914</v>
      </c>
      <c r="AG88">
        <f t="shared" ca="1" si="82"/>
        <v>0.3530685552020682</v>
      </c>
      <c r="AH88">
        <f t="shared" ca="1" si="82"/>
        <v>-0.85273878358069333</v>
      </c>
      <c r="AI88">
        <f t="shared" ca="1" si="82"/>
        <v>1.0842158836646865</v>
      </c>
      <c r="AJ88">
        <f t="shared" ca="1" si="83"/>
        <v>-0.22890714326188474</v>
      </c>
      <c r="AK88">
        <f t="shared" ca="1" si="83"/>
        <v>1.3557784181211776</v>
      </c>
      <c r="AL88">
        <f t="shared" ca="1" si="83"/>
        <v>-0.56309992987424828</v>
      </c>
      <c r="AM88">
        <f t="shared" ca="1" si="83"/>
        <v>0.62823457317823139</v>
      </c>
      <c r="AN88">
        <f t="shared" ca="1" si="83"/>
        <v>0.31733532176222445</v>
      </c>
      <c r="AO88">
        <f t="shared" ca="1" si="83"/>
        <v>1.3896271174498858</v>
      </c>
      <c r="AP88">
        <f t="shared" ca="1" si="83"/>
        <v>0.54751560079633554</v>
      </c>
      <c r="AQ88">
        <f t="shared" ca="1" si="83"/>
        <v>-2.2650007900787585</v>
      </c>
      <c r="AR88">
        <f t="shared" ca="1" si="83"/>
        <v>-7.1269601634528335E-2</v>
      </c>
      <c r="AS88">
        <f t="shared" ca="1" si="83"/>
        <v>1.2908514337178643</v>
      </c>
      <c r="AT88">
        <f t="shared" ca="1" si="84"/>
        <v>-1.0940864093759806</v>
      </c>
      <c r="AU88">
        <f t="shared" ca="1" si="84"/>
        <v>1.7800316124765743</v>
      </c>
      <c r="AV88">
        <f t="shared" ca="1" si="84"/>
        <v>-0.51598601055694171</v>
      </c>
      <c r="AW88">
        <f t="shared" ca="1" si="84"/>
        <v>1.3551914618520109</v>
      </c>
      <c r="AX88">
        <f t="shared" ca="1" si="84"/>
        <v>-0.31526737908186531</v>
      </c>
      <c r="AY88">
        <f t="shared" ca="1" si="84"/>
        <v>0.8192466840809306</v>
      </c>
      <c r="AZ88">
        <f t="shared" ca="1" si="84"/>
        <v>1.1668266054340493</v>
      </c>
      <c r="BA88">
        <f t="shared" ca="1" si="84"/>
        <v>0.20764292556095212</v>
      </c>
      <c r="BB88">
        <f t="shared" ca="1" si="84"/>
        <v>0.34772465639736494</v>
      </c>
      <c r="BC88">
        <f t="shared" ca="1" si="84"/>
        <v>6.8283805964317934E-2</v>
      </c>
      <c r="BD88">
        <f t="shared" ca="1" si="85"/>
        <v>-0.33549270670976195</v>
      </c>
      <c r="BE88">
        <f t="shared" ca="1" si="85"/>
        <v>1.1145008211732765E-2</v>
      </c>
      <c r="BF88">
        <f t="shared" ca="1" si="85"/>
        <v>0.78870151655595833</v>
      </c>
      <c r="BG88">
        <f t="shared" ca="1" si="85"/>
        <v>-1.8320326986691541E-3</v>
      </c>
      <c r="BH88">
        <f t="shared" ca="1" si="85"/>
        <v>-1.0807812676552999</v>
      </c>
      <c r="BI88">
        <f t="shared" ca="1" si="85"/>
        <v>3.1881257135909634E-2</v>
      </c>
      <c r="BJ88">
        <f t="shared" ca="1" si="85"/>
        <v>-0.10342361199981251</v>
      </c>
      <c r="BK88">
        <f t="shared" ca="1" si="85"/>
        <v>0.13438797377749614</v>
      </c>
      <c r="BL88">
        <f t="shared" ca="1" si="85"/>
        <v>-0.27386889288278932</v>
      </c>
      <c r="BM88">
        <f t="shared" ca="1" si="85"/>
        <v>1.5989010914804187</v>
      </c>
      <c r="BN88">
        <f t="shared" ca="1" si="86"/>
        <v>-0.22543098716885884</v>
      </c>
      <c r="BO88">
        <f t="shared" ca="1" si="86"/>
        <v>-1.6472970461945386</v>
      </c>
      <c r="BP88">
        <f t="shared" ca="1" si="86"/>
        <v>2.2576202910045735</v>
      </c>
      <c r="BQ88">
        <f t="shared" ca="1" si="86"/>
        <v>-1.7311042909868037</v>
      </c>
      <c r="BR88">
        <f t="shared" ca="1" si="86"/>
        <v>-1.3932908669485664</v>
      </c>
      <c r="BS88">
        <f t="shared" ca="1" si="86"/>
        <v>1.3656208379087722</v>
      </c>
      <c r="BT88">
        <f t="shared" ca="1" si="86"/>
        <v>-1.0202621815098387</v>
      </c>
      <c r="BU88">
        <f t="shared" ca="1" si="86"/>
        <v>-1.3134605092989868</v>
      </c>
      <c r="BV88">
        <f t="shared" ca="1" si="86"/>
        <v>-0.17706204726353431</v>
      </c>
      <c r="BW88">
        <f t="shared" ca="1" si="86"/>
        <v>-0.13634591847056224</v>
      </c>
      <c r="BX88">
        <f t="shared" ca="1" si="87"/>
        <v>1.4587507493991334</v>
      </c>
      <c r="BY88">
        <f t="shared" ca="1" si="87"/>
        <v>-0.7046836837706375</v>
      </c>
      <c r="BZ88">
        <f t="shared" ca="1" si="87"/>
        <v>0.89413505604640742</v>
      </c>
      <c r="CA88">
        <f t="shared" ca="1" si="87"/>
        <v>-1.6277518272933629</v>
      </c>
      <c r="CB88">
        <f t="shared" ca="1" si="87"/>
        <v>-0.37206601738940487</v>
      </c>
      <c r="CC88">
        <f t="shared" ca="1" si="87"/>
        <v>-0.19864853269711716</v>
      </c>
      <c r="CD88">
        <f t="shared" ca="1" si="87"/>
        <v>-1.8889100748703751</v>
      </c>
      <c r="CE88">
        <f t="shared" ca="1" si="87"/>
        <v>-3.369003245754084E-2</v>
      </c>
      <c r="CF88">
        <f t="shared" ca="1" si="87"/>
        <v>-0.96797609596603795</v>
      </c>
      <c r="CG88">
        <f t="shared" ca="1" si="87"/>
        <v>0.39184948026382477</v>
      </c>
      <c r="CH88">
        <f t="shared" ca="1" si="88"/>
        <v>-0.77903551441224939</v>
      </c>
      <c r="CI88">
        <f t="shared" ca="1" si="88"/>
        <v>-0.33210735870701769</v>
      </c>
      <c r="CJ88">
        <f t="shared" ca="1" si="88"/>
        <v>5.8538432230657265E-3</v>
      </c>
      <c r="CK88">
        <f t="shared" ca="1" si="88"/>
        <v>0.69622306543820367</v>
      </c>
      <c r="CL88">
        <f t="shared" ca="1" si="88"/>
        <v>-1.3930585082367408</v>
      </c>
      <c r="CM88">
        <f t="shared" ca="1" si="88"/>
        <v>-0.40191182227834577</v>
      </c>
      <c r="CN88">
        <f t="shared" ca="1" si="88"/>
        <v>-1.2167871534569652</v>
      </c>
      <c r="CO88">
        <f t="shared" ca="1" si="88"/>
        <v>0.39735505906231472</v>
      </c>
      <c r="CP88">
        <f t="shared" ca="1" si="88"/>
        <v>0.42552213777335968</v>
      </c>
      <c r="CQ88">
        <f t="shared" ca="1" si="88"/>
        <v>0.85966428618753643</v>
      </c>
      <c r="CR88">
        <f t="shared" ca="1" si="89"/>
        <v>1.3008210760689924</v>
      </c>
      <c r="CS88">
        <f t="shared" ca="1" si="89"/>
        <v>0.49235298049825854</v>
      </c>
      <c r="CT88">
        <f t="shared" ca="1" si="89"/>
        <v>0.12728088557086648</v>
      </c>
      <c r="CU88">
        <f t="shared" ca="1" si="89"/>
        <v>0.28943371634760906</v>
      </c>
      <c r="CV88">
        <f t="shared" ca="1" si="89"/>
        <v>-0.6958421774856336</v>
      </c>
      <c r="CW88">
        <f t="shared" ca="1" si="89"/>
        <v>-7.8988347861714353E-2</v>
      </c>
      <c r="CX88">
        <f t="shared" ca="1" si="89"/>
        <v>-0.24903864337872803</v>
      </c>
      <c r="CY88">
        <f t="shared" ca="1" si="89"/>
        <v>1.17273821512148</v>
      </c>
      <c r="CZ88">
        <f t="shared" ca="1" si="89"/>
        <v>-0.78101264166811901</v>
      </c>
      <c r="DA88">
        <f t="shared" ca="1" si="89"/>
        <v>0.39126656388848569</v>
      </c>
    </row>
    <row r="89" spans="5:105" x14ac:dyDescent="0.25">
      <c r="E89">
        <f>S_plus!L89</f>
        <v>0.87000000000000055</v>
      </c>
      <c r="F89">
        <f t="shared" ca="1" si="80"/>
        <v>-1.5852394016599856</v>
      </c>
      <c r="G89">
        <f t="shared" ca="1" si="80"/>
        <v>1.2629053359885134</v>
      </c>
      <c r="H89">
        <f t="shared" ca="1" si="80"/>
        <v>1.2274934617948783</v>
      </c>
      <c r="I89">
        <f t="shared" ca="1" si="80"/>
        <v>0.56187033289718746</v>
      </c>
      <c r="J89">
        <f t="shared" ca="1" si="80"/>
        <v>0.16354541370010123</v>
      </c>
      <c r="K89">
        <f t="shared" ca="1" si="80"/>
        <v>0.59703062760223713</v>
      </c>
      <c r="L89">
        <f t="shared" ca="1" si="80"/>
        <v>-0.20474004087247236</v>
      </c>
      <c r="M89">
        <f t="shared" ca="1" si="80"/>
        <v>1.4387599135044666</v>
      </c>
      <c r="N89">
        <f t="shared" ca="1" si="80"/>
        <v>-0.38051448188934039</v>
      </c>
      <c r="O89">
        <f t="shared" ca="1" si="80"/>
        <v>0.36279043620252749</v>
      </c>
      <c r="P89">
        <f t="shared" ca="1" si="81"/>
        <v>0.94978990227530269</v>
      </c>
      <c r="Q89">
        <f t="shared" ca="1" si="81"/>
        <v>0.22150752487039668</v>
      </c>
      <c r="R89">
        <f t="shared" ca="1" si="81"/>
        <v>3.1670028811417779</v>
      </c>
      <c r="S89">
        <f t="shared" ca="1" si="81"/>
        <v>0.5278217352482395</v>
      </c>
      <c r="T89">
        <f t="shared" ca="1" si="81"/>
        <v>-0.14221977851659676</v>
      </c>
      <c r="U89">
        <f t="shared" ca="1" si="81"/>
        <v>-0.60053256318771375</v>
      </c>
      <c r="V89">
        <f t="shared" ca="1" si="81"/>
        <v>-0.54920204448505083</v>
      </c>
      <c r="W89">
        <f t="shared" ca="1" si="81"/>
        <v>1.3030509473998366</v>
      </c>
      <c r="X89">
        <f t="shared" ca="1" si="81"/>
        <v>-0.15826527615938432</v>
      </c>
      <c r="Y89">
        <f t="shared" ca="1" si="81"/>
        <v>-1.3666262038690048E-2</v>
      </c>
      <c r="Z89">
        <f t="shared" ca="1" si="82"/>
        <v>-0.70279343069428069</v>
      </c>
      <c r="AA89">
        <f t="shared" ca="1" si="82"/>
        <v>0.76843931921524333</v>
      </c>
      <c r="AB89">
        <f t="shared" ca="1" si="82"/>
        <v>-0.84164405677333043</v>
      </c>
      <c r="AC89">
        <f t="shared" ca="1" si="82"/>
        <v>-3.0616901333625362E-2</v>
      </c>
      <c r="AD89">
        <f t="shared" ca="1" si="82"/>
        <v>0.15029913396286629</v>
      </c>
      <c r="AE89">
        <f t="shared" ca="1" si="82"/>
        <v>-0.38338254566232183</v>
      </c>
      <c r="AF89">
        <f t="shared" ca="1" si="82"/>
        <v>-0.5921032293008579</v>
      </c>
      <c r="AG89">
        <f t="shared" ca="1" si="82"/>
        <v>0.88616640641112487</v>
      </c>
      <c r="AH89">
        <f t="shared" ca="1" si="82"/>
        <v>-0.47814129706872877</v>
      </c>
      <c r="AI89">
        <f t="shared" ca="1" si="82"/>
        <v>-1.4362518624123715</v>
      </c>
      <c r="AJ89">
        <f t="shared" ca="1" si="83"/>
        <v>-7.1437119167105531E-2</v>
      </c>
      <c r="AK89">
        <f t="shared" ca="1" si="83"/>
        <v>-0.45091904488385298</v>
      </c>
      <c r="AL89">
        <f t="shared" ca="1" si="83"/>
        <v>0.83974241067504707</v>
      </c>
      <c r="AM89">
        <f t="shared" ca="1" si="83"/>
        <v>0.44863118812970187</v>
      </c>
      <c r="AN89">
        <f t="shared" ca="1" si="83"/>
        <v>-0.25909282551107871</v>
      </c>
      <c r="AO89">
        <f t="shared" ca="1" si="83"/>
        <v>-1.3535523957263753</v>
      </c>
      <c r="AP89">
        <f t="shared" ca="1" si="83"/>
        <v>0.20396320091144679</v>
      </c>
      <c r="AQ89">
        <f t="shared" ca="1" si="83"/>
        <v>-0.42571112757224244</v>
      </c>
      <c r="AR89">
        <f t="shared" ca="1" si="83"/>
        <v>1.6095316565388289</v>
      </c>
      <c r="AS89">
        <f t="shared" ca="1" si="83"/>
        <v>0.18611824922996598</v>
      </c>
      <c r="AT89">
        <f t="shared" ca="1" si="84"/>
        <v>-0.99573394645669866</v>
      </c>
      <c r="AU89">
        <f t="shared" ca="1" si="84"/>
        <v>-1.0977131250648637</v>
      </c>
      <c r="AV89">
        <f t="shared" ca="1" si="84"/>
        <v>0.83792228474434693</v>
      </c>
      <c r="AW89">
        <f t="shared" ca="1" si="84"/>
        <v>9.4805845604399849E-2</v>
      </c>
      <c r="AX89">
        <f t="shared" ca="1" si="84"/>
        <v>0.76143739821321499</v>
      </c>
      <c r="AY89">
        <f t="shared" ca="1" si="84"/>
        <v>0.95991362838013539</v>
      </c>
      <c r="AZ89">
        <f t="shared" ca="1" si="84"/>
        <v>0.61827213547286108</v>
      </c>
      <c r="BA89">
        <f t="shared" ca="1" si="84"/>
        <v>1.8450476098603941</v>
      </c>
      <c r="BB89">
        <f t="shared" ca="1" si="84"/>
        <v>0.44176990620676304</v>
      </c>
      <c r="BC89">
        <f t="shared" ca="1" si="84"/>
        <v>0.32654839124268759</v>
      </c>
      <c r="BD89">
        <f t="shared" ca="1" si="85"/>
        <v>0.68448370084329568</v>
      </c>
      <c r="BE89">
        <f t="shared" ca="1" si="85"/>
        <v>1.1303914302129727</v>
      </c>
      <c r="BF89">
        <f t="shared" ca="1" si="85"/>
        <v>1.1314023307941485</v>
      </c>
      <c r="BG89">
        <f t="shared" ca="1" si="85"/>
        <v>1.6203933461286704</v>
      </c>
      <c r="BH89">
        <f t="shared" ca="1" si="85"/>
        <v>-1.4554109595971421</v>
      </c>
      <c r="BI89">
        <f t="shared" ca="1" si="85"/>
        <v>-0.40998247738095445</v>
      </c>
      <c r="BJ89">
        <f t="shared" ca="1" si="85"/>
        <v>-1.3986099430186232</v>
      </c>
      <c r="BK89">
        <f t="shared" ca="1" si="85"/>
        <v>0.90424313908196929</v>
      </c>
      <c r="BL89">
        <f t="shared" ca="1" si="85"/>
        <v>0.52157583444110922</v>
      </c>
      <c r="BM89">
        <f t="shared" ca="1" si="85"/>
        <v>-0.2844324691025889</v>
      </c>
      <c r="BN89">
        <f t="shared" ca="1" si="86"/>
        <v>0.59798989822668014</v>
      </c>
      <c r="BO89">
        <f t="shared" ca="1" si="86"/>
        <v>-1.1095016623935943</v>
      </c>
      <c r="BP89">
        <f t="shared" ca="1" si="86"/>
        <v>-0.31810208570655191</v>
      </c>
      <c r="BQ89">
        <f t="shared" ca="1" si="86"/>
        <v>1.7251561249819034</v>
      </c>
      <c r="BR89">
        <f t="shared" ca="1" si="86"/>
        <v>0.65168059972036307</v>
      </c>
      <c r="BS89">
        <f t="shared" ca="1" si="86"/>
        <v>-0.36781181116257433</v>
      </c>
      <c r="BT89">
        <f t="shared" ca="1" si="86"/>
        <v>0.95911141385546483</v>
      </c>
      <c r="BU89">
        <f t="shared" ca="1" si="86"/>
        <v>0.25875681539872813</v>
      </c>
      <c r="BV89">
        <f t="shared" ca="1" si="86"/>
        <v>-0.58075171945407411</v>
      </c>
      <c r="BW89">
        <f t="shared" ca="1" si="86"/>
        <v>1.3242706657982852</v>
      </c>
      <c r="BX89">
        <f t="shared" ca="1" si="87"/>
        <v>1.3088129793143464</v>
      </c>
      <c r="BY89">
        <f t="shared" ca="1" si="87"/>
        <v>0.26345136355714971</v>
      </c>
      <c r="BZ89">
        <f t="shared" ca="1" si="87"/>
        <v>-1.0366588369648866</v>
      </c>
      <c r="CA89">
        <f t="shared" ca="1" si="87"/>
        <v>3.8681505187596796E-3</v>
      </c>
      <c r="CB89">
        <f t="shared" ca="1" si="87"/>
        <v>-0.50620041971779628</v>
      </c>
      <c r="CC89">
        <f t="shared" ca="1" si="87"/>
        <v>0.66330300571121525</v>
      </c>
      <c r="CD89">
        <f t="shared" ca="1" si="87"/>
        <v>-0.49115296199280267</v>
      </c>
      <c r="CE89">
        <f t="shared" ca="1" si="87"/>
        <v>0.24533571618020078</v>
      </c>
      <c r="CF89">
        <f t="shared" ca="1" si="87"/>
        <v>0.44773817909281766</v>
      </c>
      <c r="CG89">
        <f t="shared" ca="1" si="87"/>
        <v>-1.1472071002400486</v>
      </c>
      <c r="CH89">
        <f t="shared" ca="1" si="88"/>
        <v>1.2547037779710053</v>
      </c>
      <c r="CI89">
        <f t="shared" ca="1" si="88"/>
        <v>-0.81134629483168941</v>
      </c>
      <c r="CJ89">
        <f t="shared" ca="1" si="88"/>
        <v>0.47461148484962662</v>
      </c>
      <c r="CK89">
        <f t="shared" ca="1" si="88"/>
        <v>1.2290246598285461</v>
      </c>
      <c r="CL89">
        <f t="shared" ca="1" si="88"/>
        <v>-0.58313270144356633</v>
      </c>
      <c r="CM89">
        <f t="shared" ca="1" si="88"/>
        <v>-0.29078903513004123</v>
      </c>
      <c r="CN89">
        <f t="shared" ca="1" si="88"/>
        <v>-0.87939695970455023</v>
      </c>
      <c r="CO89">
        <f t="shared" ca="1" si="88"/>
        <v>0.5679192630197214</v>
      </c>
      <c r="CP89">
        <f t="shared" ca="1" si="88"/>
        <v>0.707942914305839</v>
      </c>
      <c r="CQ89">
        <f t="shared" ca="1" si="88"/>
        <v>-0.46603088819896715</v>
      </c>
      <c r="CR89">
        <f t="shared" ca="1" si="89"/>
        <v>0.64407813939370617</v>
      </c>
      <c r="CS89">
        <f t="shared" ca="1" si="89"/>
        <v>0.67882125171087593</v>
      </c>
      <c r="CT89">
        <f t="shared" ca="1" si="89"/>
        <v>-0.11642884361986003</v>
      </c>
      <c r="CU89">
        <f t="shared" ca="1" si="89"/>
        <v>1.1402007326715153</v>
      </c>
      <c r="CV89">
        <f t="shared" ca="1" si="89"/>
        <v>0.16632661614980601</v>
      </c>
      <c r="CW89">
        <f t="shared" ca="1" si="89"/>
        <v>0.50092870817490454</v>
      </c>
      <c r="CX89">
        <f t="shared" ca="1" si="89"/>
        <v>-0.22972681614948218</v>
      </c>
      <c r="CY89">
        <f t="shared" ca="1" si="89"/>
        <v>-1.882188852183027</v>
      </c>
      <c r="CZ89">
        <f t="shared" ca="1" si="89"/>
        <v>0.36683753728898333</v>
      </c>
      <c r="DA89">
        <f t="shared" ca="1" si="89"/>
        <v>-0.30823147536101908</v>
      </c>
    </row>
    <row r="90" spans="5:105" x14ac:dyDescent="0.25">
      <c r="E90">
        <f>S_plus!L90</f>
        <v>0.88000000000000056</v>
      </c>
      <c r="F90">
        <f t="shared" ca="1" si="80"/>
        <v>-0.94041923886448475</v>
      </c>
      <c r="G90">
        <f t="shared" ca="1" si="80"/>
        <v>0.3945657929493897</v>
      </c>
      <c r="H90">
        <f t="shared" ca="1" si="80"/>
        <v>0.10206498198438707</v>
      </c>
      <c r="I90">
        <f t="shared" ca="1" si="80"/>
        <v>0.43639501890754556</v>
      </c>
      <c r="J90">
        <f t="shared" ca="1" si="80"/>
        <v>1.0375523773325925</v>
      </c>
      <c r="K90">
        <f t="shared" ca="1" si="80"/>
        <v>2.5716698654111538</v>
      </c>
      <c r="L90">
        <f t="shared" ca="1" si="80"/>
        <v>0.33952946668336736</v>
      </c>
      <c r="M90">
        <f t="shared" ca="1" si="80"/>
        <v>-1.0929504363688636</v>
      </c>
      <c r="N90">
        <f t="shared" ca="1" si="80"/>
        <v>0.12054491818391179</v>
      </c>
      <c r="O90">
        <f t="shared" ca="1" si="80"/>
        <v>-0.72210124798839903</v>
      </c>
      <c r="P90">
        <f t="shared" ca="1" si="81"/>
        <v>-0.75846306190619428</v>
      </c>
      <c r="Q90">
        <f t="shared" ca="1" si="81"/>
        <v>-0.83519173772383748</v>
      </c>
      <c r="R90">
        <f t="shared" ca="1" si="81"/>
        <v>0.35250230514897263</v>
      </c>
      <c r="S90">
        <f t="shared" ca="1" si="81"/>
        <v>0.10178805965242245</v>
      </c>
      <c r="T90">
        <f t="shared" ca="1" si="81"/>
        <v>-1.5142987893991788</v>
      </c>
      <c r="U90">
        <f t="shared" ca="1" si="81"/>
        <v>0.68102516972740801</v>
      </c>
      <c r="V90">
        <f t="shared" ca="1" si="81"/>
        <v>0.73107709682948963</v>
      </c>
      <c r="W90">
        <f t="shared" ca="1" si="81"/>
        <v>8.7113342628831844E-2</v>
      </c>
      <c r="X90">
        <f t="shared" ca="1" si="81"/>
        <v>-0.22918940039967353</v>
      </c>
      <c r="Y90">
        <f t="shared" ca="1" si="81"/>
        <v>0.47721411247088552</v>
      </c>
      <c r="Z90">
        <f t="shared" ca="1" si="82"/>
        <v>-1.2873977012419384</v>
      </c>
      <c r="AA90">
        <f t="shared" ca="1" si="82"/>
        <v>0.29384944524373841</v>
      </c>
      <c r="AB90">
        <f t="shared" ca="1" si="82"/>
        <v>0.16296035986325666</v>
      </c>
      <c r="AC90">
        <f t="shared" ca="1" si="82"/>
        <v>-2.2024736751501441</v>
      </c>
      <c r="AD90">
        <f t="shared" ca="1" si="82"/>
        <v>0.51791567650498849</v>
      </c>
      <c r="AE90">
        <f t="shared" ca="1" si="82"/>
        <v>0.70315209634267961</v>
      </c>
      <c r="AF90">
        <f t="shared" ca="1" si="82"/>
        <v>1.2925114451736317</v>
      </c>
      <c r="AG90">
        <f t="shared" ca="1" si="82"/>
        <v>1.6219261258867506</v>
      </c>
      <c r="AH90">
        <f t="shared" ca="1" si="82"/>
        <v>-1.4390700657327551</v>
      </c>
      <c r="AI90">
        <f t="shared" ca="1" si="82"/>
        <v>-1.08132937654001</v>
      </c>
      <c r="AJ90">
        <f t="shared" ca="1" si="83"/>
        <v>-0.67142773013946178</v>
      </c>
      <c r="AK90">
        <f t="shared" ca="1" si="83"/>
        <v>2.2340794222605092</v>
      </c>
      <c r="AL90">
        <f t="shared" ca="1" si="83"/>
        <v>0.22678719278418716</v>
      </c>
      <c r="AM90">
        <f t="shared" ca="1" si="83"/>
        <v>-0.13140874531682709</v>
      </c>
      <c r="AN90">
        <f t="shared" ca="1" si="83"/>
        <v>0.32013766627129508</v>
      </c>
      <c r="AO90">
        <f t="shared" ca="1" si="83"/>
        <v>0.40071852003399921</v>
      </c>
      <c r="AP90">
        <f t="shared" ca="1" si="83"/>
        <v>1.195087122263212</v>
      </c>
      <c r="AQ90">
        <f t="shared" ca="1" si="83"/>
        <v>0.49746111469906257</v>
      </c>
      <c r="AR90">
        <f t="shared" ca="1" si="83"/>
        <v>0.48578251539777351</v>
      </c>
      <c r="AS90">
        <f t="shared" ca="1" si="83"/>
        <v>-1.147376231723503</v>
      </c>
      <c r="AT90">
        <f t="shared" ca="1" si="84"/>
        <v>1.145589173624344</v>
      </c>
      <c r="AU90">
        <f t="shared" ca="1" si="84"/>
        <v>0.44111533125377372</v>
      </c>
      <c r="AV90">
        <f t="shared" ca="1" si="84"/>
        <v>-1.1355161067690172</v>
      </c>
      <c r="AW90">
        <f t="shared" ca="1" si="84"/>
        <v>0.44180268504780024</v>
      </c>
      <c r="AX90">
        <f t="shared" ca="1" si="84"/>
        <v>-1.5641700960330005E-3</v>
      </c>
      <c r="AY90">
        <f t="shared" ca="1" si="84"/>
        <v>0.50147315960774053</v>
      </c>
      <c r="AZ90">
        <f t="shared" ca="1" si="84"/>
        <v>-0.27687702881749782</v>
      </c>
      <c r="BA90">
        <f t="shared" ca="1" si="84"/>
        <v>1.1853656619520228</v>
      </c>
      <c r="BB90">
        <f t="shared" ca="1" si="84"/>
        <v>0.77745728623603994</v>
      </c>
      <c r="BC90">
        <f t="shared" ca="1" si="84"/>
        <v>-6.6263314493553452E-2</v>
      </c>
      <c r="BD90">
        <f t="shared" ca="1" si="85"/>
        <v>1.0167600268654078</v>
      </c>
      <c r="BE90">
        <f t="shared" ca="1" si="85"/>
        <v>1.3383297532963405</v>
      </c>
      <c r="BF90">
        <f t="shared" ca="1" si="85"/>
        <v>-0.19553516927752138</v>
      </c>
      <c r="BG90">
        <f t="shared" ca="1" si="85"/>
        <v>0.83108714412829643</v>
      </c>
      <c r="BH90">
        <f t="shared" ca="1" si="85"/>
        <v>-0.199782004802532</v>
      </c>
      <c r="BI90">
        <f t="shared" ca="1" si="85"/>
        <v>1.1283744639908175</v>
      </c>
      <c r="BJ90">
        <f t="shared" ca="1" si="85"/>
        <v>-1.3011916191188506</v>
      </c>
      <c r="BK90">
        <f t="shared" ca="1" si="85"/>
        <v>1.3013117034007871</v>
      </c>
      <c r="BL90">
        <f t="shared" ca="1" si="85"/>
        <v>1.2366605752385829</v>
      </c>
      <c r="BM90">
        <f t="shared" ca="1" si="85"/>
        <v>-1.3254690110190046</v>
      </c>
      <c r="BN90">
        <f t="shared" ca="1" si="86"/>
        <v>-0.11278661776109951</v>
      </c>
      <c r="BO90">
        <f t="shared" ca="1" si="86"/>
        <v>0.24066984287219328</v>
      </c>
      <c r="BP90">
        <f t="shared" ca="1" si="86"/>
        <v>-0.9018359568658838</v>
      </c>
      <c r="BQ90">
        <f t="shared" ca="1" si="86"/>
        <v>-1.1895065175049218</v>
      </c>
      <c r="BR90">
        <f t="shared" ca="1" si="86"/>
        <v>-0.97764594418417494</v>
      </c>
      <c r="BS90">
        <f t="shared" ca="1" si="86"/>
        <v>-1.051061259104858</v>
      </c>
      <c r="BT90">
        <f t="shared" ca="1" si="86"/>
        <v>1.157161642404638</v>
      </c>
      <c r="BU90">
        <f t="shared" ca="1" si="86"/>
        <v>0.27551609777174296</v>
      </c>
      <c r="BV90">
        <f t="shared" ca="1" si="86"/>
        <v>-1.1833711337625397</v>
      </c>
      <c r="BW90">
        <f t="shared" ca="1" si="86"/>
        <v>0.29498536581615081</v>
      </c>
      <c r="BX90">
        <f t="shared" ca="1" si="87"/>
        <v>-0.89879010772806311</v>
      </c>
      <c r="BY90">
        <f t="shared" ca="1" si="87"/>
        <v>-0.80302533781942009</v>
      </c>
      <c r="BZ90">
        <f t="shared" ca="1" si="87"/>
        <v>0.80843662249634307</v>
      </c>
      <c r="CA90">
        <f t="shared" ca="1" si="87"/>
        <v>-0.16233264215659432</v>
      </c>
      <c r="CB90">
        <f t="shared" ca="1" si="87"/>
        <v>0.63343094790281551</v>
      </c>
      <c r="CC90">
        <f t="shared" ca="1" si="87"/>
        <v>-0.58063871468388017</v>
      </c>
      <c r="CD90">
        <f t="shared" ca="1" si="87"/>
        <v>-1.700149489173628</v>
      </c>
      <c r="CE90">
        <f t="shared" ca="1" si="87"/>
        <v>0.60700696399509735</v>
      </c>
      <c r="CF90">
        <f t="shared" ca="1" si="87"/>
        <v>-0.20709966667415949</v>
      </c>
      <c r="CG90">
        <f t="shared" ca="1" si="87"/>
        <v>1.4454817965317879</v>
      </c>
      <c r="CH90">
        <f t="shared" ca="1" si="88"/>
        <v>-0.72295593551037307</v>
      </c>
      <c r="CI90">
        <f t="shared" ca="1" si="88"/>
        <v>-1.9765281816062676</v>
      </c>
      <c r="CJ90">
        <f t="shared" ca="1" si="88"/>
        <v>0.15067389166264478</v>
      </c>
      <c r="CK90">
        <f t="shared" ca="1" si="88"/>
        <v>-0.74505148916348385</v>
      </c>
      <c r="CL90">
        <f t="shared" ca="1" si="88"/>
        <v>-1.3543245481074095</v>
      </c>
      <c r="CM90">
        <f t="shared" ca="1" si="88"/>
        <v>-0.90629169169820578</v>
      </c>
      <c r="CN90">
        <f t="shared" ca="1" si="88"/>
        <v>-0.15796433456174697</v>
      </c>
      <c r="CO90">
        <f t="shared" ca="1" si="88"/>
        <v>-0.87830975280719392</v>
      </c>
      <c r="CP90">
        <f t="shared" ca="1" si="88"/>
        <v>0.89843742190863918</v>
      </c>
      <c r="CQ90">
        <f t="shared" ca="1" si="88"/>
        <v>-0.22859001335083767</v>
      </c>
      <c r="CR90">
        <f t="shared" ca="1" si="89"/>
        <v>1.421703807533786</v>
      </c>
      <c r="CS90">
        <f t="shared" ca="1" si="89"/>
        <v>0.42986885256650731</v>
      </c>
      <c r="CT90">
        <f t="shared" ca="1" si="89"/>
        <v>-2.0544760475030603</v>
      </c>
      <c r="CU90">
        <f t="shared" ca="1" si="89"/>
        <v>0.73053691634240003</v>
      </c>
      <c r="CV90">
        <f t="shared" ca="1" si="89"/>
        <v>0.54009529135598433</v>
      </c>
      <c r="CW90">
        <f t="shared" ca="1" si="89"/>
        <v>-0.17929162351465297</v>
      </c>
      <c r="CX90">
        <f t="shared" ca="1" si="89"/>
        <v>0.84607971032572582</v>
      </c>
      <c r="CY90">
        <f t="shared" ca="1" si="89"/>
        <v>-1.052247981445777</v>
      </c>
      <c r="CZ90">
        <f t="shared" ca="1" si="89"/>
        <v>0.50681622480084376</v>
      </c>
      <c r="DA90">
        <f t="shared" ca="1" si="89"/>
        <v>0.26432655885963341</v>
      </c>
    </row>
    <row r="91" spans="5:105" x14ac:dyDescent="0.25">
      <c r="E91">
        <f>S_plus!L91</f>
        <v>0.89000000000000057</v>
      </c>
      <c r="F91">
        <f t="shared" ca="1" si="80"/>
        <v>-1.011347124668305</v>
      </c>
      <c r="G91">
        <f t="shared" ca="1" si="80"/>
        <v>-0.70795718218656101</v>
      </c>
      <c r="H91">
        <f t="shared" ca="1" si="80"/>
        <v>-0.23196104985516147</v>
      </c>
      <c r="I91">
        <f t="shared" ca="1" si="80"/>
        <v>-0.55015017403333788</v>
      </c>
      <c r="J91">
        <f t="shared" ca="1" si="80"/>
        <v>-1.4967162252263719</v>
      </c>
      <c r="K91">
        <f t="shared" ca="1" si="80"/>
        <v>-1.2634253614629221</v>
      </c>
      <c r="L91">
        <f t="shared" ca="1" si="80"/>
        <v>-0.94544072414690994</v>
      </c>
      <c r="M91">
        <f t="shared" ca="1" si="80"/>
        <v>1.1369901000025333</v>
      </c>
      <c r="N91">
        <f t="shared" ca="1" si="80"/>
        <v>0.69002005108343167</v>
      </c>
      <c r="O91">
        <f t="shared" ca="1" si="80"/>
        <v>-0.99312818901295541</v>
      </c>
      <c r="P91">
        <f t="shared" ca="1" si="81"/>
        <v>-0.29206907469748616</v>
      </c>
      <c r="Q91">
        <f t="shared" ca="1" si="81"/>
        <v>1.1046559676870884</v>
      </c>
      <c r="R91">
        <f t="shared" ca="1" si="81"/>
        <v>4.8791396879410656E-2</v>
      </c>
      <c r="S91">
        <f t="shared" ca="1" si="81"/>
        <v>-1.091964508285975</v>
      </c>
      <c r="T91">
        <f t="shared" ca="1" si="81"/>
        <v>-0.38888324654583944</v>
      </c>
      <c r="U91">
        <f t="shared" ca="1" si="81"/>
        <v>-2.3750905744176611</v>
      </c>
      <c r="V91">
        <f t="shared" ca="1" si="81"/>
        <v>-0.43931279727915512</v>
      </c>
      <c r="W91">
        <f t="shared" ca="1" si="81"/>
        <v>0.79315028920615305</v>
      </c>
      <c r="X91">
        <f t="shared" ca="1" si="81"/>
        <v>-1.517511556256389</v>
      </c>
      <c r="Y91">
        <f t="shared" ca="1" si="81"/>
        <v>-1.0524151853252703</v>
      </c>
      <c r="Z91">
        <f t="shared" ca="1" si="82"/>
        <v>1.5524453329663039</v>
      </c>
      <c r="AA91">
        <f t="shared" ca="1" si="82"/>
        <v>0.72585522901156307</v>
      </c>
      <c r="AB91">
        <f t="shared" ca="1" si="82"/>
        <v>0.55752376398482284</v>
      </c>
      <c r="AC91">
        <f t="shared" ca="1" si="82"/>
        <v>-0.17068898587826029</v>
      </c>
      <c r="AD91">
        <f t="shared" ca="1" si="82"/>
        <v>-0.25644357206401469</v>
      </c>
      <c r="AE91">
        <f t="shared" ca="1" si="82"/>
        <v>1.6125532933448326</v>
      </c>
      <c r="AF91">
        <f t="shared" ca="1" si="82"/>
        <v>0.397168976063</v>
      </c>
      <c r="AG91">
        <f t="shared" ca="1" si="82"/>
        <v>-0.35574816771823992</v>
      </c>
      <c r="AH91">
        <f t="shared" ca="1" si="82"/>
        <v>-9.1947753518831568E-2</v>
      </c>
      <c r="AI91">
        <f t="shared" ca="1" si="82"/>
        <v>1.1368369611604312</v>
      </c>
      <c r="AJ91">
        <f t="shared" ca="1" si="83"/>
        <v>1.0928880095261393</v>
      </c>
      <c r="AK91">
        <f t="shared" ca="1" si="83"/>
        <v>1.3650779625051206</v>
      </c>
      <c r="AL91">
        <f t="shared" ca="1" si="83"/>
        <v>-0.78859627490663609</v>
      </c>
      <c r="AM91">
        <f t="shared" ca="1" si="83"/>
        <v>-0.59354710785766507</v>
      </c>
      <c r="AN91">
        <f t="shared" ca="1" si="83"/>
        <v>-0.94050423165453412</v>
      </c>
      <c r="AO91">
        <f t="shared" ca="1" si="83"/>
        <v>1.0230917897414304</v>
      </c>
      <c r="AP91">
        <f t="shared" ca="1" si="83"/>
        <v>5.0543961258082387E-2</v>
      </c>
      <c r="AQ91">
        <f t="shared" ca="1" si="83"/>
        <v>-1.1979727298416223</v>
      </c>
      <c r="AR91">
        <f t="shared" ca="1" si="83"/>
        <v>0.32444378629096887</v>
      </c>
      <c r="AS91">
        <f t="shared" ca="1" si="83"/>
        <v>0.32606970147160619</v>
      </c>
      <c r="AT91">
        <f t="shared" ca="1" si="84"/>
        <v>1.1389241988899248</v>
      </c>
      <c r="AU91">
        <f t="shared" ca="1" si="84"/>
        <v>2.0055933631062426</v>
      </c>
      <c r="AV91">
        <f t="shared" ca="1" si="84"/>
        <v>1.2832864113065099</v>
      </c>
      <c r="AW91">
        <f t="shared" ca="1" si="84"/>
        <v>0.70489849209082467</v>
      </c>
      <c r="AX91">
        <f t="shared" ca="1" si="84"/>
        <v>-1.4634161477943348</v>
      </c>
      <c r="AY91">
        <f t="shared" ca="1" si="84"/>
        <v>1.1302205199628437</v>
      </c>
      <c r="AZ91">
        <f t="shared" ca="1" si="84"/>
        <v>-1.6746164622523374</v>
      </c>
      <c r="BA91">
        <f t="shared" ca="1" si="84"/>
        <v>2.0319331752022647</v>
      </c>
      <c r="BB91">
        <f t="shared" ca="1" si="84"/>
        <v>-1.8063734077979432</v>
      </c>
      <c r="BC91">
        <f t="shared" ca="1" si="84"/>
        <v>1.2222118578451868</v>
      </c>
      <c r="BD91">
        <f t="shared" ca="1" si="85"/>
        <v>-1.2185921812203486</v>
      </c>
      <c r="BE91">
        <f t="shared" ca="1" si="85"/>
        <v>-0.1025983527183231</v>
      </c>
      <c r="BF91">
        <f t="shared" ca="1" si="85"/>
        <v>-0.15515962392784921</v>
      </c>
      <c r="BG91">
        <f t="shared" ca="1" si="85"/>
        <v>-1.3459034924910362</v>
      </c>
      <c r="BH91">
        <f t="shared" ca="1" si="85"/>
        <v>-0.40204424077385853</v>
      </c>
      <c r="BI91">
        <f t="shared" ca="1" si="85"/>
        <v>1.5723848043751631</v>
      </c>
      <c r="BJ91">
        <f t="shared" ca="1" si="85"/>
        <v>-1.2552149772213481</v>
      </c>
      <c r="BK91">
        <f t="shared" ca="1" si="85"/>
        <v>-1.1226247429198588</v>
      </c>
      <c r="BL91">
        <f t="shared" ca="1" si="85"/>
        <v>-2.2569483701720031E-2</v>
      </c>
      <c r="BM91">
        <f t="shared" ca="1" si="85"/>
        <v>-0.466942654626953</v>
      </c>
      <c r="BN91">
        <f t="shared" ca="1" si="86"/>
        <v>1.0739909959556067</v>
      </c>
      <c r="BO91">
        <f t="shared" ca="1" si="86"/>
        <v>-7.4841675983310096E-2</v>
      </c>
      <c r="BP91">
        <f t="shared" ca="1" si="86"/>
        <v>-0.28631208451258389</v>
      </c>
      <c r="BQ91">
        <f t="shared" ca="1" si="86"/>
        <v>-0.51501600231626465</v>
      </c>
      <c r="BR91">
        <f t="shared" ca="1" si="86"/>
        <v>3.1141725853884996E-2</v>
      </c>
      <c r="BS91">
        <f t="shared" ca="1" si="86"/>
        <v>1.4253776292551303</v>
      </c>
      <c r="BT91">
        <f t="shared" ca="1" si="86"/>
        <v>1.8026054537011324E-2</v>
      </c>
      <c r="BU91">
        <f t="shared" ca="1" si="86"/>
        <v>-1.1794653614566868</v>
      </c>
      <c r="BV91">
        <f t="shared" ca="1" si="86"/>
        <v>0.46009316635031861</v>
      </c>
      <c r="BW91">
        <f t="shared" ca="1" si="86"/>
        <v>-1.7843778962228465</v>
      </c>
      <c r="BX91">
        <f t="shared" ca="1" si="87"/>
        <v>0.26418199963879174</v>
      </c>
      <c r="BY91">
        <f t="shared" ca="1" si="87"/>
        <v>8.0419884031223354E-2</v>
      </c>
      <c r="BZ91">
        <f t="shared" ca="1" si="87"/>
        <v>0.1999462734635018</v>
      </c>
      <c r="CA91">
        <f t="shared" ca="1" si="87"/>
        <v>-1.0807902768974429</v>
      </c>
      <c r="CB91">
        <f t="shared" ca="1" si="87"/>
        <v>-1.3726269474596353</v>
      </c>
      <c r="CC91">
        <f t="shared" ca="1" si="87"/>
        <v>-1.7275760546591417</v>
      </c>
      <c r="CD91">
        <f t="shared" ca="1" si="87"/>
        <v>-0.62827646277169646</v>
      </c>
      <c r="CE91">
        <f t="shared" ca="1" si="87"/>
        <v>-0.3212271053436826</v>
      </c>
      <c r="CF91">
        <f t="shared" ca="1" si="87"/>
        <v>-0.74900929149913364</v>
      </c>
      <c r="CG91">
        <f t="shared" ca="1" si="87"/>
        <v>2.6891161287820555</v>
      </c>
      <c r="CH91">
        <f t="shared" ca="1" si="88"/>
        <v>1.7149274704195024E-2</v>
      </c>
      <c r="CI91">
        <f t="shared" ca="1" si="88"/>
        <v>0.67940811961437098</v>
      </c>
      <c r="CJ91">
        <f t="shared" ca="1" si="88"/>
        <v>0.34818407085061287</v>
      </c>
      <c r="CK91">
        <f t="shared" ca="1" si="88"/>
        <v>0.68410042201293331</v>
      </c>
      <c r="CL91">
        <f t="shared" ca="1" si="88"/>
        <v>0.31558213989224054</v>
      </c>
      <c r="CM91">
        <f t="shared" ca="1" si="88"/>
        <v>2.2948657954931089</v>
      </c>
      <c r="CN91">
        <f t="shared" ca="1" si="88"/>
        <v>2.2254832818245545</v>
      </c>
      <c r="CO91">
        <f t="shared" ca="1" si="88"/>
        <v>-0.34012017305101772</v>
      </c>
      <c r="CP91">
        <f t="shared" ca="1" si="88"/>
        <v>-0.35046538210276951</v>
      </c>
      <c r="CQ91">
        <f t="shared" ca="1" si="88"/>
        <v>0.39188853314580485</v>
      </c>
      <c r="CR91">
        <f t="shared" ca="1" si="89"/>
        <v>-1.1646122057043866</v>
      </c>
      <c r="CS91">
        <f t="shared" ca="1" si="89"/>
        <v>0.88655215257218067</v>
      </c>
      <c r="CT91">
        <f t="shared" ca="1" si="89"/>
        <v>-0.94349147087171759</v>
      </c>
      <c r="CU91">
        <f t="shared" ca="1" si="89"/>
        <v>-0.72566058888438045</v>
      </c>
      <c r="CV91">
        <f t="shared" ca="1" si="89"/>
        <v>0.48660271971672131</v>
      </c>
      <c r="CW91">
        <f t="shared" ca="1" si="89"/>
        <v>-0.2440096662879789</v>
      </c>
      <c r="CX91">
        <f t="shared" ca="1" si="89"/>
        <v>1.284868279242767</v>
      </c>
      <c r="CY91">
        <f t="shared" ca="1" si="89"/>
        <v>-0.33825821401838474</v>
      </c>
      <c r="CZ91">
        <f t="shared" ca="1" si="89"/>
        <v>1.1061000094354347</v>
      </c>
      <c r="DA91">
        <f t="shared" ca="1" si="89"/>
        <v>-1.1640908152291796</v>
      </c>
    </row>
    <row r="92" spans="5:105" x14ac:dyDescent="0.25">
      <c r="E92">
        <f>S_plus!L92</f>
        <v>0.90000000000000058</v>
      </c>
      <c r="F92">
        <f t="shared" ca="1" si="80"/>
        <v>-1.3816810567444022</v>
      </c>
      <c r="G92">
        <f t="shared" ca="1" si="80"/>
        <v>0.14996162258068299</v>
      </c>
      <c r="H92">
        <f t="shared" ca="1" si="80"/>
        <v>1.3216367165638274</v>
      </c>
      <c r="I92">
        <f t="shared" ca="1" si="80"/>
        <v>-9.3208406935014282E-2</v>
      </c>
      <c r="J92">
        <f t="shared" ca="1" si="80"/>
        <v>-1.5753968121594277</v>
      </c>
      <c r="K92">
        <f t="shared" ca="1" si="80"/>
        <v>0.55214177291456612</v>
      </c>
      <c r="L92">
        <f t="shared" ca="1" si="80"/>
        <v>-0.52069572264110442</v>
      </c>
      <c r="M92">
        <f t="shared" ca="1" si="80"/>
        <v>-0.79428512515057403</v>
      </c>
      <c r="N92">
        <f t="shared" ca="1" si="80"/>
        <v>-1.5096965809211957</v>
      </c>
      <c r="O92">
        <f t="shared" ca="1" si="80"/>
        <v>1.354271597835474</v>
      </c>
      <c r="P92">
        <f t="shared" ca="1" si="81"/>
        <v>-0.60602019956139996</v>
      </c>
      <c r="Q92">
        <f t="shared" ca="1" si="81"/>
        <v>1.3772889947517195</v>
      </c>
      <c r="R92">
        <f t="shared" ca="1" si="81"/>
        <v>-0.21918079346030486</v>
      </c>
      <c r="S92">
        <f t="shared" ca="1" si="81"/>
        <v>0.62297856086105419</v>
      </c>
      <c r="T92">
        <f t="shared" ca="1" si="81"/>
        <v>0.33122851398684011</v>
      </c>
      <c r="U92">
        <f t="shared" ca="1" si="81"/>
        <v>-2.7188153632844228E-2</v>
      </c>
      <c r="V92">
        <f t="shared" ca="1" si="81"/>
        <v>1.5741086424444541</v>
      </c>
      <c r="W92">
        <f t="shared" ca="1" si="81"/>
        <v>-1.1304620819120477</v>
      </c>
      <c r="X92">
        <f t="shared" ca="1" si="81"/>
        <v>-6.9621330071972576E-2</v>
      </c>
      <c r="Y92">
        <f t="shared" ca="1" si="81"/>
        <v>0.1270536703838506</v>
      </c>
      <c r="Z92">
        <f t="shared" ca="1" si="82"/>
        <v>-1.7658388553612072</v>
      </c>
      <c r="AA92">
        <f t="shared" ca="1" si="82"/>
        <v>-0.91073536551772838</v>
      </c>
      <c r="AB92">
        <f t="shared" ca="1" si="82"/>
        <v>0.75058144282604289</v>
      </c>
      <c r="AC92">
        <f t="shared" ca="1" si="82"/>
        <v>-0.20120099123215315</v>
      </c>
      <c r="AD92">
        <f t="shared" ca="1" si="82"/>
        <v>-5.9318008428159069E-2</v>
      </c>
      <c r="AE92">
        <f t="shared" ca="1" si="82"/>
        <v>-1.1398626672763155</v>
      </c>
      <c r="AF92">
        <f t="shared" ca="1" si="82"/>
        <v>-4.2177536023898184E-2</v>
      </c>
      <c r="AG92">
        <f t="shared" ca="1" si="82"/>
        <v>0.13502442824784144</v>
      </c>
      <c r="AH92">
        <f t="shared" ca="1" si="82"/>
        <v>-1.8488120102770527</v>
      </c>
      <c r="AI92">
        <f t="shared" ca="1" si="82"/>
        <v>0.15852121589140405</v>
      </c>
      <c r="AJ92">
        <f t="shared" ca="1" si="83"/>
        <v>1.2776944819638345</v>
      </c>
      <c r="AK92">
        <f t="shared" ca="1" si="83"/>
        <v>0.2319502919413127</v>
      </c>
      <c r="AL92">
        <f t="shared" ca="1" si="83"/>
        <v>1.5870253771211842</v>
      </c>
      <c r="AM92">
        <f t="shared" ca="1" si="83"/>
        <v>1.7321924147362553</v>
      </c>
      <c r="AN92">
        <f t="shared" ca="1" si="83"/>
        <v>-1.4260693317845798</v>
      </c>
      <c r="AO92">
        <f t="shared" ca="1" si="83"/>
        <v>0.29102322433242106</v>
      </c>
      <c r="AP92">
        <f t="shared" ca="1" si="83"/>
        <v>-1.223200003269602</v>
      </c>
      <c r="AQ92">
        <f t="shared" ca="1" si="83"/>
        <v>-2.2702358761425723</v>
      </c>
      <c r="AR92">
        <f t="shared" ca="1" si="83"/>
        <v>-0.94651216369840618</v>
      </c>
      <c r="AS92">
        <f t="shared" ca="1" si="83"/>
        <v>-0.73021935087607392</v>
      </c>
      <c r="AT92">
        <f t="shared" ca="1" si="84"/>
        <v>0.72593071788374974</v>
      </c>
      <c r="AU92">
        <f t="shared" ca="1" si="84"/>
        <v>-0.80261094923122323</v>
      </c>
      <c r="AV92">
        <f t="shared" ca="1" si="84"/>
        <v>0.38976055034320733</v>
      </c>
      <c r="AW92">
        <f t="shared" ca="1" si="84"/>
        <v>0.67858779061525076</v>
      </c>
      <c r="AX92">
        <f t="shared" ca="1" si="84"/>
        <v>-0.39766081600830333</v>
      </c>
      <c r="AY92">
        <f t="shared" ca="1" si="84"/>
        <v>0.27856117557818322</v>
      </c>
      <c r="AZ92">
        <f t="shared" ca="1" si="84"/>
        <v>0.56056462267333351</v>
      </c>
      <c r="BA92">
        <f t="shared" ca="1" si="84"/>
        <v>-1.2033993515124182</v>
      </c>
      <c r="BB92">
        <f t="shared" ca="1" si="84"/>
        <v>7.2002723844473374E-3</v>
      </c>
      <c r="BC92">
        <f t="shared" ca="1" si="84"/>
        <v>2.0423815648486472</v>
      </c>
      <c r="BD92">
        <f t="shared" ca="1" si="85"/>
        <v>-0.37715389003015637</v>
      </c>
      <c r="BE92">
        <f t="shared" ca="1" si="85"/>
        <v>2.182826043916458</v>
      </c>
      <c r="BF92">
        <f t="shared" ca="1" si="85"/>
        <v>-0.15425219920217675</v>
      </c>
      <c r="BG92">
        <f t="shared" ca="1" si="85"/>
        <v>-0.45079772110199745</v>
      </c>
      <c r="BH92">
        <f t="shared" ca="1" si="85"/>
        <v>-0.65736089209512605</v>
      </c>
      <c r="BI92">
        <f t="shared" ca="1" si="85"/>
        <v>0.83053264665463933</v>
      </c>
      <c r="BJ92">
        <f t="shared" ca="1" si="85"/>
        <v>1.7340452624766951</v>
      </c>
      <c r="BK92">
        <f t="shared" ca="1" si="85"/>
        <v>0.35123570859065045</v>
      </c>
      <c r="BL92">
        <f t="shared" ca="1" si="85"/>
        <v>0.44140570086066405</v>
      </c>
      <c r="BM92">
        <f t="shared" ca="1" si="85"/>
        <v>1.8956139107556511</v>
      </c>
      <c r="BN92">
        <f t="shared" ca="1" si="86"/>
        <v>-2.1975228954019421</v>
      </c>
      <c r="BO92">
        <f t="shared" ca="1" si="86"/>
        <v>-0.47928446624079368</v>
      </c>
      <c r="BP92">
        <f t="shared" ca="1" si="86"/>
        <v>-0.25533385675193632</v>
      </c>
      <c r="BQ92">
        <f t="shared" ca="1" si="86"/>
        <v>0.70513829259114302</v>
      </c>
      <c r="BR92">
        <f t="shared" ca="1" si="86"/>
        <v>0.80912385903943762</v>
      </c>
      <c r="BS92">
        <f t="shared" ca="1" si="86"/>
        <v>0.99384442011680862</v>
      </c>
      <c r="BT92">
        <f t="shared" ca="1" si="86"/>
        <v>0.81721174854350498</v>
      </c>
      <c r="BU92">
        <f t="shared" ca="1" si="86"/>
        <v>-0.26481367541873335</v>
      </c>
      <c r="BV92">
        <f t="shared" ca="1" si="86"/>
        <v>-3.1857538668820782</v>
      </c>
      <c r="BW92">
        <f t="shared" ca="1" si="86"/>
        <v>-7.198032100046925E-2</v>
      </c>
      <c r="BX92">
        <f t="shared" ca="1" si="87"/>
        <v>0.28027721457962146</v>
      </c>
      <c r="BY92">
        <f t="shared" ca="1" si="87"/>
        <v>-0.76091083516386315</v>
      </c>
      <c r="BZ92">
        <f t="shared" ca="1" si="87"/>
        <v>1.0751860082557367</v>
      </c>
      <c r="CA92">
        <f t="shared" ca="1" si="87"/>
        <v>1.6693128901869294</v>
      </c>
      <c r="CB92">
        <f t="shared" ca="1" si="87"/>
        <v>1.1016857006477634</v>
      </c>
      <c r="CC92">
        <f t="shared" ca="1" si="87"/>
        <v>-2.5791681795978305</v>
      </c>
      <c r="CD92">
        <f t="shared" ca="1" si="87"/>
        <v>-0.78750717548712967</v>
      </c>
      <c r="CE92">
        <f t="shared" ca="1" si="87"/>
        <v>1.0114903598513147</v>
      </c>
      <c r="CF92">
        <f t="shared" ca="1" si="87"/>
        <v>0.7262280512538648</v>
      </c>
      <c r="CG92">
        <f t="shared" ca="1" si="87"/>
        <v>-1.1292898844912316</v>
      </c>
      <c r="CH92">
        <f t="shared" ca="1" si="88"/>
        <v>0.15380804302253742</v>
      </c>
      <c r="CI92">
        <f t="shared" ca="1" si="88"/>
        <v>-3.0856808350019989E-3</v>
      </c>
      <c r="CJ92">
        <f t="shared" ca="1" si="88"/>
        <v>-0.17689226472292313</v>
      </c>
      <c r="CK92">
        <f t="shared" ca="1" si="88"/>
        <v>-0.58292714504444587</v>
      </c>
      <c r="CL92">
        <f t="shared" ca="1" si="88"/>
        <v>0.37182714936069333</v>
      </c>
      <c r="CM92">
        <f t="shared" ca="1" si="88"/>
        <v>-1.0491455191008925</v>
      </c>
      <c r="CN92">
        <f t="shared" ca="1" si="88"/>
        <v>0.1164203853659669</v>
      </c>
      <c r="CO92">
        <f t="shared" ca="1" si="88"/>
        <v>0.26027962862774162</v>
      </c>
      <c r="CP92">
        <f t="shared" ca="1" si="88"/>
        <v>0.21476021360719175</v>
      </c>
      <c r="CQ92">
        <f t="shared" ca="1" si="88"/>
        <v>-6.4103169522915338E-2</v>
      </c>
      <c r="CR92">
        <f t="shared" ca="1" si="89"/>
        <v>0.66825475992350614</v>
      </c>
      <c r="CS92">
        <f t="shared" ca="1" si="89"/>
        <v>0.13338017838816765</v>
      </c>
      <c r="CT92">
        <f t="shared" ca="1" si="89"/>
        <v>-0.33327961207840523</v>
      </c>
      <c r="CU92">
        <f t="shared" ca="1" si="89"/>
        <v>-0.54332438607246314</v>
      </c>
      <c r="CV92">
        <f t="shared" ca="1" si="89"/>
        <v>3.1583675201074815E-2</v>
      </c>
      <c r="CW92">
        <f t="shared" ca="1" si="89"/>
        <v>-1.2622295306356086</v>
      </c>
      <c r="CX92">
        <f t="shared" ca="1" si="89"/>
        <v>0.12881901381378155</v>
      </c>
      <c r="CY92">
        <f t="shared" ca="1" si="89"/>
        <v>1.4617322836508002</v>
      </c>
      <c r="CZ92">
        <f t="shared" ca="1" si="89"/>
        <v>-2.02869808904518</v>
      </c>
      <c r="DA92">
        <f t="shared" ca="1" si="89"/>
        <v>-1.1673477431775501</v>
      </c>
    </row>
    <row r="93" spans="5:105" x14ac:dyDescent="0.25">
      <c r="E93">
        <f>S_plus!L93</f>
        <v>0.91000000000000059</v>
      </c>
      <c r="F93">
        <f t="shared" ref="F93:O102" ca="1" si="90">_xlfn.NORM.S.INV(RAND())</f>
        <v>-1.2494296633857778</v>
      </c>
      <c r="G93">
        <f t="shared" ca="1" si="90"/>
        <v>1.5625589661488268</v>
      </c>
      <c r="H93">
        <f t="shared" ca="1" si="90"/>
        <v>-0.73055228399599204</v>
      </c>
      <c r="I93">
        <f t="shared" ca="1" si="90"/>
        <v>-0.75935065830134607</v>
      </c>
      <c r="J93">
        <f t="shared" ca="1" si="90"/>
        <v>-0.54644205701057569</v>
      </c>
      <c r="K93">
        <f t="shared" ca="1" si="90"/>
        <v>1.6378797008542436</v>
      </c>
      <c r="L93">
        <f t="shared" ca="1" si="90"/>
        <v>-0.63153737122794484</v>
      </c>
      <c r="M93">
        <f t="shared" ca="1" si="90"/>
        <v>-0.46875613202044997</v>
      </c>
      <c r="N93">
        <f t="shared" ca="1" si="90"/>
        <v>0.1042897548212726</v>
      </c>
      <c r="O93">
        <f t="shared" ca="1" si="90"/>
        <v>-1.1880010938672692</v>
      </c>
      <c r="P93">
        <f t="shared" ref="P93:Y102" ca="1" si="91">_xlfn.NORM.S.INV(RAND())</f>
        <v>-1.0652077976710594</v>
      </c>
      <c r="Q93">
        <f t="shared" ca="1" si="91"/>
        <v>-0.49671823530621867</v>
      </c>
      <c r="R93">
        <f t="shared" ca="1" si="91"/>
        <v>-2.1132459511314812</v>
      </c>
      <c r="S93">
        <f t="shared" ca="1" si="91"/>
        <v>-1.066586017621989</v>
      </c>
      <c r="T93">
        <f t="shared" ca="1" si="91"/>
        <v>0.71619428051762724</v>
      </c>
      <c r="U93">
        <f t="shared" ca="1" si="91"/>
        <v>0.6215898143188342</v>
      </c>
      <c r="V93">
        <f t="shared" ca="1" si="91"/>
        <v>-1.0516865011818948</v>
      </c>
      <c r="W93">
        <f t="shared" ca="1" si="91"/>
        <v>1.0378958612870506</v>
      </c>
      <c r="X93">
        <f t="shared" ca="1" si="91"/>
        <v>-0.23489067575434872</v>
      </c>
      <c r="Y93">
        <f t="shared" ca="1" si="91"/>
        <v>-1.1728530396038217</v>
      </c>
      <c r="Z93">
        <f t="shared" ref="Z93:AI102" ca="1" si="92">_xlfn.NORM.S.INV(RAND())</f>
        <v>-1.5624830801796699</v>
      </c>
      <c r="AA93">
        <f t="shared" ca="1" si="92"/>
        <v>-0.10216952983054278</v>
      </c>
      <c r="AB93">
        <f t="shared" ca="1" si="92"/>
        <v>-1.5331936245279785</v>
      </c>
      <c r="AC93">
        <f t="shared" ca="1" si="92"/>
        <v>-1.2128825399285232</v>
      </c>
      <c r="AD93">
        <f t="shared" ca="1" si="92"/>
        <v>0.67189656549141108</v>
      </c>
      <c r="AE93">
        <f t="shared" ca="1" si="92"/>
        <v>0.40985309916727475</v>
      </c>
      <c r="AF93">
        <f t="shared" ca="1" si="92"/>
        <v>0.70872673135676689</v>
      </c>
      <c r="AG93">
        <f t="shared" ca="1" si="92"/>
        <v>-0.18033682047379168</v>
      </c>
      <c r="AH93">
        <f t="shared" ca="1" si="92"/>
        <v>-2.2623721307045623</v>
      </c>
      <c r="AI93">
        <f t="shared" ca="1" si="92"/>
        <v>0.34955125643615315</v>
      </c>
      <c r="AJ93">
        <f t="shared" ref="AJ93:AS102" ca="1" si="93">_xlfn.NORM.S.INV(RAND())</f>
        <v>-0.67354414428415443</v>
      </c>
      <c r="AK93">
        <f t="shared" ca="1" si="93"/>
        <v>-1.1173882535219863</v>
      </c>
      <c r="AL93">
        <f t="shared" ca="1" si="93"/>
        <v>1.2075302508665307</v>
      </c>
      <c r="AM93">
        <f t="shared" ca="1" si="93"/>
        <v>-0.2546982344835933</v>
      </c>
      <c r="AN93">
        <f t="shared" ca="1" si="93"/>
        <v>0.87525641234957385</v>
      </c>
      <c r="AO93">
        <f t="shared" ca="1" si="93"/>
        <v>3.0845242230656076E-2</v>
      </c>
      <c r="AP93">
        <f t="shared" ca="1" si="93"/>
        <v>0.669925723950623</v>
      </c>
      <c r="AQ93">
        <f t="shared" ca="1" si="93"/>
        <v>1.3421860408315429</v>
      </c>
      <c r="AR93">
        <f t="shared" ca="1" si="93"/>
        <v>2.6043069977488471E-2</v>
      </c>
      <c r="AS93">
        <f t="shared" ca="1" si="93"/>
        <v>1.0386129221902345</v>
      </c>
      <c r="AT93">
        <f t="shared" ref="AT93:BC102" ca="1" si="94">_xlfn.NORM.S.INV(RAND())</f>
        <v>0.5028234051382261</v>
      </c>
      <c r="AU93">
        <f t="shared" ca="1" si="94"/>
        <v>0.22580457090607425</v>
      </c>
      <c r="AV93">
        <f t="shared" ca="1" si="94"/>
        <v>0.24007072033917898</v>
      </c>
      <c r="AW93">
        <f t="shared" ca="1" si="94"/>
        <v>-0.1902465460595304</v>
      </c>
      <c r="AX93">
        <f t="shared" ca="1" si="94"/>
        <v>-0.28097454740284838</v>
      </c>
      <c r="AY93">
        <f t="shared" ca="1" si="94"/>
        <v>1.1624445130042182</v>
      </c>
      <c r="AZ93">
        <f t="shared" ca="1" si="94"/>
        <v>-0.27577146876369429</v>
      </c>
      <c r="BA93">
        <f t="shared" ca="1" si="94"/>
        <v>-0.41503786593195008</v>
      </c>
      <c r="BB93">
        <f t="shared" ca="1" si="94"/>
        <v>-0.14800872276168428</v>
      </c>
      <c r="BC93">
        <f t="shared" ca="1" si="94"/>
        <v>7.2784799690289628E-2</v>
      </c>
      <c r="BD93">
        <f t="shared" ref="BD93:BM102" ca="1" si="95">_xlfn.NORM.S.INV(RAND())</f>
        <v>0.89511906247876571</v>
      </c>
      <c r="BE93">
        <f t="shared" ca="1" si="95"/>
        <v>-1.5958657603114663</v>
      </c>
      <c r="BF93">
        <f t="shared" ca="1" si="95"/>
        <v>-1.7304771711903915</v>
      </c>
      <c r="BG93">
        <f t="shared" ca="1" si="95"/>
        <v>-0.87348399657598419</v>
      </c>
      <c r="BH93">
        <f t="shared" ca="1" si="95"/>
        <v>-2.4652219030867419</v>
      </c>
      <c r="BI93">
        <f t="shared" ca="1" si="95"/>
        <v>-1.2396607545757214</v>
      </c>
      <c r="BJ93">
        <f t="shared" ca="1" si="95"/>
        <v>-0.4281240192303174</v>
      </c>
      <c r="BK93">
        <f t="shared" ca="1" si="95"/>
        <v>-0.21936748207641413</v>
      </c>
      <c r="BL93">
        <f t="shared" ca="1" si="95"/>
        <v>2.7004298552226884</v>
      </c>
      <c r="BM93">
        <f t="shared" ca="1" si="95"/>
        <v>-0.75614371484194609</v>
      </c>
      <c r="BN93">
        <f t="shared" ref="BN93:BW102" ca="1" si="96">_xlfn.NORM.S.INV(RAND())</f>
        <v>1.3572766058889625</v>
      </c>
      <c r="BO93">
        <f t="shared" ca="1" si="96"/>
        <v>-0.37789055203819377</v>
      </c>
      <c r="BP93">
        <f t="shared" ca="1" si="96"/>
        <v>-0.25467875433981357</v>
      </c>
      <c r="BQ93">
        <f t="shared" ca="1" si="96"/>
        <v>2.2714288119567541</v>
      </c>
      <c r="BR93">
        <f t="shared" ca="1" si="96"/>
        <v>-1.5297473927996923</v>
      </c>
      <c r="BS93">
        <f t="shared" ca="1" si="96"/>
        <v>-0.72047480255409546</v>
      </c>
      <c r="BT93">
        <f t="shared" ca="1" si="96"/>
        <v>0.41304011372689381</v>
      </c>
      <c r="BU93">
        <f t="shared" ca="1" si="96"/>
        <v>0.8226023185638992</v>
      </c>
      <c r="BV93">
        <f t="shared" ca="1" si="96"/>
        <v>1.4097748630263138</v>
      </c>
      <c r="BW93">
        <f t="shared" ca="1" si="96"/>
        <v>-1.1402362605242189</v>
      </c>
      <c r="BX93">
        <f t="shared" ref="BX93:CG102" ca="1" si="97">_xlfn.NORM.S.INV(RAND())</f>
        <v>2.01068097108642</v>
      </c>
      <c r="BY93">
        <f t="shared" ca="1" si="97"/>
        <v>-0.70190847424558944</v>
      </c>
      <c r="BZ93">
        <f t="shared" ca="1" si="97"/>
        <v>-0.32861101746800869</v>
      </c>
      <c r="CA93">
        <f t="shared" ca="1" si="97"/>
        <v>-0.26614222199034021</v>
      </c>
      <c r="CB93">
        <f t="shared" ca="1" si="97"/>
        <v>0.9105378278421068</v>
      </c>
      <c r="CC93">
        <f t="shared" ca="1" si="97"/>
        <v>-0.23674999423391307</v>
      </c>
      <c r="CD93">
        <f t="shared" ca="1" si="97"/>
        <v>-2.1542678763986562</v>
      </c>
      <c r="CE93">
        <f t="shared" ca="1" si="97"/>
        <v>0.11131930506625481</v>
      </c>
      <c r="CF93">
        <f t="shared" ca="1" si="97"/>
        <v>2.2189005580079963</v>
      </c>
      <c r="CG93">
        <f t="shared" ca="1" si="97"/>
        <v>0.81258602033188587</v>
      </c>
      <c r="CH93">
        <f t="shared" ref="CH93:CQ102" ca="1" si="98">_xlfn.NORM.S.INV(RAND())</f>
        <v>1.7306267428671307</v>
      </c>
      <c r="CI93">
        <f t="shared" ca="1" si="98"/>
        <v>-9.2723604381022409E-2</v>
      </c>
      <c r="CJ93">
        <f t="shared" ca="1" si="98"/>
        <v>-0.21159940644916803</v>
      </c>
      <c r="CK93">
        <f t="shared" ca="1" si="98"/>
        <v>-1.9956373581849263</v>
      </c>
      <c r="CL93">
        <f t="shared" ca="1" si="98"/>
        <v>0.17416774411302083</v>
      </c>
      <c r="CM93">
        <f t="shared" ca="1" si="98"/>
        <v>-0.5861993451253994</v>
      </c>
      <c r="CN93">
        <f t="shared" ca="1" si="98"/>
        <v>0.88179345744695425</v>
      </c>
      <c r="CO93">
        <f t="shared" ca="1" si="98"/>
        <v>1.5164405813366266</v>
      </c>
      <c r="CP93">
        <f t="shared" ca="1" si="98"/>
        <v>-0.43390918435097597</v>
      </c>
      <c r="CQ93">
        <f t="shared" ca="1" si="98"/>
        <v>-0.66809879250445658</v>
      </c>
      <c r="CR93">
        <f t="shared" ref="CR93:DA102" ca="1" si="99">_xlfn.NORM.S.INV(RAND())</f>
        <v>0.73968730744681421</v>
      </c>
      <c r="CS93">
        <f t="shared" ca="1" si="99"/>
        <v>0.55822204656796515</v>
      </c>
      <c r="CT93">
        <f t="shared" ca="1" si="99"/>
        <v>-0.40363456069463466</v>
      </c>
      <c r="CU93">
        <f t="shared" ca="1" si="99"/>
        <v>0.91593212431853721</v>
      </c>
      <c r="CV93">
        <f t="shared" ca="1" si="99"/>
        <v>-1.1107530637194218</v>
      </c>
      <c r="CW93">
        <f t="shared" ca="1" si="99"/>
        <v>1.1101491956636813</v>
      </c>
      <c r="CX93">
        <f t="shared" ca="1" si="99"/>
        <v>1.3391164849678885</v>
      </c>
      <c r="CY93">
        <f t="shared" ca="1" si="99"/>
        <v>0.10223998256439637</v>
      </c>
      <c r="CZ93">
        <f t="shared" ca="1" si="99"/>
        <v>0.20602022637210715</v>
      </c>
      <c r="DA93">
        <f t="shared" ca="1" si="99"/>
        <v>-0.9837583191809417</v>
      </c>
    </row>
    <row r="94" spans="5:105" x14ac:dyDescent="0.25">
      <c r="E94">
        <f>S_plus!L94</f>
        <v>0.9200000000000006</v>
      </c>
      <c r="F94">
        <f t="shared" ca="1" si="90"/>
        <v>-2.0444301192771834</v>
      </c>
      <c r="G94">
        <f t="shared" ca="1" si="90"/>
        <v>1.2541761740811399</v>
      </c>
      <c r="H94">
        <f t="shared" ca="1" si="90"/>
        <v>0.17602565028323752</v>
      </c>
      <c r="I94">
        <f t="shared" ca="1" si="90"/>
        <v>0.18461257300535897</v>
      </c>
      <c r="J94">
        <f t="shared" ca="1" si="90"/>
        <v>-1.6295074923361079</v>
      </c>
      <c r="K94">
        <f t="shared" ca="1" si="90"/>
        <v>1.1351222868108792</v>
      </c>
      <c r="L94">
        <f t="shared" ca="1" si="90"/>
        <v>-0.63303561709275191</v>
      </c>
      <c r="M94">
        <f t="shared" ca="1" si="90"/>
        <v>-1.320074847422977E-2</v>
      </c>
      <c r="N94">
        <f t="shared" ca="1" si="90"/>
        <v>-1.2723575225847907</v>
      </c>
      <c r="O94">
        <f t="shared" ca="1" si="90"/>
        <v>-1.0040492759315665</v>
      </c>
      <c r="P94">
        <f t="shared" ca="1" si="91"/>
        <v>-1.9852870677987653</v>
      </c>
      <c r="Q94">
        <f t="shared" ca="1" si="91"/>
        <v>1.2858883076300263</v>
      </c>
      <c r="R94">
        <f t="shared" ca="1" si="91"/>
        <v>0.12634505514009403</v>
      </c>
      <c r="S94">
        <f t="shared" ca="1" si="91"/>
        <v>0.3250404908678729</v>
      </c>
      <c r="T94">
        <f t="shared" ca="1" si="91"/>
        <v>0.83597855423032685</v>
      </c>
      <c r="U94">
        <f t="shared" ca="1" si="91"/>
        <v>-0.28239065615134568</v>
      </c>
      <c r="V94">
        <f t="shared" ca="1" si="91"/>
        <v>-9.4971152548934443E-2</v>
      </c>
      <c r="W94">
        <f t="shared" ca="1" si="91"/>
        <v>-1.3152067421708078</v>
      </c>
      <c r="X94">
        <f t="shared" ca="1" si="91"/>
        <v>-0.50034438874717979</v>
      </c>
      <c r="Y94">
        <f t="shared" ca="1" si="91"/>
        <v>-0.8510925384032163</v>
      </c>
      <c r="Z94">
        <f t="shared" ca="1" si="92"/>
        <v>-5.6453130631162071E-2</v>
      </c>
      <c r="AA94">
        <f t="shared" ca="1" si="92"/>
        <v>0.56605033923080228</v>
      </c>
      <c r="AB94">
        <f t="shared" ca="1" si="92"/>
        <v>0.36249485873179765</v>
      </c>
      <c r="AC94">
        <f t="shared" ca="1" si="92"/>
        <v>0.3148323470263969</v>
      </c>
      <c r="AD94">
        <f t="shared" ca="1" si="92"/>
        <v>1.0853776071321384</v>
      </c>
      <c r="AE94">
        <f t="shared" ca="1" si="92"/>
        <v>1.1714105090865328</v>
      </c>
      <c r="AF94">
        <f t="shared" ca="1" si="92"/>
        <v>-0.32375707101443896</v>
      </c>
      <c r="AG94">
        <f t="shared" ca="1" si="92"/>
        <v>-0.44620673284430717</v>
      </c>
      <c r="AH94">
        <f t="shared" ca="1" si="92"/>
        <v>0.35324040673795454</v>
      </c>
      <c r="AI94">
        <f t="shared" ca="1" si="92"/>
        <v>0.15337257752239053</v>
      </c>
      <c r="AJ94">
        <f t="shared" ca="1" si="93"/>
        <v>-0.12011871497754836</v>
      </c>
      <c r="AK94">
        <f t="shared" ca="1" si="93"/>
        <v>0.54260555690719359</v>
      </c>
      <c r="AL94">
        <f t="shared" ca="1" si="93"/>
        <v>1.7780566436780247</v>
      </c>
      <c r="AM94">
        <f t="shared" ca="1" si="93"/>
        <v>-1.7808199086184089</v>
      </c>
      <c r="AN94">
        <f t="shared" ca="1" si="93"/>
        <v>-1.4013681009579244</v>
      </c>
      <c r="AO94">
        <f t="shared" ca="1" si="93"/>
        <v>-1.1153094015526137</v>
      </c>
      <c r="AP94">
        <f t="shared" ca="1" si="93"/>
        <v>1.198821336573916</v>
      </c>
      <c r="AQ94">
        <f t="shared" ca="1" si="93"/>
        <v>-0.97422379001326675</v>
      </c>
      <c r="AR94">
        <f t="shared" ca="1" si="93"/>
        <v>-0.47890182460865743</v>
      </c>
      <c r="AS94">
        <f t="shared" ca="1" si="93"/>
        <v>1.7088625237009663</v>
      </c>
      <c r="AT94">
        <f t="shared" ca="1" si="94"/>
        <v>3.2161779540856985</v>
      </c>
      <c r="AU94">
        <f t="shared" ca="1" si="94"/>
        <v>-1.5516054851318961</v>
      </c>
      <c r="AV94">
        <f t="shared" ca="1" si="94"/>
        <v>0.28800386616021445</v>
      </c>
      <c r="AW94">
        <f t="shared" ca="1" si="94"/>
        <v>6.8696175480629201E-2</v>
      </c>
      <c r="AX94">
        <f t="shared" ca="1" si="94"/>
        <v>-0.63252412282269965</v>
      </c>
      <c r="AY94">
        <f t="shared" ca="1" si="94"/>
        <v>-0.45903188639693521</v>
      </c>
      <c r="AZ94">
        <f t="shared" ca="1" si="94"/>
        <v>1.4175051062489483</v>
      </c>
      <c r="BA94">
        <f t="shared" ca="1" si="94"/>
        <v>-5.6277954344488415E-2</v>
      </c>
      <c r="BB94">
        <f t="shared" ca="1" si="94"/>
        <v>1.1426778153136894</v>
      </c>
      <c r="BC94">
        <f t="shared" ca="1" si="94"/>
        <v>0.74206075906285651</v>
      </c>
      <c r="BD94">
        <f t="shared" ca="1" si="95"/>
        <v>-0.82777984181027497</v>
      </c>
      <c r="BE94">
        <f t="shared" ca="1" si="95"/>
        <v>0.62947624091604948</v>
      </c>
      <c r="BF94">
        <f t="shared" ca="1" si="95"/>
        <v>0.49280149772458021</v>
      </c>
      <c r="BG94">
        <f t="shared" ca="1" si="95"/>
        <v>1.1274216964436883</v>
      </c>
      <c r="BH94">
        <f t="shared" ca="1" si="95"/>
        <v>-7.1360998306350995E-2</v>
      </c>
      <c r="BI94">
        <f t="shared" ca="1" si="95"/>
        <v>1.2120387937294506</v>
      </c>
      <c r="BJ94">
        <f t="shared" ca="1" si="95"/>
        <v>-1.0285132772859409</v>
      </c>
      <c r="BK94">
        <f t="shared" ca="1" si="95"/>
        <v>0.37385284108406991</v>
      </c>
      <c r="BL94">
        <f t="shared" ca="1" si="95"/>
        <v>0.57676753686313897</v>
      </c>
      <c r="BM94">
        <f t="shared" ca="1" si="95"/>
        <v>-1.493878727297637</v>
      </c>
      <c r="BN94">
        <f t="shared" ca="1" si="96"/>
        <v>0.55362483369072268</v>
      </c>
      <c r="BO94">
        <f t="shared" ca="1" si="96"/>
        <v>0.93296871157078742</v>
      </c>
      <c r="BP94">
        <f t="shared" ca="1" si="96"/>
        <v>0.63409452168785829</v>
      </c>
      <c r="BQ94">
        <f t="shared" ca="1" si="96"/>
        <v>0.76915221360885633</v>
      </c>
      <c r="BR94">
        <f t="shared" ca="1" si="96"/>
        <v>-1.8219000021342939</v>
      </c>
      <c r="BS94">
        <f t="shared" ca="1" si="96"/>
        <v>1.5761544083604833</v>
      </c>
      <c r="BT94">
        <f t="shared" ca="1" si="96"/>
        <v>0.12883043707809488</v>
      </c>
      <c r="BU94">
        <f t="shared" ca="1" si="96"/>
        <v>0.68919711460443267</v>
      </c>
      <c r="BV94">
        <f t="shared" ca="1" si="96"/>
        <v>-0.44379543062397936</v>
      </c>
      <c r="BW94">
        <f t="shared" ca="1" si="96"/>
        <v>0.3023358161514238</v>
      </c>
      <c r="BX94">
        <f t="shared" ca="1" si="97"/>
        <v>-0.73633890089066556</v>
      </c>
      <c r="BY94">
        <f t="shared" ca="1" si="97"/>
        <v>0.90361832440614898</v>
      </c>
      <c r="BZ94">
        <f t="shared" ca="1" si="97"/>
        <v>-1.8457794787462412</v>
      </c>
      <c r="CA94">
        <f t="shared" ca="1" si="97"/>
        <v>-0.331246267981609</v>
      </c>
      <c r="CB94">
        <f t="shared" ca="1" si="97"/>
        <v>-1.6165608556944333</v>
      </c>
      <c r="CC94">
        <f t="shared" ca="1" si="97"/>
        <v>0.95907807493082531</v>
      </c>
      <c r="CD94">
        <f t="shared" ca="1" si="97"/>
        <v>-0.69452651448772718</v>
      </c>
      <c r="CE94">
        <f t="shared" ca="1" si="97"/>
        <v>-0.3041709621905358</v>
      </c>
      <c r="CF94">
        <f t="shared" ca="1" si="97"/>
        <v>1.1189625126022493</v>
      </c>
      <c r="CG94">
        <f t="shared" ca="1" si="97"/>
        <v>1.7844909530179951</v>
      </c>
      <c r="CH94">
        <f t="shared" ca="1" si="98"/>
        <v>-1.1563400384448639</v>
      </c>
      <c r="CI94">
        <f t="shared" ca="1" si="98"/>
        <v>-0.5634611982992439</v>
      </c>
      <c r="CJ94">
        <f t="shared" ca="1" si="98"/>
        <v>0.31435765697466289</v>
      </c>
      <c r="CK94">
        <f t="shared" ca="1" si="98"/>
        <v>0.20197764811231547</v>
      </c>
      <c r="CL94">
        <f t="shared" ca="1" si="98"/>
        <v>0.93502886422615161</v>
      </c>
      <c r="CM94">
        <f t="shared" ca="1" si="98"/>
        <v>0.52658760164807328</v>
      </c>
      <c r="CN94">
        <f t="shared" ca="1" si="98"/>
        <v>1.461792712240958</v>
      </c>
      <c r="CO94">
        <f t="shared" ca="1" si="98"/>
        <v>0.26900595390309068</v>
      </c>
      <c r="CP94">
        <f t="shared" ca="1" si="98"/>
        <v>-0.17700347827140089</v>
      </c>
      <c r="CQ94">
        <f t="shared" ca="1" si="98"/>
        <v>-0.51645404520961335</v>
      </c>
      <c r="CR94">
        <f t="shared" ca="1" si="99"/>
        <v>0.46539249823491707</v>
      </c>
      <c r="CS94">
        <f t="shared" ca="1" si="99"/>
        <v>0.82196953322162924</v>
      </c>
      <c r="CT94">
        <f t="shared" ca="1" si="99"/>
        <v>0.25185531951988377</v>
      </c>
      <c r="CU94">
        <f t="shared" ca="1" si="99"/>
        <v>-1.0046539852268772E-3</v>
      </c>
      <c r="CV94">
        <f t="shared" ca="1" si="99"/>
        <v>1.1167384149747162</v>
      </c>
      <c r="CW94">
        <f t="shared" ca="1" si="99"/>
        <v>-0.63094482634646321</v>
      </c>
      <c r="CX94">
        <f t="shared" ca="1" si="99"/>
        <v>-1.4419238500188576</v>
      </c>
      <c r="CY94">
        <f t="shared" ca="1" si="99"/>
        <v>-1.1604628730418207</v>
      </c>
      <c r="CZ94">
        <f t="shared" ca="1" si="99"/>
        <v>-0.55013981230258568</v>
      </c>
      <c r="DA94">
        <f t="shared" ca="1" si="99"/>
        <v>-0.2492955756217006</v>
      </c>
    </row>
    <row r="95" spans="5:105" x14ac:dyDescent="0.25">
      <c r="E95">
        <f>S_plus!L95</f>
        <v>0.9300000000000006</v>
      </c>
      <c r="F95">
        <f t="shared" ca="1" si="90"/>
        <v>-2.2372266629457593</v>
      </c>
      <c r="G95">
        <f t="shared" ca="1" si="90"/>
        <v>0.88639991461035472</v>
      </c>
      <c r="H95">
        <f t="shared" ca="1" si="90"/>
        <v>-1.0669894816567764</v>
      </c>
      <c r="I95">
        <f t="shared" ca="1" si="90"/>
        <v>0.53288525211941185</v>
      </c>
      <c r="J95">
        <f t="shared" ca="1" si="90"/>
        <v>-0.23859696587082838</v>
      </c>
      <c r="K95">
        <f t="shared" ca="1" si="90"/>
        <v>-1.9753126184034595</v>
      </c>
      <c r="L95">
        <f t="shared" ca="1" si="90"/>
        <v>-0.94346614313290245</v>
      </c>
      <c r="M95">
        <f t="shared" ca="1" si="90"/>
        <v>0.244082915996679</v>
      </c>
      <c r="N95">
        <f t="shared" ca="1" si="90"/>
        <v>0.12845973088308457</v>
      </c>
      <c r="O95">
        <f t="shared" ca="1" si="90"/>
        <v>1.2091512789038852</v>
      </c>
      <c r="P95">
        <f t="shared" ca="1" si="91"/>
        <v>1.0880648020898152</v>
      </c>
      <c r="Q95">
        <f t="shared" ca="1" si="91"/>
        <v>-8.6844345321219034E-3</v>
      </c>
      <c r="R95">
        <f t="shared" ca="1" si="91"/>
        <v>-1.1762440056132593</v>
      </c>
      <c r="S95">
        <f t="shared" ca="1" si="91"/>
        <v>0.36614016452049242</v>
      </c>
      <c r="T95">
        <f t="shared" ca="1" si="91"/>
        <v>-2.155429783066114</v>
      </c>
      <c r="U95">
        <f t="shared" ca="1" si="91"/>
        <v>-0.45325184053792333</v>
      </c>
      <c r="V95">
        <f t="shared" ca="1" si="91"/>
        <v>0.25310513528645945</v>
      </c>
      <c r="W95">
        <f t="shared" ca="1" si="91"/>
        <v>-0.22945940657615749</v>
      </c>
      <c r="X95">
        <f t="shared" ca="1" si="91"/>
        <v>0.17825656182002042</v>
      </c>
      <c r="Y95">
        <f t="shared" ca="1" si="91"/>
        <v>0.43710276274852283</v>
      </c>
      <c r="Z95">
        <f t="shared" ca="1" si="92"/>
        <v>-1.4881736994656951</v>
      </c>
      <c r="AA95">
        <f t="shared" ca="1" si="92"/>
        <v>-1.1446347774108327</v>
      </c>
      <c r="AB95">
        <f t="shared" ca="1" si="92"/>
        <v>0.87848508972814987</v>
      </c>
      <c r="AC95">
        <f t="shared" ca="1" si="92"/>
        <v>-0.22731235773876349</v>
      </c>
      <c r="AD95">
        <f t="shared" ca="1" si="92"/>
        <v>-0.3750863120607949</v>
      </c>
      <c r="AE95">
        <f t="shared" ca="1" si="92"/>
        <v>-0.59935601795991811</v>
      </c>
      <c r="AF95">
        <f t="shared" ca="1" si="92"/>
        <v>0.17659127764921809</v>
      </c>
      <c r="AG95">
        <f t="shared" ca="1" si="92"/>
        <v>-0.48017939692932138</v>
      </c>
      <c r="AH95">
        <f t="shared" ca="1" si="92"/>
        <v>-0.18422408884468308</v>
      </c>
      <c r="AI95">
        <f t="shared" ca="1" si="92"/>
        <v>1.8489532633266783</v>
      </c>
      <c r="AJ95">
        <f t="shared" ca="1" si="93"/>
        <v>-0.39116456256908932</v>
      </c>
      <c r="AK95">
        <f t="shared" ca="1" si="93"/>
        <v>1.7322894124322021</v>
      </c>
      <c r="AL95">
        <f t="shared" ca="1" si="93"/>
        <v>0.1706234777745666</v>
      </c>
      <c r="AM95">
        <f t="shared" ca="1" si="93"/>
        <v>0.1859062033905165</v>
      </c>
      <c r="AN95">
        <f t="shared" ca="1" si="93"/>
        <v>0.97446386311818389</v>
      </c>
      <c r="AO95">
        <f t="shared" ca="1" si="93"/>
        <v>0.40433061813805615</v>
      </c>
      <c r="AP95">
        <f t="shared" ca="1" si="93"/>
        <v>0.33435844680408044</v>
      </c>
      <c r="AQ95">
        <f t="shared" ca="1" si="93"/>
        <v>0.96468995170665184</v>
      </c>
      <c r="AR95">
        <f t="shared" ca="1" si="93"/>
        <v>1.8849887112498183</v>
      </c>
      <c r="AS95">
        <f t="shared" ca="1" si="93"/>
        <v>0.76744097577831649</v>
      </c>
      <c r="AT95">
        <f t="shared" ca="1" si="94"/>
        <v>-1.0679326848178272</v>
      </c>
      <c r="AU95">
        <f t="shared" ca="1" si="94"/>
        <v>-1.1956392481079599</v>
      </c>
      <c r="AV95">
        <f t="shared" ca="1" si="94"/>
        <v>1.190393643773257</v>
      </c>
      <c r="AW95">
        <f t="shared" ca="1" si="94"/>
        <v>-0.31729635171180176</v>
      </c>
      <c r="AX95">
        <f t="shared" ca="1" si="94"/>
        <v>1.067521284590377</v>
      </c>
      <c r="AY95">
        <f t="shared" ca="1" si="94"/>
        <v>-1.4558652845313154</v>
      </c>
      <c r="AZ95">
        <f t="shared" ca="1" si="94"/>
        <v>-1.1269061575872494</v>
      </c>
      <c r="BA95">
        <f t="shared" ca="1" si="94"/>
        <v>1.5898232428744075</v>
      </c>
      <c r="BB95">
        <f t="shared" ca="1" si="94"/>
        <v>1.6540178480799352</v>
      </c>
      <c r="BC95">
        <f t="shared" ca="1" si="94"/>
        <v>-0.73944335476293599</v>
      </c>
      <c r="BD95">
        <f t="shared" ca="1" si="95"/>
        <v>-0.25368601779681377</v>
      </c>
      <c r="BE95">
        <f t="shared" ca="1" si="95"/>
        <v>-0.48094503747530665</v>
      </c>
      <c r="BF95">
        <f t="shared" ca="1" si="95"/>
        <v>-1.3518645580947006</v>
      </c>
      <c r="BG95">
        <f t="shared" ca="1" si="95"/>
        <v>7.1295465099861038E-2</v>
      </c>
      <c r="BH95">
        <f t="shared" ca="1" si="95"/>
        <v>1.7337937052607129</v>
      </c>
      <c r="BI95">
        <f t="shared" ca="1" si="95"/>
        <v>1.5593864115167331</v>
      </c>
      <c r="BJ95">
        <f t="shared" ca="1" si="95"/>
        <v>-0.16833834286595495</v>
      </c>
      <c r="BK95">
        <f t="shared" ca="1" si="95"/>
        <v>0.44498669120099266</v>
      </c>
      <c r="BL95">
        <f t="shared" ca="1" si="95"/>
        <v>-9.5566617456389336E-2</v>
      </c>
      <c r="BM95">
        <f t="shared" ca="1" si="95"/>
        <v>-1.0683126116304402</v>
      </c>
      <c r="BN95">
        <f t="shared" ca="1" si="96"/>
        <v>1.3696668453217375</v>
      </c>
      <c r="BO95">
        <f t="shared" ca="1" si="96"/>
        <v>1.0122474372369261</v>
      </c>
      <c r="BP95">
        <f t="shared" ca="1" si="96"/>
        <v>1.2355960456615109</v>
      </c>
      <c r="BQ95">
        <f t="shared" ca="1" si="96"/>
        <v>-1.0113075881400726</v>
      </c>
      <c r="BR95">
        <f t="shared" ca="1" si="96"/>
        <v>0.76708733116734851</v>
      </c>
      <c r="BS95">
        <f t="shared" ca="1" si="96"/>
        <v>-0.54114052610274577</v>
      </c>
      <c r="BT95">
        <f t="shared" ca="1" si="96"/>
        <v>-0.34458561299922863</v>
      </c>
      <c r="BU95">
        <f t="shared" ca="1" si="96"/>
        <v>0.22194005891363938</v>
      </c>
      <c r="BV95">
        <f t="shared" ca="1" si="96"/>
        <v>0.40238660392994668</v>
      </c>
      <c r="BW95">
        <f t="shared" ca="1" si="96"/>
        <v>1.5211948559711066</v>
      </c>
      <c r="BX95">
        <f t="shared" ca="1" si="97"/>
        <v>0.21976400833011547</v>
      </c>
      <c r="BY95">
        <f t="shared" ca="1" si="97"/>
        <v>0.81892484622515249</v>
      </c>
      <c r="BZ95">
        <f t="shared" ca="1" si="97"/>
        <v>2.355968030505208</v>
      </c>
      <c r="CA95">
        <f t="shared" ca="1" si="97"/>
        <v>-0.73751506355671326</v>
      </c>
      <c r="CB95">
        <f t="shared" ca="1" si="97"/>
        <v>-0.11390672392458852</v>
      </c>
      <c r="CC95">
        <f t="shared" ca="1" si="97"/>
        <v>-0.98556258147516351</v>
      </c>
      <c r="CD95">
        <f t="shared" ca="1" si="97"/>
        <v>1.735039723010513</v>
      </c>
      <c r="CE95">
        <f t="shared" ca="1" si="97"/>
        <v>1.8438898318123267</v>
      </c>
      <c r="CF95">
        <f t="shared" ca="1" si="97"/>
        <v>1.2879031174705429</v>
      </c>
      <c r="CG95">
        <f t="shared" ca="1" si="97"/>
        <v>0.10025839823511773</v>
      </c>
      <c r="CH95">
        <f t="shared" ca="1" si="98"/>
        <v>1.0785624249242154</v>
      </c>
      <c r="CI95">
        <f t="shared" ca="1" si="98"/>
        <v>0.10747408804231466</v>
      </c>
      <c r="CJ95">
        <f t="shared" ca="1" si="98"/>
        <v>-1.2570572046731272</v>
      </c>
      <c r="CK95">
        <f t="shared" ca="1" si="98"/>
        <v>1.2316398381859577</v>
      </c>
      <c r="CL95">
        <f t="shared" ca="1" si="98"/>
        <v>-0.15202782561376721</v>
      </c>
      <c r="CM95">
        <f t="shared" ca="1" si="98"/>
        <v>-0.81999950553187129</v>
      </c>
      <c r="CN95">
        <f t="shared" ca="1" si="98"/>
        <v>0.12022413742899182</v>
      </c>
      <c r="CO95">
        <f t="shared" ca="1" si="98"/>
        <v>-0.21458784083796953</v>
      </c>
      <c r="CP95">
        <f t="shared" ca="1" si="98"/>
        <v>4.4781687708354161E-2</v>
      </c>
      <c r="CQ95">
        <f t="shared" ca="1" si="98"/>
        <v>0.11434622892604708</v>
      </c>
      <c r="CR95">
        <f t="shared" ca="1" si="99"/>
        <v>1.125001673647259</v>
      </c>
      <c r="CS95">
        <f t="shared" ca="1" si="99"/>
        <v>-4.6694264162527421E-2</v>
      </c>
      <c r="CT95">
        <f t="shared" ca="1" si="99"/>
        <v>1.6979546398356433</v>
      </c>
      <c r="CU95">
        <f t="shared" ca="1" si="99"/>
        <v>0.21573009225221604</v>
      </c>
      <c r="CV95">
        <f t="shared" ca="1" si="99"/>
        <v>0.40262352163727655</v>
      </c>
      <c r="CW95">
        <f t="shared" ca="1" si="99"/>
        <v>0.15601681082299199</v>
      </c>
      <c r="CX95">
        <f t="shared" ca="1" si="99"/>
        <v>-7.6778489951130633E-3</v>
      </c>
      <c r="CY95">
        <f t="shared" ca="1" si="99"/>
        <v>0.82482512011584619</v>
      </c>
      <c r="CZ95">
        <f t="shared" ca="1" si="99"/>
        <v>1.0802947875362117</v>
      </c>
      <c r="DA95">
        <f t="shared" ca="1" si="99"/>
        <v>-0.79708133042079576</v>
      </c>
    </row>
    <row r="96" spans="5:105" x14ac:dyDescent="0.25">
      <c r="E96">
        <f>S_plus!L96</f>
        <v>0.94000000000000061</v>
      </c>
      <c r="F96">
        <f t="shared" ca="1" si="90"/>
        <v>-1.0336455694409441</v>
      </c>
      <c r="G96">
        <f t="shared" ca="1" si="90"/>
        <v>0.13418605241825657</v>
      </c>
      <c r="H96">
        <f t="shared" ca="1" si="90"/>
        <v>-1.287427085711488</v>
      </c>
      <c r="I96">
        <f t="shared" ca="1" si="90"/>
        <v>1.2408882758703095</v>
      </c>
      <c r="J96">
        <f t="shared" ca="1" si="90"/>
        <v>-1.5021647950787298</v>
      </c>
      <c r="K96">
        <f t="shared" ca="1" si="90"/>
        <v>7.916425704348036E-2</v>
      </c>
      <c r="L96">
        <f t="shared" ca="1" si="90"/>
        <v>-0.6193060382066079</v>
      </c>
      <c r="M96">
        <f t="shared" ca="1" si="90"/>
        <v>-0.21804291233855053</v>
      </c>
      <c r="N96">
        <f t="shared" ca="1" si="90"/>
        <v>0.95711395606944671</v>
      </c>
      <c r="O96">
        <f t="shared" ca="1" si="90"/>
        <v>0.37675372741624874</v>
      </c>
      <c r="P96">
        <f t="shared" ca="1" si="91"/>
        <v>-0.77865501856722963</v>
      </c>
      <c r="Q96">
        <f t="shared" ca="1" si="91"/>
        <v>2.450736794703209</v>
      </c>
      <c r="R96">
        <f t="shared" ca="1" si="91"/>
        <v>0.93594108762633799</v>
      </c>
      <c r="S96">
        <f t="shared" ca="1" si="91"/>
        <v>-1.0084138054443554</v>
      </c>
      <c r="T96">
        <f t="shared" ca="1" si="91"/>
        <v>-0.92286804821559809</v>
      </c>
      <c r="U96">
        <f t="shared" ca="1" si="91"/>
        <v>-0.48121129745881452</v>
      </c>
      <c r="V96">
        <f t="shared" ca="1" si="91"/>
        <v>2.5272485434292031</v>
      </c>
      <c r="W96">
        <f t="shared" ca="1" si="91"/>
        <v>1.1320650650601676</v>
      </c>
      <c r="X96">
        <f t="shared" ca="1" si="91"/>
        <v>-0.22913310168842482</v>
      </c>
      <c r="Y96">
        <f t="shared" ca="1" si="91"/>
        <v>-1.9759486058345621</v>
      </c>
      <c r="Z96">
        <f t="shared" ca="1" si="92"/>
        <v>1.0279412082000605</v>
      </c>
      <c r="AA96">
        <f t="shared" ca="1" si="92"/>
        <v>1.3152530425659874</v>
      </c>
      <c r="AB96">
        <f t="shared" ca="1" si="92"/>
        <v>4.7200057118503953E-2</v>
      </c>
      <c r="AC96">
        <f t="shared" ca="1" si="92"/>
        <v>-0.2308389909074697</v>
      </c>
      <c r="AD96">
        <f t="shared" ca="1" si="92"/>
        <v>-0.86331803841282295</v>
      </c>
      <c r="AE96">
        <f t="shared" ca="1" si="92"/>
        <v>2.1922052169194814</v>
      </c>
      <c r="AF96">
        <f t="shared" ca="1" si="92"/>
        <v>0.26635824921862411</v>
      </c>
      <c r="AG96">
        <f t="shared" ca="1" si="92"/>
        <v>0.26767486443272259</v>
      </c>
      <c r="AH96">
        <f t="shared" ca="1" si="92"/>
        <v>0.37820619366123587</v>
      </c>
      <c r="AI96">
        <f t="shared" ca="1" si="92"/>
        <v>-0.97745208601418976</v>
      </c>
      <c r="AJ96">
        <f t="shared" ca="1" si="93"/>
        <v>0.51305994678858591</v>
      </c>
      <c r="AK96">
        <f t="shared" ca="1" si="93"/>
        <v>-0.29201507809716848</v>
      </c>
      <c r="AL96">
        <f t="shared" ca="1" si="93"/>
        <v>1.8840868984864108</v>
      </c>
      <c r="AM96">
        <f t="shared" ca="1" si="93"/>
        <v>-0.58460877924581378</v>
      </c>
      <c r="AN96">
        <f t="shared" ca="1" si="93"/>
        <v>-0.82666470288725891</v>
      </c>
      <c r="AO96">
        <f t="shared" ca="1" si="93"/>
        <v>0.80893099083205922</v>
      </c>
      <c r="AP96">
        <f t="shared" ca="1" si="93"/>
        <v>1.1917577890058078</v>
      </c>
      <c r="AQ96">
        <f t="shared" ca="1" si="93"/>
        <v>-0.62031499478823571</v>
      </c>
      <c r="AR96">
        <f t="shared" ca="1" si="93"/>
        <v>-0.28503626345560867</v>
      </c>
      <c r="AS96">
        <f t="shared" ca="1" si="93"/>
        <v>2.7661803435972683</v>
      </c>
      <c r="AT96">
        <f t="shared" ca="1" si="94"/>
        <v>0.54215409672239501</v>
      </c>
      <c r="AU96">
        <f t="shared" ca="1" si="94"/>
        <v>-0.34233224140061808</v>
      </c>
      <c r="AV96">
        <f t="shared" ca="1" si="94"/>
        <v>0.85524050520210859</v>
      </c>
      <c r="AW96">
        <f t="shared" ca="1" si="94"/>
        <v>0.72389218787174592</v>
      </c>
      <c r="AX96">
        <f t="shared" ca="1" si="94"/>
        <v>0.3831959638595907</v>
      </c>
      <c r="AY96">
        <f t="shared" ca="1" si="94"/>
        <v>-0.73177312143210804</v>
      </c>
      <c r="AZ96">
        <f t="shared" ca="1" si="94"/>
        <v>0.93316318294478418</v>
      </c>
      <c r="BA96">
        <f t="shared" ca="1" si="94"/>
        <v>-0.46136685860782278</v>
      </c>
      <c r="BB96">
        <f t="shared" ca="1" si="94"/>
        <v>7.2223973333443894E-2</v>
      </c>
      <c r="BC96">
        <f t="shared" ca="1" si="94"/>
        <v>0.42157092310337818</v>
      </c>
      <c r="BD96">
        <f t="shared" ca="1" si="95"/>
        <v>1.6044884032057494</v>
      </c>
      <c r="BE96">
        <f t="shared" ca="1" si="95"/>
        <v>0.71993317186108596</v>
      </c>
      <c r="BF96">
        <f t="shared" ca="1" si="95"/>
        <v>0.66362948722896742</v>
      </c>
      <c r="BG96">
        <f t="shared" ca="1" si="95"/>
        <v>0.55826662279802941</v>
      </c>
      <c r="BH96">
        <f t="shared" ca="1" si="95"/>
        <v>-7.5301100208546259E-2</v>
      </c>
      <c r="BI96">
        <f t="shared" ca="1" si="95"/>
        <v>1.147157642638704</v>
      </c>
      <c r="BJ96">
        <f t="shared" ca="1" si="95"/>
        <v>0.19397008586267286</v>
      </c>
      <c r="BK96">
        <f t="shared" ca="1" si="95"/>
        <v>-2.2739356661848276E-2</v>
      </c>
      <c r="BL96">
        <f t="shared" ca="1" si="95"/>
        <v>-0.5901314834519743</v>
      </c>
      <c r="BM96">
        <f t="shared" ca="1" si="95"/>
        <v>-0.51226811300473141</v>
      </c>
      <c r="BN96">
        <f t="shared" ca="1" si="96"/>
        <v>0.43762088619654094</v>
      </c>
      <c r="BO96">
        <f t="shared" ca="1" si="96"/>
        <v>-2.7545132583396854</v>
      </c>
      <c r="BP96">
        <f t="shared" ca="1" si="96"/>
        <v>0.61987568815672733</v>
      </c>
      <c r="BQ96">
        <f t="shared" ca="1" si="96"/>
        <v>1.9494615957927253</v>
      </c>
      <c r="BR96">
        <f t="shared" ca="1" si="96"/>
        <v>0.39690851059340315</v>
      </c>
      <c r="BS96">
        <f t="shared" ca="1" si="96"/>
        <v>1.0237291420874022</v>
      </c>
      <c r="BT96">
        <f t="shared" ca="1" si="96"/>
        <v>-0.90300918373606487</v>
      </c>
      <c r="BU96">
        <f t="shared" ca="1" si="96"/>
        <v>0.69637987918608601</v>
      </c>
      <c r="BV96">
        <f t="shared" ca="1" si="96"/>
        <v>0.35133488693123482</v>
      </c>
      <c r="BW96">
        <f t="shared" ca="1" si="96"/>
        <v>-0.35327534420385592</v>
      </c>
      <c r="BX96">
        <f t="shared" ca="1" si="97"/>
        <v>-0.9497218932717737</v>
      </c>
      <c r="BY96">
        <f t="shared" ca="1" si="97"/>
        <v>-0.20992276417533831</v>
      </c>
      <c r="BZ96">
        <f t="shared" ca="1" si="97"/>
        <v>0.96878731174874377</v>
      </c>
      <c r="CA96">
        <f t="shared" ca="1" si="97"/>
        <v>0.77736587757651809</v>
      </c>
      <c r="CB96">
        <f t="shared" ca="1" si="97"/>
        <v>0.32935424003836844</v>
      </c>
      <c r="CC96">
        <f t="shared" ca="1" si="97"/>
        <v>0.27876952558818158</v>
      </c>
      <c r="CD96">
        <f t="shared" ca="1" si="97"/>
        <v>-1.7507207495029522</v>
      </c>
      <c r="CE96">
        <f t="shared" ca="1" si="97"/>
        <v>1.4027942929836956</v>
      </c>
      <c r="CF96">
        <f t="shared" ca="1" si="97"/>
        <v>1.3339305516973596</v>
      </c>
      <c r="CG96">
        <f t="shared" ca="1" si="97"/>
        <v>-0.19720677895823388</v>
      </c>
      <c r="CH96">
        <f t="shared" ca="1" si="98"/>
        <v>-0.4006313383039678</v>
      </c>
      <c r="CI96">
        <f t="shared" ca="1" si="98"/>
        <v>-1.6561360907592606</v>
      </c>
      <c r="CJ96">
        <f t="shared" ca="1" si="98"/>
        <v>0.9264960384344062</v>
      </c>
      <c r="CK96">
        <f t="shared" ca="1" si="98"/>
        <v>-1.3347794717744959</v>
      </c>
      <c r="CL96">
        <f t="shared" ca="1" si="98"/>
        <v>0.56332030699055013</v>
      </c>
      <c r="CM96">
        <f t="shared" ca="1" si="98"/>
        <v>1.0927679106421528</v>
      </c>
      <c r="CN96">
        <f t="shared" ca="1" si="98"/>
        <v>1.141280472029901</v>
      </c>
      <c r="CO96">
        <f t="shared" ca="1" si="98"/>
        <v>0.18275782335924443</v>
      </c>
      <c r="CP96">
        <f t="shared" ca="1" si="98"/>
        <v>0.59084647467528573</v>
      </c>
      <c r="CQ96">
        <f t="shared" ca="1" si="98"/>
        <v>0.71562907524042096</v>
      </c>
      <c r="CR96">
        <f t="shared" ca="1" si="99"/>
        <v>0.41190149058643794</v>
      </c>
      <c r="CS96">
        <f t="shared" ca="1" si="99"/>
        <v>-0.52930072538530548</v>
      </c>
      <c r="CT96">
        <f t="shared" ca="1" si="99"/>
        <v>0.30751689205595639</v>
      </c>
      <c r="CU96">
        <f t="shared" ca="1" si="99"/>
        <v>0.36353390341660258</v>
      </c>
      <c r="CV96">
        <f t="shared" ca="1" si="99"/>
        <v>0.49568506759667924</v>
      </c>
      <c r="CW96">
        <f t="shared" ca="1" si="99"/>
        <v>1.0140150702776427</v>
      </c>
      <c r="CX96">
        <f t="shared" ca="1" si="99"/>
        <v>1.5469506164955582</v>
      </c>
      <c r="CY96">
        <f t="shared" ca="1" si="99"/>
        <v>-0.61751941928197185</v>
      </c>
      <c r="CZ96">
        <f t="shared" ca="1" si="99"/>
        <v>1.4343481063418537</v>
      </c>
      <c r="DA96">
        <f t="shared" ca="1" si="99"/>
        <v>0.60978625657541907</v>
      </c>
    </row>
    <row r="97" spans="5:105" x14ac:dyDescent="0.25">
      <c r="E97">
        <f>S_plus!L97</f>
        <v>0.95000000000000062</v>
      </c>
      <c r="F97">
        <f t="shared" ca="1" si="90"/>
        <v>-0.69921918760590396</v>
      </c>
      <c r="G97">
        <f t="shared" ca="1" si="90"/>
        <v>0.31643577830164055</v>
      </c>
      <c r="H97">
        <f t="shared" ca="1" si="90"/>
        <v>0.47217682422918605</v>
      </c>
      <c r="I97">
        <f t="shared" ca="1" si="90"/>
        <v>0.8982552159511642</v>
      </c>
      <c r="J97">
        <f t="shared" ca="1" si="90"/>
        <v>-1.0074584659097643</v>
      </c>
      <c r="K97">
        <f t="shared" ca="1" si="90"/>
        <v>-0.47219598843617638</v>
      </c>
      <c r="L97">
        <f t="shared" ca="1" si="90"/>
        <v>-1.4433641284620697</v>
      </c>
      <c r="M97">
        <f t="shared" ca="1" si="90"/>
        <v>-6.6742755931978912E-2</v>
      </c>
      <c r="N97">
        <f t="shared" ca="1" si="90"/>
        <v>0.96551786287541563</v>
      </c>
      <c r="O97">
        <f t="shared" ca="1" si="90"/>
        <v>-1.2329875241679114</v>
      </c>
      <c r="P97">
        <f t="shared" ca="1" si="91"/>
        <v>-1.3829900562385273</v>
      </c>
      <c r="Q97">
        <f t="shared" ca="1" si="91"/>
        <v>1.1562131300822183</v>
      </c>
      <c r="R97">
        <f t="shared" ca="1" si="91"/>
        <v>0.61361462466312044</v>
      </c>
      <c r="S97">
        <f t="shared" ca="1" si="91"/>
        <v>0.47884577488706787</v>
      </c>
      <c r="T97">
        <f t="shared" ca="1" si="91"/>
        <v>8.3646036406766253E-2</v>
      </c>
      <c r="U97">
        <f t="shared" ca="1" si="91"/>
        <v>0.88874246392176826</v>
      </c>
      <c r="V97">
        <f t="shared" ca="1" si="91"/>
        <v>-0.88571320825537803</v>
      </c>
      <c r="W97">
        <f t="shared" ca="1" si="91"/>
        <v>2.8431318503347115E-2</v>
      </c>
      <c r="X97">
        <f t="shared" ca="1" si="91"/>
        <v>-0.30407515398946705</v>
      </c>
      <c r="Y97">
        <f t="shared" ca="1" si="91"/>
        <v>-0.92049678405669078</v>
      </c>
      <c r="Z97">
        <f t="shared" ca="1" si="92"/>
        <v>6.9083787162268137E-2</v>
      </c>
      <c r="AA97">
        <f t="shared" ca="1" si="92"/>
        <v>0.23442813417452757</v>
      </c>
      <c r="AB97">
        <f t="shared" ca="1" si="92"/>
        <v>-1.2361398185379202</v>
      </c>
      <c r="AC97">
        <f t="shared" ca="1" si="92"/>
        <v>-0.27881613040543812</v>
      </c>
      <c r="AD97">
        <f t="shared" ca="1" si="92"/>
        <v>0.76132593585908426</v>
      </c>
      <c r="AE97">
        <f t="shared" ca="1" si="92"/>
        <v>0.64251167426205935</v>
      </c>
      <c r="AF97">
        <f t="shared" ca="1" si="92"/>
        <v>-0.58433332012513761</v>
      </c>
      <c r="AG97">
        <f t="shared" ca="1" si="92"/>
        <v>-0.16254198457321023</v>
      </c>
      <c r="AH97">
        <f t="shared" ca="1" si="92"/>
        <v>-2.171672602844557</v>
      </c>
      <c r="AI97">
        <f t="shared" ca="1" si="92"/>
        <v>9.449643176603599E-2</v>
      </c>
      <c r="AJ97">
        <f t="shared" ca="1" si="93"/>
        <v>0.12459446206017097</v>
      </c>
      <c r="AK97">
        <f t="shared" ca="1" si="93"/>
        <v>-0.922119270290084</v>
      </c>
      <c r="AL97">
        <f t="shared" ca="1" si="93"/>
        <v>-0.79875959221109405</v>
      </c>
      <c r="AM97">
        <f t="shared" ca="1" si="93"/>
        <v>-0.2457182916583204</v>
      </c>
      <c r="AN97">
        <f t="shared" ca="1" si="93"/>
        <v>-0.36382355857075416</v>
      </c>
      <c r="AO97">
        <f t="shared" ca="1" si="93"/>
        <v>-0.33374762146642911</v>
      </c>
      <c r="AP97">
        <f t="shared" ca="1" si="93"/>
        <v>-2.0743145093498665</v>
      </c>
      <c r="AQ97">
        <f t="shared" ca="1" si="93"/>
        <v>0.38848910866939246</v>
      </c>
      <c r="AR97">
        <f t="shared" ca="1" si="93"/>
        <v>0.6213845087369454</v>
      </c>
      <c r="AS97">
        <f t="shared" ca="1" si="93"/>
        <v>-0.4310118467110966</v>
      </c>
      <c r="AT97">
        <f t="shared" ca="1" si="94"/>
        <v>-0.22004821760835053</v>
      </c>
      <c r="AU97">
        <f t="shared" ca="1" si="94"/>
        <v>0.31534228384094781</v>
      </c>
      <c r="AV97">
        <f t="shared" ca="1" si="94"/>
        <v>-0.24162795441629187</v>
      </c>
      <c r="AW97">
        <f t="shared" ca="1" si="94"/>
        <v>0.46421601655110073</v>
      </c>
      <c r="AX97">
        <f t="shared" ca="1" si="94"/>
        <v>0.81624440198887505</v>
      </c>
      <c r="AY97">
        <f t="shared" ca="1" si="94"/>
        <v>1.0953857609255349</v>
      </c>
      <c r="AZ97">
        <f t="shared" ca="1" si="94"/>
        <v>-1.0080177755200481</v>
      </c>
      <c r="BA97">
        <f t="shared" ca="1" si="94"/>
        <v>-2.5054695648838974E-2</v>
      </c>
      <c r="BB97">
        <f t="shared" ca="1" si="94"/>
        <v>-0.1965785809580147</v>
      </c>
      <c r="BC97">
        <f t="shared" ca="1" si="94"/>
        <v>-0.11612921711578351</v>
      </c>
      <c r="BD97">
        <f t="shared" ca="1" si="95"/>
        <v>0.43357819019892002</v>
      </c>
      <c r="BE97">
        <f t="shared" ca="1" si="95"/>
        <v>-0.96397302172396315</v>
      </c>
      <c r="BF97">
        <f t="shared" ca="1" si="95"/>
        <v>0.25881354522713423</v>
      </c>
      <c r="BG97">
        <f t="shared" ca="1" si="95"/>
        <v>-0.80995099092883371</v>
      </c>
      <c r="BH97">
        <f t="shared" ca="1" si="95"/>
        <v>-0.63220884033199376</v>
      </c>
      <c r="BI97">
        <f t="shared" ca="1" si="95"/>
        <v>0.88396348756809839</v>
      </c>
      <c r="BJ97">
        <f t="shared" ca="1" si="95"/>
        <v>-0.70851794150874603</v>
      </c>
      <c r="BK97">
        <f t="shared" ca="1" si="95"/>
        <v>0.2100331065609847</v>
      </c>
      <c r="BL97">
        <f t="shared" ca="1" si="95"/>
        <v>0.11808089314107446</v>
      </c>
      <c r="BM97">
        <f t="shared" ca="1" si="95"/>
        <v>-0.75130417727321197</v>
      </c>
      <c r="BN97">
        <f t="shared" ca="1" si="96"/>
        <v>-1.1897179417107075</v>
      </c>
      <c r="BO97">
        <f t="shared" ca="1" si="96"/>
        <v>-0.45170336804974942</v>
      </c>
      <c r="BP97">
        <f t="shared" ca="1" si="96"/>
        <v>-0.11003893619285902</v>
      </c>
      <c r="BQ97">
        <f t="shared" ca="1" si="96"/>
        <v>1.9036317111532088</v>
      </c>
      <c r="BR97">
        <f t="shared" ca="1" si="96"/>
        <v>-0.13156207146737972</v>
      </c>
      <c r="BS97">
        <f t="shared" ca="1" si="96"/>
        <v>1.2071732004002715</v>
      </c>
      <c r="BT97">
        <f t="shared" ca="1" si="96"/>
        <v>-0.91607074043614345</v>
      </c>
      <c r="BU97">
        <f t="shared" ca="1" si="96"/>
        <v>-0.47986300662393666</v>
      </c>
      <c r="BV97">
        <f t="shared" ca="1" si="96"/>
        <v>-0.55428068951485476</v>
      </c>
      <c r="BW97">
        <f t="shared" ca="1" si="96"/>
        <v>-1.9763062891052052</v>
      </c>
      <c r="BX97">
        <f t="shared" ca="1" si="97"/>
        <v>0.49434063961266478</v>
      </c>
      <c r="BY97">
        <f t="shared" ca="1" si="97"/>
        <v>8.8231000569997303E-2</v>
      </c>
      <c r="BZ97">
        <f t="shared" ca="1" si="97"/>
        <v>1.7750699266669081</v>
      </c>
      <c r="CA97">
        <f t="shared" ca="1" si="97"/>
        <v>0.47280733827936644</v>
      </c>
      <c r="CB97">
        <f t="shared" ca="1" si="97"/>
        <v>-1.0740520513304959E-2</v>
      </c>
      <c r="CC97">
        <f t="shared" ca="1" si="97"/>
        <v>1.5727612712034436</v>
      </c>
      <c r="CD97">
        <f t="shared" ca="1" si="97"/>
        <v>-1.3095192348933904</v>
      </c>
      <c r="CE97">
        <f t="shared" ca="1" si="97"/>
        <v>-1.3460236163624308</v>
      </c>
      <c r="CF97">
        <f t="shared" ca="1" si="97"/>
        <v>0.90447915097813547</v>
      </c>
      <c r="CG97">
        <f t="shared" ca="1" si="97"/>
        <v>1.632732814440061</v>
      </c>
      <c r="CH97">
        <f t="shared" ca="1" si="98"/>
        <v>-0.2871322070198844</v>
      </c>
      <c r="CI97">
        <f t="shared" ca="1" si="98"/>
        <v>-0.60055873902726753</v>
      </c>
      <c r="CJ97">
        <f t="shared" ca="1" si="98"/>
        <v>-0.58862203063392216</v>
      </c>
      <c r="CK97">
        <f t="shared" ca="1" si="98"/>
        <v>0.61846015884035932</v>
      </c>
      <c r="CL97">
        <f t="shared" ca="1" si="98"/>
        <v>1.2451918005840997E-2</v>
      </c>
      <c r="CM97">
        <f t="shared" ca="1" si="98"/>
        <v>-1.674225747708209</v>
      </c>
      <c r="CN97">
        <f t="shared" ca="1" si="98"/>
        <v>-1.2439838539882291</v>
      </c>
      <c r="CO97">
        <f t="shared" ca="1" si="98"/>
        <v>-0.50015953701011406</v>
      </c>
      <c r="CP97">
        <f t="shared" ca="1" si="98"/>
        <v>1.0952947176141552</v>
      </c>
      <c r="CQ97">
        <f t="shared" ca="1" si="98"/>
        <v>0.14945705694042016</v>
      </c>
      <c r="CR97">
        <f t="shared" ca="1" si="99"/>
        <v>0.60196490436854133</v>
      </c>
      <c r="CS97">
        <f t="shared" ca="1" si="99"/>
        <v>-0.71304221503503296</v>
      </c>
      <c r="CT97">
        <f t="shared" ca="1" si="99"/>
        <v>-0.45185934433938196</v>
      </c>
      <c r="CU97">
        <f t="shared" ca="1" si="99"/>
        <v>-0.80954017149200774</v>
      </c>
      <c r="CV97">
        <f t="shared" ca="1" si="99"/>
        <v>-0.33344966540308135</v>
      </c>
      <c r="CW97">
        <f t="shared" ca="1" si="99"/>
        <v>-0.27885572637823719</v>
      </c>
      <c r="CX97">
        <f t="shared" ca="1" si="99"/>
        <v>-0.16920941067046749</v>
      </c>
      <c r="CY97">
        <f t="shared" ca="1" si="99"/>
        <v>0.63223513747101479</v>
      </c>
      <c r="CZ97">
        <f t="shared" ca="1" si="99"/>
        <v>-0.19872874885795599</v>
      </c>
      <c r="DA97">
        <f t="shared" ca="1" si="99"/>
        <v>-1.8346311587798385</v>
      </c>
    </row>
    <row r="98" spans="5:105" x14ac:dyDescent="0.25">
      <c r="E98">
        <f>S_plus!L98</f>
        <v>0.96000000000000063</v>
      </c>
      <c r="F98">
        <f t="shared" ca="1" si="90"/>
        <v>0.19420858703648952</v>
      </c>
      <c r="G98">
        <f t="shared" ca="1" si="90"/>
        <v>0.26710581797933841</v>
      </c>
      <c r="H98">
        <f t="shared" ca="1" si="90"/>
        <v>-1.2956202503918763</v>
      </c>
      <c r="I98">
        <f t="shared" ca="1" si="90"/>
        <v>0.19609964642272712</v>
      </c>
      <c r="J98">
        <f t="shared" ca="1" si="90"/>
        <v>1.4720686445612221</v>
      </c>
      <c r="K98">
        <f t="shared" ca="1" si="90"/>
        <v>0.93276340420394299</v>
      </c>
      <c r="L98">
        <f t="shared" ca="1" si="90"/>
        <v>-0.91519899307849795</v>
      </c>
      <c r="M98">
        <f t="shared" ca="1" si="90"/>
        <v>0.18011245973397094</v>
      </c>
      <c r="N98">
        <f t="shared" ca="1" si="90"/>
        <v>-1.4430794464341168</v>
      </c>
      <c r="O98">
        <f t="shared" ca="1" si="90"/>
        <v>0.34796944829574866</v>
      </c>
      <c r="P98">
        <f t="shared" ca="1" si="91"/>
        <v>0.17455355606316597</v>
      </c>
      <c r="Q98">
        <f t="shared" ca="1" si="91"/>
        <v>-3.1468529546639354E-2</v>
      </c>
      <c r="R98">
        <f t="shared" ca="1" si="91"/>
        <v>2.3031131473723643</v>
      </c>
      <c r="S98">
        <f t="shared" ca="1" si="91"/>
        <v>-0.88610248777819467</v>
      </c>
      <c r="T98">
        <f t="shared" ca="1" si="91"/>
        <v>0.98517982221452749</v>
      </c>
      <c r="U98">
        <f t="shared" ca="1" si="91"/>
        <v>-0.2046052119262434</v>
      </c>
      <c r="V98">
        <f t="shared" ca="1" si="91"/>
        <v>-0.26456728864056511</v>
      </c>
      <c r="W98">
        <f t="shared" ca="1" si="91"/>
        <v>-0.78797195655617036</v>
      </c>
      <c r="X98">
        <f t="shared" ca="1" si="91"/>
        <v>-1.2131933721527863</v>
      </c>
      <c r="Y98">
        <f t="shared" ca="1" si="91"/>
        <v>2.2344191505684851E-2</v>
      </c>
      <c r="Z98">
        <f t="shared" ca="1" si="92"/>
        <v>0.64153319260940833</v>
      </c>
      <c r="AA98">
        <f t="shared" ca="1" si="92"/>
        <v>-1.0973030313190606</v>
      </c>
      <c r="AB98">
        <f t="shared" ca="1" si="92"/>
        <v>-0.94396854908357475</v>
      </c>
      <c r="AC98">
        <f t="shared" ca="1" si="92"/>
        <v>-1.3266821160078546</v>
      </c>
      <c r="AD98">
        <f t="shared" ca="1" si="92"/>
        <v>-0.87948208686129459</v>
      </c>
      <c r="AE98">
        <f t="shared" ca="1" si="92"/>
        <v>-0.97475307330245509</v>
      </c>
      <c r="AF98">
        <f t="shared" ca="1" si="92"/>
        <v>1.107146057345554</v>
      </c>
      <c r="AG98">
        <f t="shared" ca="1" si="92"/>
        <v>-0.3815385233321647</v>
      </c>
      <c r="AH98">
        <f t="shared" ca="1" si="92"/>
        <v>-2.3890790284136341E-2</v>
      </c>
      <c r="AI98">
        <f t="shared" ca="1" si="92"/>
        <v>0.36284786562542565</v>
      </c>
      <c r="AJ98">
        <f t="shared" ca="1" si="93"/>
        <v>-4.8084047734898204E-3</v>
      </c>
      <c r="AK98">
        <f t="shared" ca="1" si="93"/>
        <v>1.3576760560350796</v>
      </c>
      <c r="AL98">
        <f t="shared" ca="1" si="93"/>
        <v>-0.93007729652245208</v>
      </c>
      <c r="AM98">
        <f t="shared" ca="1" si="93"/>
        <v>1.0307057451734389</v>
      </c>
      <c r="AN98">
        <f t="shared" ca="1" si="93"/>
        <v>-0.48966827386186967</v>
      </c>
      <c r="AO98">
        <f t="shared" ca="1" si="93"/>
        <v>-1.1175732768456808</v>
      </c>
      <c r="AP98">
        <f t="shared" ca="1" si="93"/>
        <v>-2.2769230690501536</v>
      </c>
      <c r="AQ98">
        <f t="shared" ca="1" si="93"/>
        <v>-1.3027905185206691E-2</v>
      </c>
      <c r="AR98">
        <f t="shared" ca="1" si="93"/>
        <v>-1.402852286262418</v>
      </c>
      <c r="AS98">
        <f t="shared" ca="1" si="93"/>
        <v>-0.59939248609467977</v>
      </c>
      <c r="AT98">
        <f t="shared" ca="1" si="94"/>
        <v>1.090195674532217</v>
      </c>
      <c r="AU98">
        <f t="shared" ca="1" si="94"/>
        <v>0.16815043820378672</v>
      </c>
      <c r="AV98">
        <f t="shared" ca="1" si="94"/>
        <v>0.51047581386144592</v>
      </c>
      <c r="AW98">
        <f t="shared" ca="1" si="94"/>
        <v>0.16314618626106081</v>
      </c>
      <c r="AX98">
        <f t="shared" ca="1" si="94"/>
        <v>-1.7158790423536294</v>
      </c>
      <c r="AY98">
        <f t="shared" ca="1" si="94"/>
        <v>0.31107682943078968</v>
      </c>
      <c r="AZ98">
        <f t="shared" ca="1" si="94"/>
        <v>1.4067111440697457</v>
      </c>
      <c r="BA98">
        <f t="shared" ca="1" si="94"/>
        <v>0.11925434216760755</v>
      </c>
      <c r="BB98">
        <f t="shared" ca="1" si="94"/>
        <v>1.0070616688967913</v>
      </c>
      <c r="BC98">
        <f t="shared" ca="1" si="94"/>
        <v>1.1434729794543386</v>
      </c>
      <c r="BD98">
        <f t="shared" ca="1" si="95"/>
        <v>-0.7010549899504428</v>
      </c>
      <c r="BE98">
        <f t="shared" ca="1" si="95"/>
        <v>-0.50573607350063843</v>
      </c>
      <c r="BF98">
        <f t="shared" ca="1" si="95"/>
        <v>-0.42538702839502285</v>
      </c>
      <c r="BG98">
        <f t="shared" ca="1" si="95"/>
        <v>0.23312662777208926</v>
      </c>
      <c r="BH98">
        <f t="shared" ca="1" si="95"/>
        <v>1.0591593546810287</v>
      </c>
      <c r="BI98">
        <f t="shared" ca="1" si="95"/>
        <v>1.0597693809715552</v>
      </c>
      <c r="BJ98">
        <f t="shared" ca="1" si="95"/>
        <v>0.19008699948191965</v>
      </c>
      <c r="BK98">
        <f t="shared" ca="1" si="95"/>
        <v>1.1939478827959071</v>
      </c>
      <c r="BL98">
        <f t="shared" ca="1" si="95"/>
        <v>-1.3022017738347085</v>
      </c>
      <c r="BM98">
        <f t="shared" ca="1" si="95"/>
        <v>-1.1281001394805228</v>
      </c>
      <c r="BN98">
        <f t="shared" ca="1" si="96"/>
        <v>-0.52447243586070913</v>
      </c>
      <c r="BO98">
        <f t="shared" ca="1" si="96"/>
        <v>0.71612338038486956</v>
      </c>
      <c r="BP98">
        <f t="shared" ca="1" si="96"/>
        <v>-2.5943053315321398</v>
      </c>
      <c r="BQ98">
        <f t="shared" ca="1" si="96"/>
        <v>-0.62677050087116382</v>
      </c>
      <c r="BR98">
        <f t="shared" ca="1" si="96"/>
        <v>1.134171796284384</v>
      </c>
      <c r="BS98">
        <f t="shared" ca="1" si="96"/>
        <v>0.61520172308675214</v>
      </c>
      <c r="BT98">
        <f t="shared" ca="1" si="96"/>
        <v>-1.2325167822379077</v>
      </c>
      <c r="BU98">
        <f t="shared" ca="1" si="96"/>
        <v>0.72898063076099151</v>
      </c>
      <c r="BV98">
        <f t="shared" ca="1" si="96"/>
        <v>0.21119076961838826</v>
      </c>
      <c r="BW98">
        <f t="shared" ca="1" si="96"/>
        <v>0.70446184914710275</v>
      </c>
      <c r="BX98">
        <f t="shared" ca="1" si="97"/>
        <v>1.1493379327922</v>
      </c>
      <c r="BY98">
        <f t="shared" ca="1" si="97"/>
        <v>0.55702595300401714</v>
      </c>
      <c r="BZ98">
        <f t="shared" ca="1" si="97"/>
        <v>0.29644716135967319</v>
      </c>
      <c r="CA98">
        <f t="shared" ca="1" si="97"/>
        <v>1.6467344228657379</v>
      </c>
      <c r="CB98">
        <f t="shared" ca="1" si="97"/>
        <v>-0.56299100488332121</v>
      </c>
      <c r="CC98">
        <f t="shared" ca="1" si="97"/>
        <v>-0.78225858295351058</v>
      </c>
      <c r="CD98">
        <f t="shared" ca="1" si="97"/>
        <v>0.66557110240825523</v>
      </c>
      <c r="CE98">
        <f t="shared" ca="1" si="97"/>
        <v>-0.77587250740977576</v>
      </c>
      <c r="CF98">
        <f t="shared" ca="1" si="97"/>
        <v>-0.30012088245773605</v>
      </c>
      <c r="CG98">
        <f t="shared" ca="1" si="97"/>
        <v>1.7189010396870628</v>
      </c>
      <c r="CH98">
        <f t="shared" ca="1" si="98"/>
        <v>-1.256251765872068</v>
      </c>
      <c r="CI98">
        <f t="shared" ca="1" si="98"/>
        <v>-0.81566252973376474</v>
      </c>
      <c r="CJ98">
        <f t="shared" ca="1" si="98"/>
        <v>-5.5665565600103148E-2</v>
      </c>
      <c r="CK98">
        <f t="shared" ca="1" si="98"/>
        <v>-0.55190496013037971</v>
      </c>
      <c r="CL98">
        <f t="shared" ca="1" si="98"/>
        <v>1.6233804844388382</v>
      </c>
      <c r="CM98">
        <f t="shared" ca="1" si="98"/>
        <v>-1.4906013730077656</v>
      </c>
      <c r="CN98">
        <f t="shared" ca="1" si="98"/>
        <v>-0.69790431341440817</v>
      </c>
      <c r="CO98">
        <f t="shared" ca="1" si="98"/>
        <v>-1.0444460028679301</v>
      </c>
      <c r="CP98">
        <f t="shared" ca="1" si="98"/>
        <v>-0.37966920848769925</v>
      </c>
      <c r="CQ98">
        <f t="shared" ca="1" si="98"/>
        <v>-0.78552634751709971</v>
      </c>
      <c r="CR98">
        <f t="shared" ca="1" si="99"/>
        <v>-0.34318271509001097</v>
      </c>
      <c r="CS98">
        <f t="shared" ca="1" si="99"/>
        <v>-8.1958820066792781E-2</v>
      </c>
      <c r="CT98">
        <f t="shared" ca="1" si="99"/>
        <v>-0.63774041006841131</v>
      </c>
      <c r="CU98">
        <f t="shared" ca="1" si="99"/>
        <v>1.1881953843133857</v>
      </c>
      <c r="CV98">
        <f t="shared" ca="1" si="99"/>
        <v>0.21185115516190253</v>
      </c>
      <c r="CW98">
        <f t="shared" ca="1" si="99"/>
        <v>-0.81783224875772143</v>
      </c>
      <c r="CX98">
        <f t="shared" ca="1" si="99"/>
        <v>0.27629234712087469</v>
      </c>
      <c r="CY98">
        <f t="shared" ca="1" si="99"/>
        <v>-0.37471965704268406</v>
      </c>
      <c r="CZ98">
        <f t="shared" ca="1" si="99"/>
        <v>-1.6562248687222771</v>
      </c>
      <c r="DA98">
        <f t="shared" ca="1" si="99"/>
        <v>2.7637146158538646</v>
      </c>
    </row>
    <row r="99" spans="5:105" x14ac:dyDescent="0.25">
      <c r="E99">
        <f>S_plus!L99</f>
        <v>0.97000000000000064</v>
      </c>
      <c r="F99">
        <f t="shared" ca="1" si="90"/>
        <v>-0.24907327385271108</v>
      </c>
      <c r="G99">
        <f t="shared" ca="1" si="90"/>
        <v>2.1294599921117205</v>
      </c>
      <c r="H99">
        <f t="shared" ca="1" si="90"/>
        <v>1.1451737330568095</v>
      </c>
      <c r="I99">
        <f t="shared" ca="1" si="90"/>
        <v>2.3597093951196864</v>
      </c>
      <c r="J99">
        <f t="shared" ca="1" si="90"/>
        <v>0.26267160841068204</v>
      </c>
      <c r="K99">
        <f t="shared" ca="1" si="90"/>
        <v>0.43073563048440244</v>
      </c>
      <c r="L99">
        <f t="shared" ca="1" si="90"/>
        <v>0.8240222695360675</v>
      </c>
      <c r="M99">
        <f t="shared" ca="1" si="90"/>
        <v>-0.24862603502413499</v>
      </c>
      <c r="N99">
        <f t="shared" ca="1" si="90"/>
        <v>0.38128986482844701</v>
      </c>
      <c r="O99">
        <f t="shared" ca="1" si="90"/>
        <v>-0.11721079435960162</v>
      </c>
      <c r="P99">
        <f t="shared" ca="1" si="91"/>
        <v>-1.1624871743105716</v>
      </c>
      <c r="Q99">
        <f t="shared" ca="1" si="91"/>
        <v>1.9778310806284713</v>
      </c>
      <c r="R99">
        <f t="shared" ca="1" si="91"/>
        <v>1.465087468157461</v>
      </c>
      <c r="S99">
        <f t="shared" ca="1" si="91"/>
        <v>-0.59769462918119987</v>
      </c>
      <c r="T99">
        <f t="shared" ca="1" si="91"/>
        <v>-0.18101253027325898</v>
      </c>
      <c r="U99">
        <f t="shared" ca="1" si="91"/>
        <v>1.2584734807178686</v>
      </c>
      <c r="V99">
        <f t="shared" ca="1" si="91"/>
        <v>-0.10235823862437227</v>
      </c>
      <c r="W99">
        <f t="shared" ca="1" si="91"/>
        <v>0.20304360385365014</v>
      </c>
      <c r="X99">
        <f t="shared" ca="1" si="91"/>
        <v>-3.221825608615827</v>
      </c>
      <c r="Y99">
        <f t="shared" ca="1" si="91"/>
        <v>0.61028087609855397</v>
      </c>
      <c r="Z99">
        <f t="shared" ca="1" si="92"/>
        <v>-0.33350066670644052</v>
      </c>
      <c r="AA99">
        <f t="shared" ca="1" si="92"/>
        <v>-0.34950346054995468</v>
      </c>
      <c r="AB99">
        <f t="shared" ca="1" si="92"/>
        <v>-0.68658800992516245</v>
      </c>
      <c r="AC99">
        <f t="shared" ca="1" si="92"/>
        <v>0.27474651059153227</v>
      </c>
      <c r="AD99">
        <f t="shared" ca="1" si="92"/>
        <v>-0.2456454432967381</v>
      </c>
      <c r="AE99">
        <f t="shared" ca="1" si="92"/>
        <v>0.47685489656520053</v>
      </c>
      <c r="AF99">
        <f t="shared" ca="1" si="92"/>
        <v>0.73936169297551513</v>
      </c>
      <c r="AG99">
        <f t="shared" ca="1" si="92"/>
        <v>-2.9550409667836055</v>
      </c>
      <c r="AH99">
        <f t="shared" ca="1" si="92"/>
        <v>0.315267534561473</v>
      </c>
      <c r="AI99">
        <f t="shared" ca="1" si="92"/>
        <v>0.34911812548891602</v>
      </c>
      <c r="AJ99">
        <f t="shared" ca="1" si="93"/>
        <v>0.21645250792468967</v>
      </c>
      <c r="AK99">
        <f t="shared" ca="1" si="93"/>
        <v>-0.60962548278929463</v>
      </c>
      <c r="AL99">
        <f t="shared" ca="1" si="93"/>
        <v>-0.165451468900944</v>
      </c>
      <c r="AM99">
        <f t="shared" ca="1" si="93"/>
        <v>1.1155668337093703</v>
      </c>
      <c r="AN99">
        <f t="shared" ca="1" si="93"/>
        <v>0.96407380434595535</v>
      </c>
      <c r="AO99">
        <f t="shared" ca="1" si="93"/>
        <v>0.79932765270761785</v>
      </c>
      <c r="AP99">
        <f t="shared" ca="1" si="93"/>
        <v>0.95253373810674746</v>
      </c>
      <c r="AQ99">
        <f t="shared" ca="1" si="93"/>
        <v>0.23977577998616556</v>
      </c>
      <c r="AR99">
        <f t="shared" ca="1" si="93"/>
        <v>1.4199860751643003</v>
      </c>
      <c r="AS99">
        <f t="shared" ca="1" si="93"/>
        <v>-2.1299432116223573</v>
      </c>
      <c r="AT99">
        <f t="shared" ca="1" si="94"/>
        <v>-0.76107933311782583</v>
      </c>
      <c r="AU99">
        <f t="shared" ca="1" si="94"/>
        <v>0.1297151892192</v>
      </c>
      <c r="AV99">
        <f t="shared" ca="1" si="94"/>
        <v>-0.25244334507900285</v>
      </c>
      <c r="AW99">
        <f t="shared" ca="1" si="94"/>
        <v>0.500552822456234</v>
      </c>
      <c r="AX99">
        <f t="shared" ca="1" si="94"/>
        <v>-1.314158448050897</v>
      </c>
      <c r="AY99">
        <f t="shared" ca="1" si="94"/>
        <v>0.97290390222641021</v>
      </c>
      <c r="AZ99">
        <f t="shared" ca="1" si="94"/>
        <v>-0.49820153254356286</v>
      </c>
      <c r="BA99">
        <f t="shared" ca="1" si="94"/>
        <v>-1.4674162426942778</v>
      </c>
      <c r="BB99">
        <f t="shared" ca="1" si="94"/>
        <v>0.35252089431946487</v>
      </c>
      <c r="BC99">
        <f t="shared" ca="1" si="94"/>
        <v>6.3455452989288091E-2</v>
      </c>
      <c r="BD99">
        <f t="shared" ca="1" si="95"/>
        <v>0.70651109847244831</v>
      </c>
      <c r="BE99">
        <f t="shared" ca="1" si="95"/>
        <v>-1.0862622368131147</v>
      </c>
      <c r="BF99">
        <f t="shared" ca="1" si="95"/>
        <v>-0.89412929540890917</v>
      </c>
      <c r="BG99">
        <f t="shared" ca="1" si="95"/>
        <v>0.18613724668450082</v>
      </c>
      <c r="BH99">
        <f t="shared" ca="1" si="95"/>
        <v>1.0988165557374245</v>
      </c>
      <c r="BI99">
        <f t="shared" ca="1" si="95"/>
        <v>0.33140541326190665</v>
      </c>
      <c r="BJ99">
        <f t="shared" ca="1" si="95"/>
        <v>-0.8544061476764413</v>
      </c>
      <c r="BK99">
        <f t="shared" ca="1" si="95"/>
        <v>-1.1982097888522263</v>
      </c>
      <c r="BL99">
        <f t="shared" ca="1" si="95"/>
        <v>-3.4318457098776265E-3</v>
      </c>
      <c r="BM99">
        <f t="shared" ca="1" si="95"/>
        <v>9.7600334603002728E-2</v>
      </c>
      <c r="BN99">
        <f t="shared" ca="1" si="96"/>
        <v>-0.47272629071531219</v>
      </c>
      <c r="BO99">
        <f t="shared" ca="1" si="96"/>
        <v>0.22992473495922386</v>
      </c>
      <c r="BP99">
        <f t="shared" ca="1" si="96"/>
        <v>-0.7872437602667286</v>
      </c>
      <c r="BQ99">
        <f t="shared" ca="1" si="96"/>
        <v>-1.3481569757608594</v>
      </c>
      <c r="BR99">
        <f t="shared" ca="1" si="96"/>
        <v>-1.288001987417144</v>
      </c>
      <c r="BS99">
        <f t="shared" ca="1" si="96"/>
        <v>0.38590485224983945</v>
      </c>
      <c r="BT99">
        <f t="shared" ca="1" si="96"/>
        <v>0.91754425194035449</v>
      </c>
      <c r="BU99">
        <f t="shared" ca="1" si="96"/>
        <v>0.77383021970392341</v>
      </c>
      <c r="BV99">
        <f t="shared" ca="1" si="96"/>
        <v>-0.67254588011605754</v>
      </c>
      <c r="BW99">
        <f t="shared" ca="1" si="96"/>
        <v>-0.65959526880155039</v>
      </c>
      <c r="BX99">
        <f t="shared" ca="1" si="97"/>
        <v>-0.12277489220856483</v>
      </c>
      <c r="BY99">
        <f t="shared" ca="1" si="97"/>
        <v>1.256505527469389</v>
      </c>
      <c r="BZ99">
        <f t="shared" ca="1" si="97"/>
        <v>1.3577165107368419</v>
      </c>
      <c r="CA99">
        <f t="shared" ca="1" si="97"/>
        <v>-0.29560424722155176</v>
      </c>
      <c r="CB99">
        <f t="shared" ca="1" si="97"/>
        <v>-0.25822266476766964</v>
      </c>
      <c r="CC99">
        <f t="shared" ca="1" si="97"/>
        <v>-2.7096052419185074E-2</v>
      </c>
      <c r="CD99">
        <f t="shared" ca="1" si="97"/>
        <v>0.55776270178801901</v>
      </c>
      <c r="CE99">
        <f t="shared" ca="1" si="97"/>
        <v>-0.82511618774038764</v>
      </c>
      <c r="CF99">
        <f t="shared" ca="1" si="97"/>
        <v>-1.4554479937721949</v>
      </c>
      <c r="CG99">
        <f t="shared" ca="1" si="97"/>
        <v>-1.0860652721093866</v>
      </c>
      <c r="CH99">
        <f t="shared" ca="1" si="98"/>
        <v>-2.0019768081042595</v>
      </c>
      <c r="CI99">
        <f t="shared" ca="1" si="98"/>
        <v>-1.3654377086554441</v>
      </c>
      <c r="CJ99">
        <f t="shared" ca="1" si="98"/>
        <v>-1.0875578836843092</v>
      </c>
      <c r="CK99">
        <f t="shared" ca="1" si="98"/>
        <v>-0.3263070033207533</v>
      </c>
      <c r="CL99">
        <f t="shared" ca="1" si="98"/>
        <v>0.69050592363548435</v>
      </c>
      <c r="CM99">
        <f t="shared" ca="1" si="98"/>
        <v>-1.743522476423123</v>
      </c>
      <c r="CN99">
        <f t="shared" ca="1" si="98"/>
        <v>-0.96280899533832642</v>
      </c>
      <c r="CO99">
        <f t="shared" ca="1" si="98"/>
        <v>0.39273441278237076</v>
      </c>
      <c r="CP99">
        <f t="shared" ca="1" si="98"/>
        <v>-0.57761765937318965</v>
      </c>
      <c r="CQ99">
        <f t="shared" ca="1" si="98"/>
        <v>0.21884053864271216</v>
      </c>
      <c r="CR99">
        <f t="shared" ca="1" si="99"/>
        <v>-2.3089600133070607</v>
      </c>
      <c r="CS99">
        <f t="shared" ca="1" si="99"/>
        <v>-1.1567311303648493</v>
      </c>
      <c r="CT99">
        <f t="shared" ca="1" si="99"/>
        <v>-0.34300806952486224</v>
      </c>
      <c r="CU99">
        <f t="shared" ca="1" si="99"/>
        <v>0.31598119163218796</v>
      </c>
      <c r="CV99">
        <f t="shared" ca="1" si="99"/>
        <v>-4.8863571352465072E-2</v>
      </c>
      <c r="CW99">
        <f t="shared" ca="1" si="99"/>
        <v>0.11849748848383852</v>
      </c>
      <c r="CX99">
        <f t="shared" ca="1" si="99"/>
        <v>0.67643053235113071</v>
      </c>
      <c r="CY99">
        <f t="shared" ca="1" si="99"/>
        <v>0.32648327422476731</v>
      </c>
      <c r="CZ99">
        <f t="shared" ca="1" si="99"/>
        <v>-0.37315896471068111</v>
      </c>
      <c r="DA99">
        <f t="shared" ca="1" si="99"/>
        <v>-1.073832712879939</v>
      </c>
    </row>
    <row r="100" spans="5:105" x14ac:dyDescent="0.25">
      <c r="E100">
        <f>S_plus!L100</f>
        <v>0.98000000000000065</v>
      </c>
      <c r="F100">
        <f t="shared" ca="1" si="90"/>
        <v>0.98408741909968245</v>
      </c>
      <c r="G100">
        <f t="shared" ca="1" si="90"/>
        <v>0.6256957131986699</v>
      </c>
      <c r="H100">
        <f t="shared" ca="1" si="90"/>
        <v>0.32852230340924066</v>
      </c>
      <c r="I100">
        <f t="shared" ca="1" si="90"/>
        <v>0.92801950060517724</v>
      </c>
      <c r="J100">
        <f t="shared" ca="1" si="90"/>
        <v>1.2188530590524356</v>
      </c>
      <c r="K100">
        <f t="shared" ca="1" si="90"/>
        <v>1.1515660773479572</v>
      </c>
      <c r="L100">
        <f t="shared" ca="1" si="90"/>
        <v>-1.3291922643051934</v>
      </c>
      <c r="M100">
        <f t="shared" ca="1" si="90"/>
        <v>-1.0732590687016947</v>
      </c>
      <c r="N100">
        <f t="shared" ca="1" si="90"/>
        <v>0.57496290850868315</v>
      </c>
      <c r="O100">
        <f t="shared" ca="1" si="90"/>
        <v>0.67598940098940774</v>
      </c>
      <c r="P100">
        <f t="shared" ca="1" si="91"/>
        <v>-4.7012387310351227E-2</v>
      </c>
      <c r="Q100">
        <f t="shared" ca="1" si="91"/>
        <v>1.5682479609381423</v>
      </c>
      <c r="R100">
        <f t="shared" ca="1" si="91"/>
        <v>1.050261644680957</v>
      </c>
      <c r="S100">
        <f t="shared" ca="1" si="91"/>
        <v>-0.2755714342739719</v>
      </c>
      <c r="T100">
        <f t="shared" ca="1" si="91"/>
        <v>-1.7165851028347225</v>
      </c>
      <c r="U100">
        <f t="shared" ca="1" si="91"/>
        <v>-0.25008470823974355</v>
      </c>
      <c r="V100">
        <f t="shared" ca="1" si="91"/>
        <v>-1.2857864308263101</v>
      </c>
      <c r="W100">
        <f t="shared" ca="1" si="91"/>
        <v>-3.2521511184376899E-2</v>
      </c>
      <c r="X100">
        <f t="shared" ca="1" si="91"/>
        <v>-0.73749203711978917</v>
      </c>
      <c r="Y100">
        <f t="shared" ca="1" si="91"/>
        <v>-2.1185187492756539</v>
      </c>
      <c r="Z100">
        <f t="shared" ca="1" si="92"/>
        <v>-4.1959039370345542E-2</v>
      </c>
      <c r="AA100">
        <f t="shared" ca="1" si="92"/>
        <v>0.82120950455493247</v>
      </c>
      <c r="AB100">
        <f t="shared" ca="1" si="92"/>
        <v>0.67696488571667834</v>
      </c>
      <c r="AC100">
        <f t="shared" ca="1" si="92"/>
        <v>0.7089578658118153</v>
      </c>
      <c r="AD100">
        <f t="shared" ca="1" si="92"/>
        <v>1.8542326896740611</v>
      </c>
      <c r="AE100">
        <f t="shared" ca="1" si="92"/>
        <v>0.93994310517473667</v>
      </c>
      <c r="AF100">
        <f t="shared" ca="1" si="92"/>
        <v>-3.9933999680974865E-2</v>
      </c>
      <c r="AG100">
        <f t="shared" ca="1" si="92"/>
        <v>-0.78643099402406269</v>
      </c>
      <c r="AH100">
        <f t="shared" ca="1" si="92"/>
        <v>-0.50208655513574252</v>
      </c>
      <c r="AI100">
        <f t="shared" ca="1" si="92"/>
        <v>-1.7041066066899384</v>
      </c>
      <c r="AJ100">
        <f t="shared" ca="1" si="93"/>
        <v>-1.4748916493391737</v>
      </c>
      <c r="AK100">
        <f t="shared" ca="1" si="93"/>
        <v>-1.0020756180587749</v>
      </c>
      <c r="AL100">
        <f t="shared" ca="1" si="93"/>
        <v>0.42729418969656147</v>
      </c>
      <c r="AM100">
        <f t="shared" ca="1" si="93"/>
        <v>1.5166296977433422</v>
      </c>
      <c r="AN100">
        <f t="shared" ca="1" si="93"/>
        <v>-0.16914272346232828</v>
      </c>
      <c r="AO100">
        <f t="shared" ca="1" si="93"/>
        <v>-0.19051012652449639</v>
      </c>
      <c r="AP100">
        <f t="shared" ca="1" si="93"/>
        <v>0.86423512867859686</v>
      </c>
      <c r="AQ100">
        <f t="shared" ca="1" si="93"/>
        <v>2.3896612628250629</v>
      </c>
      <c r="AR100">
        <f t="shared" ca="1" si="93"/>
        <v>-0.33814973893987732</v>
      </c>
      <c r="AS100">
        <f t="shared" ca="1" si="93"/>
        <v>-1.000161636032594</v>
      </c>
      <c r="AT100">
        <f t="shared" ca="1" si="94"/>
        <v>0.66646709340314014</v>
      </c>
      <c r="AU100">
        <f t="shared" ca="1" si="94"/>
        <v>1.5683163018845667</v>
      </c>
      <c r="AV100">
        <f t="shared" ca="1" si="94"/>
        <v>-1.984931126316803</v>
      </c>
      <c r="AW100">
        <f t="shared" ca="1" si="94"/>
        <v>0.12166978770935133</v>
      </c>
      <c r="AX100">
        <f t="shared" ca="1" si="94"/>
        <v>-0.20117490865145929</v>
      </c>
      <c r="AY100">
        <f t="shared" ca="1" si="94"/>
        <v>-1.2400679040815028</v>
      </c>
      <c r="AZ100">
        <f t="shared" ca="1" si="94"/>
        <v>0.1983757245796432</v>
      </c>
      <c r="BA100">
        <f t="shared" ca="1" si="94"/>
        <v>7.3021014255313507E-3</v>
      </c>
      <c r="BB100">
        <f t="shared" ca="1" si="94"/>
        <v>-1.1239886114457853</v>
      </c>
      <c r="BC100">
        <f t="shared" ca="1" si="94"/>
        <v>-1.9035837753204432</v>
      </c>
      <c r="BD100">
        <f t="shared" ca="1" si="95"/>
        <v>1.1837552785481007</v>
      </c>
      <c r="BE100">
        <f t="shared" ca="1" si="95"/>
        <v>-0.62879231752500797</v>
      </c>
      <c r="BF100">
        <f t="shared" ca="1" si="95"/>
        <v>0.91121466825185893</v>
      </c>
      <c r="BG100">
        <f t="shared" ca="1" si="95"/>
        <v>8.2547644191955385E-2</v>
      </c>
      <c r="BH100">
        <f t="shared" ca="1" si="95"/>
        <v>1.1508078018546024</v>
      </c>
      <c r="BI100">
        <f t="shared" ca="1" si="95"/>
        <v>2.0616046611745076</v>
      </c>
      <c r="BJ100">
        <f t="shared" ca="1" si="95"/>
        <v>0.45550402657904093</v>
      </c>
      <c r="BK100">
        <f t="shared" ca="1" si="95"/>
        <v>1.1824280845259778</v>
      </c>
      <c r="BL100">
        <f t="shared" ca="1" si="95"/>
        <v>-0.44073457464254734</v>
      </c>
      <c r="BM100">
        <f t="shared" ca="1" si="95"/>
        <v>0.4415772733803015</v>
      </c>
      <c r="BN100">
        <f t="shared" ca="1" si="96"/>
        <v>0.93674672345182841</v>
      </c>
      <c r="BO100">
        <f t="shared" ca="1" si="96"/>
        <v>-0.32014537707556107</v>
      </c>
      <c r="BP100">
        <f t="shared" ca="1" si="96"/>
        <v>-0.44619223320258877</v>
      </c>
      <c r="BQ100">
        <f t="shared" ca="1" si="96"/>
        <v>2.0877470698486267</v>
      </c>
      <c r="BR100">
        <f t="shared" ca="1" si="96"/>
        <v>0.3930283551524153</v>
      </c>
      <c r="BS100">
        <f t="shared" ca="1" si="96"/>
        <v>-8.1172055846477405E-3</v>
      </c>
      <c r="BT100">
        <f t="shared" ca="1" si="96"/>
        <v>-0.50284741528919552</v>
      </c>
      <c r="BU100">
        <f t="shared" ca="1" si="96"/>
        <v>2.4134470288960177</v>
      </c>
      <c r="BV100">
        <f t="shared" ca="1" si="96"/>
        <v>1.5283529161427762</v>
      </c>
      <c r="BW100">
        <f t="shared" ca="1" si="96"/>
        <v>1.6642406670941585E-2</v>
      </c>
      <c r="BX100">
        <f t="shared" ca="1" si="97"/>
        <v>1.0262352745746346</v>
      </c>
      <c r="BY100">
        <f t="shared" ca="1" si="97"/>
        <v>1.2065979515478451</v>
      </c>
      <c r="BZ100">
        <f t="shared" ca="1" si="97"/>
        <v>1.5214229060691018</v>
      </c>
      <c r="CA100">
        <f t="shared" ca="1" si="97"/>
        <v>-2.3139200290201911</v>
      </c>
      <c r="CB100">
        <f t="shared" ca="1" si="97"/>
        <v>0.91908902251283264</v>
      </c>
      <c r="CC100">
        <f t="shared" ca="1" si="97"/>
        <v>-0.99694686488290185</v>
      </c>
      <c r="CD100">
        <f t="shared" ca="1" si="97"/>
        <v>-1.9280938502348322</v>
      </c>
      <c r="CE100">
        <f t="shared" ca="1" si="97"/>
        <v>-1.5856890911885886</v>
      </c>
      <c r="CF100">
        <f t="shared" ca="1" si="97"/>
        <v>0.18581485319009969</v>
      </c>
      <c r="CG100">
        <f t="shared" ca="1" si="97"/>
        <v>-0.31870155650798637</v>
      </c>
      <c r="CH100">
        <f t="shared" ca="1" si="98"/>
        <v>1.5946829820815887</v>
      </c>
      <c r="CI100">
        <f t="shared" ca="1" si="98"/>
        <v>-2.2962388295436846</v>
      </c>
      <c r="CJ100">
        <f t="shared" ca="1" si="98"/>
        <v>-0.79211541255905404</v>
      </c>
      <c r="CK100">
        <f t="shared" ca="1" si="98"/>
        <v>1.4078067022383645</v>
      </c>
      <c r="CL100">
        <f t="shared" ca="1" si="98"/>
        <v>-1.0388172157739095</v>
      </c>
      <c r="CM100">
        <f t="shared" ca="1" si="98"/>
        <v>1.3103572395618257</v>
      </c>
      <c r="CN100">
        <f t="shared" ca="1" si="98"/>
        <v>-0.35412870665251128</v>
      </c>
      <c r="CO100">
        <f t="shared" ca="1" si="98"/>
        <v>-0.85823999421169284</v>
      </c>
      <c r="CP100">
        <f t="shared" ca="1" si="98"/>
        <v>-4.4277828810442323E-3</v>
      </c>
      <c r="CQ100">
        <f t="shared" ca="1" si="98"/>
        <v>0.44614659278747221</v>
      </c>
      <c r="CR100">
        <f t="shared" ca="1" si="99"/>
        <v>-1.0827621877101061</v>
      </c>
      <c r="CS100">
        <f t="shared" ca="1" si="99"/>
        <v>0.32308832334661447</v>
      </c>
      <c r="CT100">
        <f t="shared" ca="1" si="99"/>
        <v>-1.8987138787456894</v>
      </c>
      <c r="CU100">
        <f t="shared" ca="1" si="99"/>
        <v>1.3927794552377328</v>
      </c>
      <c r="CV100">
        <f t="shared" ca="1" si="99"/>
        <v>-0.36697260531445475</v>
      </c>
      <c r="CW100">
        <f t="shared" ca="1" si="99"/>
        <v>-0.23958168686740189</v>
      </c>
      <c r="CX100">
        <f t="shared" ca="1" si="99"/>
        <v>9.1340408913850521E-2</v>
      </c>
      <c r="CY100">
        <f t="shared" ca="1" si="99"/>
        <v>0.85101572895812949</v>
      </c>
      <c r="CZ100">
        <f t="shared" ca="1" si="99"/>
        <v>-1.4074427800859495</v>
      </c>
      <c r="DA100">
        <f t="shared" ca="1" si="99"/>
        <v>-3.6502843706917019</v>
      </c>
    </row>
    <row r="101" spans="5:105" x14ac:dyDescent="0.25">
      <c r="E101">
        <f>S_plus!L101</f>
        <v>0.99000000000000066</v>
      </c>
      <c r="F101">
        <f t="shared" ca="1" si="90"/>
        <v>-0.70396522586618782</v>
      </c>
      <c r="G101">
        <f t="shared" ca="1" si="90"/>
        <v>-0.90486344958886589</v>
      </c>
      <c r="H101">
        <f t="shared" ca="1" si="90"/>
        <v>1.7595495229730607</v>
      </c>
      <c r="I101">
        <f t="shared" ca="1" si="90"/>
        <v>-1.4072315467462954E-2</v>
      </c>
      <c r="J101">
        <f t="shared" ca="1" si="90"/>
        <v>2.4244641709441019</v>
      </c>
      <c r="K101">
        <f t="shared" ca="1" si="90"/>
        <v>-0.14332250858467088</v>
      </c>
      <c r="L101">
        <f t="shared" ca="1" si="90"/>
        <v>-1.1411494328715865</v>
      </c>
      <c r="M101">
        <f t="shared" ca="1" si="90"/>
        <v>1.1817507446868289</v>
      </c>
      <c r="N101">
        <f t="shared" ca="1" si="90"/>
        <v>0.87653349267703828</v>
      </c>
      <c r="O101">
        <f t="shared" ca="1" si="90"/>
        <v>-0.29602047533528769</v>
      </c>
      <c r="P101">
        <f t="shared" ca="1" si="91"/>
        <v>0.44350726433887855</v>
      </c>
      <c r="Q101">
        <f t="shared" ca="1" si="91"/>
        <v>-0.97752162329321735</v>
      </c>
      <c r="R101">
        <f t="shared" ca="1" si="91"/>
        <v>-0.94527913301207733</v>
      </c>
      <c r="S101">
        <f t="shared" ca="1" si="91"/>
        <v>-0.626723460720083</v>
      </c>
      <c r="T101">
        <f t="shared" ca="1" si="91"/>
        <v>0.55938923653293571</v>
      </c>
      <c r="U101">
        <f t="shared" ca="1" si="91"/>
        <v>0.97659551158110769</v>
      </c>
      <c r="V101">
        <f t="shared" ca="1" si="91"/>
        <v>0.55208814352480451</v>
      </c>
      <c r="W101">
        <f t="shared" ca="1" si="91"/>
        <v>0.97071164617781547</v>
      </c>
      <c r="X101">
        <f t="shared" ca="1" si="91"/>
        <v>-0.29024227054779939</v>
      </c>
      <c r="Y101">
        <f t="shared" ca="1" si="91"/>
        <v>-0.85644673951738637</v>
      </c>
      <c r="Z101">
        <f t="shared" ca="1" si="92"/>
        <v>-0.33552883853101056</v>
      </c>
      <c r="AA101">
        <f t="shared" ca="1" si="92"/>
        <v>1.7434141867964212</v>
      </c>
      <c r="AB101">
        <f t="shared" ca="1" si="92"/>
        <v>-0.10127708283311974</v>
      </c>
      <c r="AC101">
        <f t="shared" ca="1" si="92"/>
        <v>0.51016653713761151</v>
      </c>
      <c r="AD101">
        <f t="shared" ca="1" si="92"/>
        <v>0.55443769464571646</v>
      </c>
      <c r="AE101">
        <f t="shared" ca="1" si="92"/>
        <v>2.9808247305969404</v>
      </c>
      <c r="AF101">
        <f t="shared" ca="1" si="92"/>
        <v>0.11815150335334992</v>
      </c>
      <c r="AG101">
        <f t="shared" ca="1" si="92"/>
        <v>3.5342142752790864E-2</v>
      </c>
      <c r="AH101">
        <f t="shared" ca="1" si="92"/>
        <v>0.92351198298265513</v>
      </c>
      <c r="AI101">
        <f t="shared" ca="1" si="92"/>
        <v>0.30013730146084028</v>
      </c>
      <c r="AJ101">
        <f t="shared" ca="1" si="93"/>
        <v>-0.58283778120206431</v>
      </c>
      <c r="AK101">
        <f t="shared" ca="1" si="93"/>
        <v>-1.3798178299827579</v>
      </c>
      <c r="AL101">
        <f t="shared" ca="1" si="93"/>
        <v>-0.22311084541636339</v>
      </c>
      <c r="AM101">
        <f t="shared" ca="1" si="93"/>
        <v>-1.899933536160151</v>
      </c>
      <c r="AN101">
        <f t="shared" ca="1" si="93"/>
        <v>0.14768771514649712</v>
      </c>
      <c r="AO101">
        <f t="shared" ca="1" si="93"/>
        <v>0.40690283786259024</v>
      </c>
      <c r="AP101">
        <f t="shared" ca="1" si="93"/>
        <v>1.5201069842853958</v>
      </c>
      <c r="AQ101">
        <f t="shared" ca="1" si="93"/>
        <v>-1.64401869383813</v>
      </c>
      <c r="AR101">
        <f t="shared" ca="1" si="93"/>
        <v>1.8101682338676064</v>
      </c>
      <c r="AS101">
        <f t="shared" ca="1" si="93"/>
        <v>-0.38119842198795822</v>
      </c>
      <c r="AT101">
        <f t="shared" ca="1" si="94"/>
        <v>-0.64610903839780864</v>
      </c>
      <c r="AU101">
        <f t="shared" ca="1" si="94"/>
        <v>-0.88364028820844043</v>
      </c>
      <c r="AV101">
        <f t="shared" ca="1" si="94"/>
        <v>-0.39283421195765617</v>
      </c>
      <c r="AW101">
        <f t="shared" ca="1" si="94"/>
        <v>1.1234955513383977</v>
      </c>
      <c r="AX101">
        <f t="shared" ca="1" si="94"/>
        <v>-1.8871577288214012</v>
      </c>
      <c r="AY101">
        <f t="shared" ca="1" si="94"/>
        <v>-6.0847837766750235E-2</v>
      </c>
      <c r="AZ101">
        <f t="shared" ca="1" si="94"/>
        <v>0.16781122432585269</v>
      </c>
      <c r="BA101">
        <f t="shared" ca="1" si="94"/>
        <v>-0.78112432168906532</v>
      </c>
      <c r="BB101">
        <f t="shared" ca="1" si="94"/>
        <v>-0.29639035887823656</v>
      </c>
      <c r="BC101">
        <f t="shared" ca="1" si="94"/>
        <v>0.23142186262624506</v>
      </c>
      <c r="BD101">
        <f t="shared" ca="1" si="95"/>
        <v>2.1353505835720688</v>
      </c>
      <c r="BE101">
        <f t="shared" ca="1" si="95"/>
        <v>7.7495697221691964E-3</v>
      </c>
      <c r="BF101">
        <f t="shared" ca="1" si="95"/>
        <v>2.515669139583947</v>
      </c>
      <c r="BG101">
        <f t="shared" ca="1" si="95"/>
        <v>1.9476344687162568</v>
      </c>
      <c r="BH101">
        <f t="shared" ca="1" si="95"/>
        <v>0.11560426659146671</v>
      </c>
      <c r="BI101">
        <f t="shared" ca="1" si="95"/>
        <v>-1.2252178674789913</v>
      </c>
      <c r="BJ101">
        <f t="shared" ca="1" si="95"/>
        <v>-0.53664950760902208</v>
      </c>
      <c r="BK101">
        <f t="shared" ca="1" si="95"/>
        <v>-1.0249352011204176</v>
      </c>
      <c r="BL101">
        <f t="shared" ca="1" si="95"/>
        <v>-0.11049500452256822</v>
      </c>
      <c r="BM101">
        <f t="shared" ca="1" si="95"/>
        <v>-0.71539316551874965</v>
      </c>
      <c r="BN101">
        <f t="shared" ca="1" si="96"/>
        <v>0.3566657084684498</v>
      </c>
      <c r="BO101">
        <f t="shared" ca="1" si="96"/>
        <v>0.54878863812470691</v>
      </c>
      <c r="BP101">
        <f t="shared" ca="1" si="96"/>
        <v>0.10411365717549413</v>
      </c>
      <c r="BQ101">
        <f t="shared" ca="1" si="96"/>
        <v>0.21106092096620593</v>
      </c>
      <c r="BR101">
        <f t="shared" ca="1" si="96"/>
        <v>1.0545806469663266</v>
      </c>
      <c r="BS101">
        <f t="shared" ca="1" si="96"/>
        <v>0.43887094014999056</v>
      </c>
      <c r="BT101">
        <f t="shared" ca="1" si="96"/>
        <v>1.9848961156880285</v>
      </c>
      <c r="BU101">
        <f t="shared" ca="1" si="96"/>
        <v>1.0045917373054041</v>
      </c>
      <c r="BV101">
        <f t="shared" ca="1" si="96"/>
        <v>-0.44876469723467344</v>
      </c>
      <c r="BW101">
        <f t="shared" ca="1" si="96"/>
        <v>-0.13733973740758257</v>
      </c>
      <c r="BX101">
        <f t="shared" ca="1" si="97"/>
        <v>-0.335534746478937</v>
      </c>
      <c r="BY101">
        <f t="shared" ca="1" si="97"/>
        <v>0.34037299815132616</v>
      </c>
      <c r="BZ101">
        <f t="shared" ca="1" si="97"/>
        <v>-0.65420568889146025</v>
      </c>
      <c r="CA101">
        <f t="shared" ca="1" si="97"/>
        <v>-0.64742279996188257</v>
      </c>
      <c r="CB101">
        <f t="shared" ca="1" si="97"/>
        <v>-0.7665866417196936</v>
      </c>
      <c r="CC101">
        <f t="shared" ca="1" si="97"/>
        <v>-0.98360008509353725</v>
      </c>
      <c r="CD101">
        <f t="shared" ca="1" si="97"/>
        <v>1.4398751668052583</v>
      </c>
      <c r="CE101">
        <f t="shared" ca="1" si="97"/>
        <v>-0.27207379372309737</v>
      </c>
      <c r="CF101">
        <f t="shared" ca="1" si="97"/>
        <v>1.0830457617770159</v>
      </c>
      <c r="CG101">
        <f t="shared" ca="1" si="97"/>
        <v>-0.19250228896762403</v>
      </c>
      <c r="CH101">
        <f t="shared" ca="1" si="98"/>
        <v>1.7927125161869861</v>
      </c>
      <c r="CI101">
        <f t="shared" ca="1" si="98"/>
        <v>0.34915458520415971</v>
      </c>
      <c r="CJ101">
        <f t="shared" ca="1" si="98"/>
        <v>-0.76703770321826104</v>
      </c>
      <c r="CK101">
        <f t="shared" ca="1" si="98"/>
        <v>2.0045024989164371</v>
      </c>
      <c r="CL101">
        <f t="shared" ca="1" si="98"/>
        <v>-0.56306301326234043</v>
      </c>
      <c r="CM101">
        <f t="shared" ca="1" si="98"/>
        <v>0.7675571012202419</v>
      </c>
      <c r="CN101">
        <f t="shared" ca="1" si="98"/>
        <v>-1.1724313231322132</v>
      </c>
      <c r="CO101">
        <f t="shared" ca="1" si="98"/>
        <v>-0.76050801905211618</v>
      </c>
      <c r="CP101">
        <f t="shared" ca="1" si="98"/>
        <v>-0.70580567853796727</v>
      </c>
      <c r="CQ101">
        <f t="shared" ca="1" si="98"/>
        <v>-0.19108637506186429</v>
      </c>
      <c r="CR101">
        <f t="shared" ca="1" si="99"/>
        <v>2.0617501006889287</v>
      </c>
      <c r="CS101">
        <f t="shared" ca="1" si="99"/>
        <v>-0.51843427775059492</v>
      </c>
      <c r="CT101">
        <f t="shared" ca="1" si="99"/>
        <v>0.19456094376120961</v>
      </c>
      <c r="CU101">
        <f t="shared" ca="1" si="99"/>
        <v>1.0888708405527561</v>
      </c>
      <c r="CV101">
        <f t="shared" ca="1" si="99"/>
        <v>0.76846557098063895</v>
      </c>
      <c r="CW101">
        <f t="shared" ca="1" si="99"/>
        <v>-0.23989817104103939</v>
      </c>
      <c r="CX101">
        <f t="shared" ca="1" si="99"/>
        <v>0.25412880422445133</v>
      </c>
      <c r="CY101">
        <f t="shared" ca="1" si="99"/>
        <v>1.6138033587102167</v>
      </c>
      <c r="CZ101">
        <f t="shared" ca="1" si="99"/>
        <v>0.12493590899748758</v>
      </c>
      <c r="DA101">
        <f t="shared" ca="1" si="99"/>
        <v>1.4380001370543058</v>
      </c>
    </row>
    <row r="102" spans="5:105" x14ac:dyDescent="0.25">
      <c r="E102">
        <f>S_plus!L102</f>
        <v>1.0000000000000007</v>
      </c>
      <c r="F102">
        <f t="shared" ca="1" si="90"/>
        <v>4.4156423960122024E-2</v>
      </c>
      <c r="G102">
        <f t="shared" ca="1" si="90"/>
        <v>-0.9624982705703673</v>
      </c>
      <c r="H102">
        <f t="shared" ca="1" si="90"/>
        <v>-3.2344642217988599E-2</v>
      </c>
      <c r="I102">
        <f t="shared" ca="1" si="90"/>
        <v>1.0248718777875934</v>
      </c>
      <c r="J102">
        <f t="shared" ca="1" si="90"/>
        <v>-0.43752506154597459</v>
      </c>
      <c r="K102">
        <f t="shared" ca="1" si="90"/>
        <v>-2.7930627613583385E-2</v>
      </c>
      <c r="L102">
        <f t="shared" ca="1" si="90"/>
        <v>1.4543624534032</v>
      </c>
      <c r="M102">
        <f t="shared" ca="1" si="90"/>
        <v>0.49139616380155848</v>
      </c>
      <c r="N102">
        <f t="shared" ca="1" si="90"/>
        <v>-1.6317734878461252</v>
      </c>
      <c r="O102">
        <f t="shared" ca="1" si="90"/>
        <v>-2.4044153367445129</v>
      </c>
      <c r="P102">
        <f t="shared" ca="1" si="91"/>
        <v>-1.1731091049182669</v>
      </c>
      <c r="Q102">
        <f t="shared" ca="1" si="91"/>
        <v>1.0844698590203703</v>
      </c>
      <c r="R102">
        <f t="shared" ca="1" si="91"/>
        <v>0.40270686505896397</v>
      </c>
      <c r="S102">
        <f t="shared" ca="1" si="91"/>
        <v>-3.3213576509057145E-2</v>
      </c>
      <c r="T102">
        <f t="shared" ca="1" si="91"/>
        <v>-3.1725977744027661E-2</v>
      </c>
      <c r="U102">
        <f t="shared" ca="1" si="91"/>
        <v>-0.67660501837035092</v>
      </c>
      <c r="V102">
        <f t="shared" ca="1" si="91"/>
        <v>0.80074145646866102</v>
      </c>
      <c r="W102">
        <f t="shared" ca="1" si="91"/>
        <v>1.3039063695369912</v>
      </c>
      <c r="X102">
        <f t="shared" ca="1" si="91"/>
        <v>-0.36799847352022624</v>
      </c>
      <c r="Y102">
        <f t="shared" ca="1" si="91"/>
        <v>0.24689656673674734</v>
      </c>
      <c r="Z102">
        <f t="shared" ca="1" si="92"/>
        <v>0.82551216033164154</v>
      </c>
      <c r="AA102">
        <f t="shared" ca="1" si="92"/>
        <v>-1.3587798420934361</v>
      </c>
      <c r="AB102">
        <f t="shared" ca="1" si="92"/>
        <v>-1.231719744398069</v>
      </c>
      <c r="AC102">
        <f t="shared" ca="1" si="92"/>
        <v>0.69162643377455335</v>
      </c>
      <c r="AD102">
        <f t="shared" ca="1" si="92"/>
        <v>0.299942530378422</v>
      </c>
      <c r="AE102">
        <f t="shared" ca="1" si="92"/>
        <v>1.048351679487135</v>
      </c>
      <c r="AF102">
        <f t="shared" ca="1" si="92"/>
        <v>0.10779067049220999</v>
      </c>
      <c r="AG102">
        <f t="shared" ca="1" si="92"/>
        <v>0.40938483931725561</v>
      </c>
      <c r="AH102">
        <f t="shared" ca="1" si="92"/>
        <v>2.4340878058193938</v>
      </c>
      <c r="AI102">
        <f t="shared" ca="1" si="92"/>
        <v>-0.93620103495805307</v>
      </c>
      <c r="AJ102">
        <f t="shared" ca="1" si="93"/>
        <v>-1.1382147392084523</v>
      </c>
      <c r="AK102">
        <f t="shared" ca="1" si="93"/>
        <v>0.77578126693905425</v>
      </c>
      <c r="AL102">
        <f t="shared" ca="1" si="93"/>
        <v>0.88148113840328135</v>
      </c>
      <c r="AM102">
        <f t="shared" ca="1" si="93"/>
        <v>2.1336918377434433</v>
      </c>
      <c r="AN102">
        <f t="shared" ca="1" si="93"/>
        <v>1.848806131032749</v>
      </c>
      <c r="AO102">
        <f t="shared" ca="1" si="93"/>
        <v>0.94738894025990283</v>
      </c>
      <c r="AP102">
        <f t="shared" ca="1" si="93"/>
        <v>-0.41785367169456766</v>
      </c>
      <c r="AQ102">
        <f t="shared" ca="1" si="93"/>
        <v>1.3349884676040875</v>
      </c>
      <c r="AR102">
        <f t="shared" ca="1" si="93"/>
        <v>-1.5053898193427222</v>
      </c>
      <c r="AS102">
        <f t="shared" ca="1" si="93"/>
        <v>2.0501279298627981</v>
      </c>
      <c r="AT102">
        <f t="shared" ca="1" si="94"/>
        <v>1.4130409590874216</v>
      </c>
      <c r="AU102">
        <f t="shared" ca="1" si="94"/>
        <v>1.0628139795579976</v>
      </c>
      <c r="AV102">
        <f t="shared" ca="1" si="94"/>
        <v>-4.7526540652279209E-2</v>
      </c>
      <c r="AW102">
        <f t="shared" ca="1" si="94"/>
        <v>0.60036705696931625</v>
      </c>
      <c r="AX102">
        <f t="shared" ca="1" si="94"/>
        <v>-8.6142050893067729E-2</v>
      </c>
      <c r="AY102">
        <f t="shared" ca="1" si="94"/>
        <v>0.49349107211417326</v>
      </c>
      <c r="AZ102">
        <f t="shared" ca="1" si="94"/>
        <v>7.9859521015224394E-2</v>
      </c>
      <c r="BA102">
        <f t="shared" ca="1" si="94"/>
        <v>2.0909692556483663</v>
      </c>
      <c r="BB102">
        <f t="shared" ca="1" si="94"/>
        <v>-0.33399723428227335</v>
      </c>
      <c r="BC102">
        <f t="shared" ca="1" si="94"/>
        <v>-0.57145852267639763</v>
      </c>
      <c r="BD102">
        <f t="shared" ca="1" si="95"/>
        <v>-1.8038817767765387</v>
      </c>
      <c r="BE102">
        <f t="shared" ca="1" si="95"/>
        <v>-0.29880294827779263</v>
      </c>
      <c r="BF102">
        <f t="shared" ca="1" si="95"/>
        <v>0.2773077213985129</v>
      </c>
      <c r="BG102">
        <f t="shared" ca="1" si="95"/>
        <v>-1.0848536546400225</v>
      </c>
      <c r="BH102">
        <f t="shared" ca="1" si="95"/>
        <v>-1.1200848258116383</v>
      </c>
      <c r="BI102">
        <f t="shared" ca="1" si="95"/>
        <v>0.22940734383109018</v>
      </c>
      <c r="BJ102">
        <f t="shared" ca="1" si="95"/>
        <v>-0.12561756391480691</v>
      </c>
      <c r="BK102">
        <f t="shared" ca="1" si="95"/>
        <v>-1.0577778034067005</v>
      </c>
      <c r="BL102">
        <f t="shared" ca="1" si="95"/>
        <v>9.9082052628597705E-2</v>
      </c>
      <c r="BM102">
        <f t="shared" ca="1" si="95"/>
        <v>1.4914952648784479</v>
      </c>
      <c r="BN102">
        <f t="shared" ca="1" si="96"/>
        <v>0.55833472816263607</v>
      </c>
      <c r="BO102">
        <f t="shared" ca="1" si="96"/>
        <v>-0.18239787972177404</v>
      </c>
      <c r="BP102">
        <f t="shared" ca="1" si="96"/>
        <v>0.74118925668046787</v>
      </c>
      <c r="BQ102">
        <f t="shared" ca="1" si="96"/>
        <v>1.4880136445846071E-2</v>
      </c>
      <c r="BR102">
        <f t="shared" ca="1" si="96"/>
        <v>-0.63605640052866408</v>
      </c>
      <c r="BS102">
        <f t="shared" ca="1" si="96"/>
        <v>-1.0663353704974534</v>
      </c>
      <c r="BT102">
        <f t="shared" ca="1" si="96"/>
        <v>-1.4399670467896872</v>
      </c>
      <c r="BU102">
        <f t="shared" ca="1" si="96"/>
        <v>-1.0801030901052475</v>
      </c>
      <c r="BV102">
        <f t="shared" ca="1" si="96"/>
        <v>-0.54446341815630217</v>
      </c>
      <c r="BW102">
        <f t="shared" ca="1" si="96"/>
        <v>0.97027736569496925</v>
      </c>
      <c r="BX102">
        <f t="shared" ca="1" si="97"/>
        <v>-0.10470899265526956</v>
      </c>
      <c r="BY102">
        <f t="shared" ca="1" si="97"/>
        <v>-0.38875118808486275</v>
      </c>
      <c r="BZ102">
        <f t="shared" ca="1" si="97"/>
        <v>-0.352950080989819</v>
      </c>
      <c r="CA102">
        <f t="shared" ca="1" si="97"/>
        <v>0.13239445829541627</v>
      </c>
      <c r="CB102">
        <f t="shared" ca="1" si="97"/>
        <v>0.29279855092595308</v>
      </c>
      <c r="CC102">
        <f t="shared" ca="1" si="97"/>
        <v>1.46278618994068</v>
      </c>
      <c r="CD102">
        <f t="shared" ca="1" si="97"/>
        <v>-1.039900142434552</v>
      </c>
      <c r="CE102">
        <f t="shared" ca="1" si="97"/>
        <v>-1.4447845887839403</v>
      </c>
      <c r="CF102">
        <f t="shared" ca="1" si="97"/>
        <v>-0.9853123058734371</v>
      </c>
      <c r="CG102">
        <f t="shared" ca="1" si="97"/>
        <v>0.51493961453497261</v>
      </c>
      <c r="CH102">
        <f t="shared" ca="1" si="98"/>
        <v>-1.2274761016546809</v>
      </c>
      <c r="CI102">
        <f t="shared" ca="1" si="98"/>
        <v>1.2923908845752914</v>
      </c>
      <c r="CJ102">
        <f t="shared" ca="1" si="98"/>
        <v>0.33540085578639722</v>
      </c>
      <c r="CK102">
        <f t="shared" ca="1" si="98"/>
        <v>-1.3188821163508078</v>
      </c>
      <c r="CL102">
        <f t="shared" ca="1" si="98"/>
        <v>-1.4946919166832939</v>
      </c>
      <c r="CM102">
        <f t="shared" ca="1" si="98"/>
        <v>1.7003666921374485</v>
      </c>
      <c r="CN102">
        <f t="shared" ca="1" si="98"/>
        <v>-1.192761705448298</v>
      </c>
      <c r="CO102">
        <f t="shared" ca="1" si="98"/>
        <v>0.74328998822356518</v>
      </c>
      <c r="CP102">
        <f t="shared" ca="1" si="98"/>
        <v>0.79495001121928854</v>
      </c>
      <c r="CQ102">
        <f t="shared" ca="1" si="98"/>
        <v>-1.0225206765660944</v>
      </c>
      <c r="CR102">
        <f t="shared" ca="1" si="99"/>
        <v>0.30012780310548587</v>
      </c>
      <c r="CS102">
        <f t="shared" ca="1" si="99"/>
        <v>0.7384788343142884</v>
      </c>
      <c r="CT102">
        <f t="shared" ca="1" si="99"/>
        <v>1.0325373788042549</v>
      </c>
      <c r="CU102">
        <f t="shared" ca="1" si="99"/>
        <v>0.14094660533968248</v>
      </c>
      <c r="CV102">
        <f t="shared" ca="1" si="99"/>
        <v>-1.285340112328639</v>
      </c>
      <c r="CW102">
        <f t="shared" ca="1" si="99"/>
        <v>-0.92172167642647973</v>
      </c>
      <c r="CX102">
        <f t="shared" ca="1" si="99"/>
        <v>-0.16228724485980581</v>
      </c>
      <c r="CY102">
        <f t="shared" ca="1" si="99"/>
        <v>-0.70121745572094174</v>
      </c>
      <c r="CZ102">
        <f t="shared" ca="1" si="99"/>
        <v>0.407758229838524</v>
      </c>
      <c r="DA102">
        <f t="shared" ca="1" si="99"/>
        <v>-0.75752255744929364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2"/>
  <sheetViews>
    <sheetView workbookViewId="0">
      <selection activeCell="C2" activeCellId="1" sqref="C6 C2"/>
    </sheetView>
  </sheetViews>
  <sheetFormatPr defaultRowHeight="15" x14ac:dyDescent="0.25"/>
  <cols>
    <col min="3" max="8" width="14.7109375" bestFit="1" customWidth="1"/>
    <col min="10" max="10" width="10.5703125" bestFit="1" customWidth="1"/>
  </cols>
  <sheetData>
    <row r="1" spans="1:12" x14ac:dyDescent="0.25">
      <c r="C1" t="s">
        <v>318</v>
      </c>
      <c r="D1" t="s">
        <v>319</v>
      </c>
      <c r="E1" t="s">
        <v>320</v>
      </c>
      <c r="F1" t="s">
        <v>321</v>
      </c>
      <c r="G1" t="s">
        <v>322</v>
      </c>
      <c r="H1" t="s">
        <v>323</v>
      </c>
      <c r="I1" t="s">
        <v>324</v>
      </c>
    </row>
    <row r="2" spans="1:12" x14ac:dyDescent="0.25">
      <c r="A2">
        <v>0</v>
      </c>
      <c r="B2">
        <v>1</v>
      </c>
      <c r="C2">
        <v>100</v>
      </c>
      <c r="D2">
        <v>100</v>
      </c>
      <c r="E2">
        <v>100</v>
      </c>
      <c r="F2">
        <v>100</v>
      </c>
      <c r="G2">
        <v>100</v>
      </c>
      <c r="H2">
        <v>100</v>
      </c>
      <c r="J2" s="6">
        <f>C2/B2 + (B2-1)*J1/B2</f>
        <v>100</v>
      </c>
      <c r="K2">
        <f>C2/B2</f>
        <v>100</v>
      </c>
      <c r="L2">
        <f xml:space="preserve"> (B2-1)*J1/B2</f>
        <v>0</v>
      </c>
    </row>
    <row r="3" spans="1:12" x14ac:dyDescent="0.25">
      <c r="A3">
        <v>0.01</v>
      </c>
      <c r="B3">
        <v>2</v>
      </c>
      <c r="C3" s="7">
        <v>99.252408000000003</v>
      </c>
      <c r="D3" s="7">
        <v>98.875350999999995</v>
      </c>
      <c r="E3" s="7">
        <v>104.003945</v>
      </c>
      <c r="F3" s="7">
        <v>96.374279000000001</v>
      </c>
      <c r="G3" s="7">
        <v>98.899747000000005</v>
      </c>
      <c r="H3" s="7">
        <v>102.007626</v>
      </c>
      <c r="J3" s="6">
        <f>C3/B3 + (B3-1)*J2/B3</f>
        <v>99.626204000000001</v>
      </c>
      <c r="K3">
        <f>C3/B3</f>
        <v>49.626204000000001</v>
      </c>
      <c r="L3">
        <f xml:space="preserve"> (B3-1)*J2/B3</f>
        <v>50</v>
      </c>
    </row>
    <row r="4" spans="1:12" x14ac:dyDescent="0.25">
      <c r="A4">
        <v>0.02</v>
      </c>
      <c r="B4">
        <v>3</v>
      </c>
      <c r="C4" s="7">
        <v>97.092111000000003</v>
      </c>
      <c r="D4" s="7">
        <v>96.281480999999999</v>
      </c>
      <c r="E4" s="7">
        <v>105.613966</v>
      </c>
      <c r="F4" s="7">
        <v>100.353847</v>
      </c>
      <c r="G4" s="7">
        <v>97.686113000000006</v>
      </c>
      <c r="H4" s="7">
        <v>101.53355999999999</v>
      </c>
      <c r="J4" s="6">
        <f>C4/B4 + (B4-1)*J3/B4</f>
        <v>98.78150633333334</v>
      </c>
    </row>
    <row r="5" spans="1:12" x14ac:dyDescent="0.25">
      <c r="A5">
        <v>0.03</v>
      </c>
      <c r="B5">
        <v>4</v>
      </c>
      <c r="C5" s="7">
        <v>97.948083999999994</v>
      </c>
      <c r="D5" s="7">
        <v>93.340554999999995</v>
      </c>
      <c r="E5" s="7">
        <v>107.273903</v>
      </c>
      <c r="F5" s="7">
        <v>101.164963</v>
      </c>
      <c r="G5" s="7">
        <v>99.963802000000001</v>
      </c>
      <c r="H5" s="7">
        <v>100.938261</v>
      </c>
      <c r="J5" s="6">
        <f>C5/B5 + (B5-1)*J4/B5</f>
        <v>98.573150749999996</v>
      </c>
    </row>
    <row r="6" spans="1:12" x14ac:dyDescent="0.25">
      <c r="A6">
        <v>0.04</v>
      </c>
      <c r="B6">
        <v>5</v>
      </c>
      <c r="C6" s="7">
        <v>94.611797999999993</v>
      </c>
      <c r="D6" s="7">
        <v>93.239593999999997</v>
      </c>
      <c r="E6" s="7">
        <v>110.63052399999999</v>
      </c>
      <c r="F6" s="7">
        <v>102.27578099999999</v>
      </c>
      <c r="G6" s="7">
        <v>98.854881000000006</v>
      </c>
      <c r="H6" s="7">
        <v>100.348857</v>
      </c>
      <c r="J6" s="6">
        <f>C6/B6 + (B6-1)*J5/B6</f>
        <v>97.780880199999984</v>
      </c>
    </row>
    <row r="7" spans="1:12" x14ac:dyDescent="0.25">
      <c r="C7" s="7"/>
      <c r="D7" s="7"/>
      <c r="E7" s="7"/>
      <c r="F7" s="7"/>
      <c r="G7" s="7"/>
      <c r="H7" s="7"/>
    </row>
    <row r="8" spans="1:12" x14ac:dyDescent="0.25">
      <c r="C8" s="7">
        <f>AVERAGE(C$2:C2)</f>
        <v>100</v>
      </c>
      <c r="D8" s="7">
        <f>AVERAGE(D$2:D2)</f>
        <v>100</v>
      </c>
      <c r="E8" s="7">
        <f>AVERAGE(E$2:E2)</f>
        <v>100</v>
      </c>
      <c r="F8" s="7">
        <f>AVERAGE(F$2:F2)</f>
        <v>100</v>
      </c>
      <c r="G8" s="7">
        <f>AVERAGE(G$2:G2)</f>
        <v>100</v>
      </c>
      <c r="H8" s="7">
        <f>AVERAGE(H$2:H2)</f>
        <v>100</v>
      </c>
    </row>
    <row r="9" spans="1:12" x14ac:dyDescent="0.25">
      <c r="C9" s="7">
        <f>AVERAGE(C$2:C3)</f>
        <v>99.626204000000001</v>
      </c>
      <c r="D9" s="7">
        <f>AVERAGE(D$2:D3)</f>
        <v>99.437675499999997</v>
      </c>
      <c r="E9" s="7">
        <f>AVERAGE(E$2:E3)</f>
        <v>102.00197249999999</v>
      </c>
      <c r="F9" s="7">
        <f>AVERAGE(F$2:F3)</f>
        <v>98.187139500000001</v>
      </c>
      <c r="G9" s="7">
        <f>AVERAGE(G$2:G3)</f>
        <v>99.449873499999995</v>
      </c>
      <c r="H9" s="7">
        <f>AVERAGE(H$2:H3)</f>
        <v>101.00381300000001</v>
      </c>
    </row>
    <row r="10" spans="1:12" x14ac:dyDescent="0.25">
      <c r="C10" s="7">
        <f>AVERAGE(C$2:C4)</f>
        <v>98.781506333333326</v>
      </c>
      <c r="D10" s="7">
        <f>AVERAGE(D$2:D4)</f>
        <v>98.385610666666665</v>
      </c>
      <c r="E10" s="7">
        <f>AVERAGE(E$2:E4)</f>
        <v>103.20597033333333</v>
      </c>
      <c r="F10" s="7">
        <f>AVERAGE(F$2:F4)</f>
        <v>98.90937533333333</v>
      </c>
      <c r="G10" s="7">
        <f>AVERAGE(G$2:G4)</f>
        <v>98.861953333333346</v>
      </c>
      <c r="H10" s="7">
        <f>AVERAGE(H$2:H4)</f>
        <v>101.18039533333335</v>
      </c>
    </row>
    <row r="11" spans="1:12" x14ac:dyDescent="0.25">
      <c r="C11" s="7">
        <f>AVERAGE(C$2:C5)</f>
        <v>98.573150749999996</v>
      </c>
      <c r="D11" s="7">
        <f>AVERAGE(D$2:D5)</f>
        <v>97.124346750000001</v>
      </c>
      <c r="E11" s="7">
        <f>AVERAGE(E$2:E5)</f>
        <v>104.2229535</v>
      </c>
      <c r="F11" s="7">
        <f>AVERAGE(F$2:F5)</f>
        <v>99.473272249999994</v>
      </c>
      <c r="G11" s="7">
        <f>AVERAGE(G$2:G5)</f>
        <v>99.137415500000003</v>
      </c>
      <c r="H11" s="7">
        <f>AVERAGE(H$2:H5)</f>
        <v>101.11986175000001</v>
      </c>
    </row>
    <row r="12" spans="1:12" x14ac:dyDescent="0.25">
      <c r="C12" s="7">
        <f>AVERAGE(C$2:C6)</f>
        <v>97.780880199999999</v>
      </c>
      <c r="D12" s="7">
        <f>AVERAGE(D$2:D6)</f>
        <v>96.347396200000006</v>
      </c>
      <c r="E12" s="7">
        <f>AVERAGE(E$2:E6)</f>
        <v>105.5044676</v>
      </c>
      <c r="F12" s="7">
        <f>AVERAGE(F$2:F6)</f>
        <v>100.03377399999999</v>
      </c>
      <c r="G12" s="7">
        <f>AVERAGE(G$2:G6)</f>
        <v>99.080908600000001</v>
      </c>
      <c r="H12" s="7">
        <f>AVERAGE(H$2:H6)</f>
        <v>100.96566080000001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</vt:i4>
      </vt:variant>
    </vt:vector>
  </HeadingPairs>
  <TitlesOfParts>
    <vt:vector size="16" baseType="lpstr">
      <vt:lpstr>Asian</vt:lpstr>
      <vt:lpstr>Arith_Cont_Sampling</vt:lpstr>
      <vt:lpstr>S_plus (2)</vt:lpstr>
      <vt:lpstr>S_plus</vt:lpstr>
      <vt:lpstr>S_minus</vt:lpstr>
      <vt:lpstr>RAND</vt:lpstr>
      <vt:lpstr>Sheet2</vt:lpstr>
      <vt:lpstr>Arith_Cont_Sampling!discfac</vt:lpstr>
      <vt:lpstr>Asian!discfac</vt:lpstr>
      <vt:lpstr>Asian!dt</vt:lpstr>
      <vt:lpstr>Asian!expiry</vt:lpstr>
      <vt:lpstr>Asian!intrate</vt:lpstr>
      <vt:lpstr>Asian!S_0</vt:lpstr>
      <vt:lpstr>Asian!sigma</vt:lpstr>
      <vt:lpstr>Arith_Cont_Sampling!strike</vt:lpstr>
      <vt:lpstr>Asian!strike</vt:lpstr>
    </vt:vector>
  </TitlesOfParts>
  <Company>Shell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Sandoval, Tanya SIPC-ITD/ECM</dc:creator>
  <cp:lastModifiedBy>Sandoval, Tanya SIPC-ITD/ECM</cp:lastModifiedBy>
  <dcterms:created xsi:type="dcterms:W3CDTF">2016-04-20T19:55:21Z</dcterms:created>
  <dcterms:modified xsi:type="dcterms:W3CDTF">2016-04-25T16:46:53Z</dcterms:modified>
</cp:coreProperties>
</file>