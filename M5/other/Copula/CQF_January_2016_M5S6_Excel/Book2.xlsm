
<file path=[Content_Types].xml><?xml version="1.0" encoding="utf-8"?>
<Types xmlns="http://schemas.openxmlformats.org/package/2006/content-types">
  <Default Extension="bin" ContentType="application/vnd.ms-office.vbaProject"/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120" yWindow="75" windowWidth="15255" windowHeight="7935"/>
  </bookViews>
  <sheets>
    <sheet name="Sheet1" sheetId="1" r:id="rId1"/>
    <sheet name="Sheet2" sheetId="2" r:id="rId2"/>
    <sheet name="Sheet3" sheetId="3" r:id="rId3"/>
  </sheets>
  <calcPr calcId="124519" calcMode="manual" iterate="1" iterateCount="1" calcCompleted="0" calcOnSave="0"/>
</workbook>
</file>

<file path=xl/calcChain.xml><?xml version="1.0" encoding="utf-8"?>
<calcChain xmlns="http://schemas.openxmlformats.org/spreadsheetml/2006/main">
  <c r="N3" i="1"/>
  <c r="N4"/>
  <c r="N2"/>
  <c r="G11"/>
  <c r="G12" s="1"/>
  <c r="G13" s="1"/>
  <c r="G14" s="1"/>
  <c r="G15" s="1"/>
  <c r="G16" s="1"/>
  <c r="G17" s="1"/>
  <c r="G18" s="1"/>
  <c r="G19" s="1"/>
  <c r="G20" s="1"/>
  <c r="G21" s="1"/>
  <c r="G22" s="1"/>
  <c r="G23" s="1"/>
  <c r="G24" s="1"/>
  <c r="G25" s="1"/>
  <c r="G26" s="1"/>
  <c r="G27" s="1"/>
  <c r="G28" s="1"/>
  <c r="G29" s="1"/>
  <c r="G30" s="1"/>
  <c r="G31" s="1"/>
  <c r="G32" s="1"/>
  <c r="G33" s="1"/>
  <c r="G34" s="1"/>
  <c r="G35" s="1"/>
  <c r="G36" s="1"/>
  <c r="G37" s="1"/>
  <c r="G38" s="1"/>
  <c r="G39" s="1"/>
  <c r="G40" s="1"/>
  <c r="G41" s="1"/>
  <c r="G42" s="1"/>
  <c r="G43" s="1"/>
  <c r="G44" s="1"/>
  <c r="G45" s="1"/>
  <c r="G46" s="1"/>
  <c r="G47" s="1"/>
  <c r="G48" s="1"/>
  <c r="G49" s="1"/>
  <c r="G50" s="1"/>
  <c r="G51" s="1"/>
  <c r="G52" s="1"/>
  <c r="G53" s="1"/>
  <c r="G54" s="1"/>
  <c r="G55" s="1"/>
  <c r="G56" s="1"/>
  <c r="G57" s="1"/>
  <c r="G58" s="1"/>
  <c r="G59" s="1"/>
  <c r="G60" s="1"/>
  <c r="G61" s="1"/>
  <c r="G62" s="1"/>
  <c r="G63" s="1"/>
  <c r="G64" s="1"/>
  <c r="G65" s="1"/>
  <c r="G66" s="1"/>
  <c r="G67" s="1"/>
  <c r="G68" s="1"/>
  <c r="G69" s="1"/>
  <c r="G70" s="1"/>
  <c r="G71" s="1"/>
  <c r="G72" s="1"/>
  <c r="G73" s="1"/>
  <c r="G74" s="1"/>
  <c r="G75" s="1"/>
  <c r="G76" s="1"/>
  <c r="G77" s="1"/>
  <c r="G78" s="1"/>
  <c r="G79" s="1"/>
  <c r="G80" s="1"/>
  <c r="G81" s="1"/>
  <c r="G82" s="1"/>
  <c r="G83" s="1"/>
  <c r="G84" s="1"/>
  <c r="G85" s="1"/>
  <c r="G86" s="1"/>
  <c r="G87" s="1"/>
  <c r="G88" s="1"/>
  <c r="G89" s="1"/>
  <c r="G90" s="1"/>
  <c r="G91" s="1"/>
  <c r="G92" s="1"/>
  <c r="G93" s="1"/>
  <c r="G94" s="1"/>
  <c r="G95" s="1"/>
  <c r="G96" s="1"/>
  <c r="G97" s="1"/>
  <c r="G98" s="1"/>
  <c r="G99" s="1"/>
  <c r="G100" s="1"/>
  <c r="G101" s="1"/>
  <c r="G102" s="1"/>
  <c r="G103" s="1"/>
  <c r="G104" s="1"/>
  <c r="G105" s="1"/>
  <c r="G106" s="1"/>
  <c r="G107" s="1"/>
  <c r="G108" s="1"/>
  <c r="G109" s="1"/>
  <c r="G110" s="1"/>
  <c r="H110" s="1"/>
  <c r="I110" s="1"/>
  <c r="C12"/>
  <c r="C16"/>
  <c r="C20"/>
  <c r="C24"/>
  <c r="C28"/>
  <c r="C32"/>
  <c r="C36"/>
  <c r="C40"/>
  <c r="C44"/>
  <c r="C48"/>
  <c r="C52"/>
  <c r="C56"/>
  <c r="C60"/>
  <c r="C64"/>
  <c r="C68"/>
  <c r="C72"/>
  <c r="C76"/>
  <c r="C80"/>
  <c r="C84"/>
  <c r="C88"/>
  <c r="C92"/>
  <c r="C96"/>
  <c r="C100"/>
  <c r="C104"/>
  <c r="C108"/>
  <c r="F4"/>
  <c r="B12"/>
  <c r="B13"/>
  <c r="C13" s="1"/>
  <c r="B14"/>
  <c r="C14" s="1"/>
  <c r="B15"/>
  <c r="C15" s="1"/>
  <c r="B16"/>
  <c r="B17"/>
  <c r="C17" s="1"/>
  <c r="B18"/>
  <c r="C18" s="1"/>
  <c r="B19"/>
  <c r="C19" s="1"/>
  <c r="B20"/>
  <c r="B21"/>
  <c r="C21" s="1"/>
  <c r="B22"/>
  <c r="C22" s="1"/>
  <c r="B23"/>
  <c r="C23" s="1"/>
  <c r="B24"/>
  <c r="B25"/>
  <c r="C25" s="1"/>
  <c r="B26"/>
  <c r="C26" s="1"/>
  <c r="B27"/>
  <c r="C27" s="1"/>
  <c r="B28"/>
  <c r="B29"/>
  <c r="C29" s="1"/>
  <c r="B30"/>
  <c r="C30" s="1"/>
  <c r="B31"/>
  <c r="C31" s="1"/>
  <c r="B32"/>
  <c r="B33"/>
  <c r="C33" s="1"/>
  <c r="B34"/>
  <c r="C34" s="1"/>
  <c r="B35"/>
  <c r="C35" s="1"/>
  <c r="B36"/>
  <c r="B37"/>
  <c r="C37" s="1"/>
  <c r="B38"/>
  <c r="C38" s="1"/>
  <c r="B39"/>
  <c r="C39" s="1"/>
  <c r="B40"/>
  <c r="B41"/>
  <c r="C41" s="1"/>
  <c r="B42"/>
  <c r="C42" s="1"/>
  <c r="B43"/>
  <c r="C43" s="1"/>
  <c r="B44"/>
  <c r="B45"/>
  <c r="C45" s="1"/>
  <c r="B46"/>
  <c r="C46" s="1"/>
  <c r="B47"/>
  <c r="C47" s="1"/>
  <c r="B48"/>
  <c r="B49"/>
  <c r="C49" s="1"/>
  <c r="B50"/>
  <c r="C50" s="1"/>
  <c r="B51"/>
  <c r="C51" s="1"/>
  <c r="B52"/>
  <c r="B53"/>
  <c r="C53" s="1"/>
  <c r="B54"/>
  <c r="C54" s="1"/>
  <c r="B55"/>
  <c r="C55" s="1"/>
  <c r="B56"/>
  <c r="B57"/>
  <c r="C57" s="1"/>
  <c r="B58"/>
  <c r="C58" s="1"/>
  <c r="B59"/>
  <c r="C59" s="1"/>
  <c r="B60"/>
  <c r="B61"/>
  <c r="C61" s="1"/>
  <c r="B62"/>
  <c r="C62" s="1"/>
  <c r="B63"/>
  <c r="C63" s="1"/>
  <c r="B64"/>
  <c r="B65"/>
  <c r="C65" s="1"/>
  <c r="B66"/>
  <c r="C66" s="1"/>
  <c r="B67"/>
  <c r="C67" s="1"/>
  <c r="B68"/>
  <c r="B69"/>
  <c r="C69" s="1"/>
  <c r="B70"/>
  <c r="C70" s="1"/>
  <c r="B71"/>
  <c r="C71" s="1"/>
  <c r="B72"/>
  <c r="B73"/>
  <c r="C73" s="1"/>
  <c r="B74"/>
  <c r="C74" s="1"/>
  <c r="B75"/>
  <c r="C75" s="1"/>
  <c r="B76"/>
  <c r="B77"/>
  <c r="C77" s="1"/>
  <c r="B78"/>
  <c r="C78" s="1"/>
  <c r="B79"/>
  <c r="C79" s="1"/>
  <c r="B80"/>
  <c r="B81"/>
  <c r="C81" s="1"/>
  <c r="B82"/>
  <c r="C82" s="1"/>
  <c r="B83"/>
  <c r="C83" s="1"/>
  <c r="B84"/>
  <c r="B85"/>
  <c r="C85" s="1"/>
  <c r="B86"/>
  <c r="C86" s="1"/>
  <c r="B87"/>
  <c r="C87" s="1"/>
  <c r="B88"/>
  <c r="B89"/>
  <c r="C89" s="1"/>
  <c r="B90"/>
  <c r="C90" s="1"/>
  <c r="B91"/>
  <c r="C91" s="1"/>
  <c r="B92"/>
  <c r="B93"/>
  <c r="C93" s="1"/>
  <c r="B94"/>
  <c r="C94" s="1"/>
  <c r="B95"/>
  <c r="C95" s="1"/>
  <c r="B96"/>
  <c r="B97"/>
  <c r="C97" s="1"/>
  <c r="B98"/>
  <c r="C98" s="1"/>
  <c r="B99"/>
  <c r="C99" s="1"/>
  <c r="B100"/>
  <c r="B101"/>
  <c r="C101" s="1"/>
  <c r="B102"/>
  <c r="C102" s="1"/>
  <c r="B103"/>
  <c r="C103" s="1"/>
  <c r="B104"/>
  <c r="B105"/>
  <c r="C105" s="1"/>
  <c r="B106"/>
  <c r="C106" s="1"/>
  <c r="B107"/>
  <c r="C107" s="1"/>
  <c r="B108"/>
  <c r="B109"/>
  <c r="C109" s="1"/>
  <c r="B110"/>
  <c r="C110" s="1"/>
  <c r="B11"/>
  <c r="C11" s="1"/>
  <c r="H108" l="1"/>
  <c r="I108" s="1"/>
  <c r="H106"/>
  <c r="I106" s="1"/>
  <c r="H104"/>
  <c r="I104" s="1"/>
  <c r="H102"/>
  <c r="I102" s="1"/>
  <c r="H100"/>
  <c r="I100" s="1"/>
  <c r="H98"/>
  <c r="I98" s="1"/>
  <c r="H96"/>
  <c r="I96" s="1"/>
  <c r="H94"/>
  <c r="I94" s="1"/>
  <c r="H92"/>
  <c r="I92" s="1"/>
  <c r="H90"/>
  <c r="I90" s="1"/>
  <c r="H88"/>
  <c r="I88" s="1"/>
  <c r="H86"/>
  <c r="I86" s="1"/>
  <c r="H84"/>
  <c r="I84" s="1"/>
  <c r="H82"/>
  <c r="I82" s="1"/>
  <c r="H80"/>
  <c r="I80" s="1"/>
  <c r="H78"/>
  <c r="I78" s="1"/>
  <c r="H76"/>
  <c r="I76" s="1"/>
  <c r="H74"/>
  <c r="I74" s="1"/>
  <c r="H72"/>
  <c r="I72" s="1"/>
  <c r="H70"/>
  <c r="I70" s="1"/>
  <c r="H68"/>
  <c r="I68" s="1"/>
  <c r="H66"/>
  <c r="I66" s="1"/>
  <c r="H64"/>
  <c r="I64" s="1"/>
  <c r="H62"/>
  <c r="I62" s="1"/>
  <c r="H60"/>
  <c r="I60" s="1"/>
  <c r="H58"/>
  <c r="I58" s="1"/>
  <c r="H56"/>
  <c r="I56" s="1"/>
  <c r="H54"/>
  <c r="I54" s="1"/>
  <c r="H52"/>
  <c r="I52" s="1"/>
  <c r="H50"/>
  <c r="I50" s="1"/>
  <c r="H48"/>
  <c r="I48" s="1"/>
  <c r="H46"/>
  <c r="I46" s="1"/>
  <c r="H44"/>
  <c r="I44" s="1"/>
  <c r="H42"/>
  <c r="I42" s="1"/>
  <c r="H40"/>
  <c r="I40" s="1"/>
  <c r="H38"/>
  <c r="I38" s="1"/>
  <c r="H36"/>
  <c r="I36" s="1"/>
  <c r="H34"/>
  <c r="I34" s="1"/>
  <c r="H32"/>
  <c r="I32" s="1"/>
  <c r="H30"/>
  <c r="I30" s="1"/>
  <c r="H28"/>
  <c r="I28" s="1"/>
  <c r="H26"/>
  <c r="I26" s="1"/>
  <c r="H24"/>
  <c r="I24" s="1"/>
  <c r="H22"/>
  <c r="I22" s="1"/>
  <c r="H20"/>
  <c r="I20" s="1"/>
  <c r="H18"/>
  <c r="I18" s="1"/>
  <c r="H16"/>
  <c r="I16" s="1"/>
  <c r="H14"/>
  <c r="I14" s="1"/>
  <c r="H12"/>
  <c r="I12" s="1"/>
  <c r="H109"/>
  <c r="I109" s="1"/>
  <c r="H107"/>
  <c r="I107" s="1"/>
  <c r="H105"/>
  <c r="I105" s="1"/>
  <c r="H103"/>
  <c r="I103" s="1"/>
  <c r="H101"/>
  <c r="I101" s="1"/>
  <c r="H99"/>
  <c r="I99" s="1"/>
  <c r="H97"/>
  <c r="I97" s="1"/>
  <c r="H95"/>
  <c r="I95" s="1"/>
  <c r="H93"/>
  <c r="I93" s="1"/>
  <c r="H91"/>
  <c r="I91" s="1"/>
  <c r="H89"/>
  <c r="I89" s="1"/>
  <c r="H87"/>
  <c r="I87" s="1"/>
  <c r="H85"/>
  <c r="I85" s="1"/>
  <c r="H83"/>
  <c r="I83" s="1"/>
  <c r="H81"/>
  <c r="I81" s="1"/>
  <c r="H79"/>
  <c r="I79" s="1"/>
  <c r="H77"/>
  <c r="I77" s="1"/>
  <c r="H75"/>
  <c r="I75" s="1"/>
  <c r="H73"/>
  <c r="I73" s="1"/>
  <c r="H71"/>
  <c r="I71" s="1"/>
  <c r="H69"/>
  <c r="I69" s="1"/>
  <c r="H67"/>
  <c r="I67" s="1"/>
  <c r="H65"/>
  <c r="I65" s="1"/>
  <c r="H63"/>
  <c r="I63" s="1"/>
  <c r="H61"/>
  <c r="I61" s="1"/>
  <c r="H59"/>
  <c r="I59" s="1"/>
  <c r="H57"/>
  <c r="I57" s="1"/>
  <c r="H55"/>
  <c r="I55" s="1"/>
  <c r="H53"/>
  <c r="I53" s="1"/>
  <c r="H51"/>
  <c r="I51" s="1"/>
  <c r="H49"/>
  <c r="I49" s="1"/>
  <c r="H47"/>
  <c r="I47" s="1"/>
  <c r="H45"/>
  <c r="I45" s="1"/>
  <c r="H43"/>
  <c r="I43" s="1"/>
  <c r="H41"/>
  <c r="I41" s="1"/>
  <c r="H39"/>
  <c r="I39" s="1"/>
  <c r="H37"/>
  <c r="I37" s="1"/>
  <c r="H35"/>
  <c r="I35" s="1"/>
  <c r="H33"/>
  <c r="I33" s="1"/>
  <c r="H31"/>
  <c r="I31" s="1"/>
  <c r="H29"/>
  <c r="I29" s="1"/>
  <c r="H27"/>
  <c r="I27" s="1"/>
  <c r="H25"/>
  <c r="I25" s="1"/>
  <c r="H23"/>
  <c r="I23" s="1"/>
  <c r="H21"/>
  <c r="I21" s="1"/>
  <c r="H19"/>
  <c r="I19" s="1"/>
  <c r="H17"/>
  <c r="I17" s="1"/>
  <c r="H15"/>
  <c r="I15" s="1"/>
  <c r="H13"/>
  <c r="I13" s="1"/>
  <c r="H11"/>
  <c r="I11" s="1"/>
  <c r="I4" l="1"/>
  <c r="O2" l="1"/>
  <c r="O4"/>
  <c r="O3"/>
  <c r="P2"/>
  <c r="Q2"/>
  <c r="P3"/>
  <c r="Q3"/>
  <c r="P4"/>
  <c r="Q4"/>
  <c r="M8"/>
</calcChain>
</file>

<file path=xl/sharedStrings.xml><?xml version="1.0" encoding="utf-8"?>
<sst xmlns="http://schemas.openxmlformats.org/spreadsheetml/2006/main" count="22" uniqueCount="22">
  <si>
    <t>Loan</t>
  </si>
  <si>
    <t>PD</t>
  </si>
  <si>
    <t>LGD</t>
  </si>
  <si>
    <t>EAD</t>
  </si>
  <si>
    <t>W</t>
  </si>
  <si>
    <t>sumEAD</t>
  </si>
  <si>
    <t>Z</t>
  </si>
  <si>
    <t>A</t>
  </si>
  <si>
    <t>Loss</t>
  </si>
  <si>
    <t>d</t>
  </si>
  <si>
    <t>Ploss</t>
  </si>
  <si>
    <t>Tranche</t>
  </si>
  <si>
    <t>ET</t>
  </si>
  <si>
    <t>MT</t>
  </si>
  <si>
    <t>ST</t>
  </si>
  <si>
    <t>Apt</t>
  </si>
  <si>
    <t>Dpt</t>
  </si>
  <si>
    <t>Size</t>
  </si>
  <si>
    <t>Tloss</t>
  </si>
  <si>
    <t>sumLoss</t>
  </si>
  <si>
    <t>Spread</t>
  </si>
  <si>
    <t>Counter</t>
  </si>
</sst>
</file>

<file path=xl/styles.xml><?xml version="1.0" encoding="utf-8"?>
<styleSheet xmlns="http://schemas.openxmlformats.org/spreadsheetml/2006/main">
  <numFmts count="1">
    <numFmt numFmtId="164" formatCode="0.0%"/>
  </numFmts>
  <fonts count="2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2">
    <border>
      <left/>
      <right/>
      <top/>
      <bottom/>
      <diagonal/>
    </border>
    <border>
      <left/>
      <right style="thin">
        <color indexed="64"/>
      </right>
      <top/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8">
    <xf numFmtId="0" fontId="0" fillId="0" borderId="0" xfId="0"/>
    <xf numFmtId="0" fontId="0" fillId="2" borderId="0" xfId="0" applyFill="1" applyAlignment="1">
      <alignment horizontal="center"/>
    </xf>
    <xf numFmtId="0" fontId="0" fillId="2" borderId="1" xfId="0" applyFill="1" applyBorder="1" applyAlignment="1">
      <alignment horizontal="center"/>
    </xf>
    <xf numFmtId="9" fontId="0" fillId="2" borderId="0" xfId="0" applyNumberFormat="1" applyFill="1" applyAlignment="1">
      <alignment horizontal="center"/>
    </xf>
    <xf numFmtId="9" fontId="0" fillId="2" borderId="1" xfId="0" applyNumberFormat="1" applyFill="1" applyBorder="1" applyAlignment="1">
      <alignment horizontal="center"/>
    </xf>
    <xf numFmtId="10" fontId="0" fillId="2" borderId="1" xfId="1" applyNumberFormat="1" applyFont="1" applyFill="1" applyBorder="1" applyAlignment="1">
      <alignment horizontal="center"/>
    </xf>
    <xf numFmtId="10" fontId="0" fillId="2" borderId="0" xfId="0" applyNumberFormat="1" applyFill="1" applyAlignment="1">
      <alignment horizontal="center"/>
    </xf>
    <xf numFmtId="164" fontId="0" fillId="2" borderId="0" xfId="1" applyNumberFormat="1" applyFont="1" applyFill="1" applyAlignment="1">
      <alignment horizontal="center"/>
    </xf>
  </cellXfs>
  <cellStyles count="2">
    <cellStyle name="Normal" xfId="0" builtinId="0"/>
    <cellStyle name="Percent" xfId="1" builtinId="5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Q110"/>
  <sheetViews>
    <sheetView tabSelected="1" topLeftCell="D1" workbookViewId="0">
      <selection activeCell="Q2" sqref="Q2:Q4"/>
    </sheetView>
  </sheetViews>
  <sheetFormatPr defaultRowHeight="15"/>
  <cols>
    <col min="1" max="5" width="9.140625" style="1"/>
    <col min="6" max="6" width="9.140625" style="2"/>
    <col min="7" max="8" width="9.140625" style="1"/>
    <col min="9" max="9" width="9.140625" style="2"/>
    <col min="10" max="16384" width="9.140625" style="1"/>
  </cols>
  <sheetData>
    <row r="1" spans="1:17">
      <c r="K1" s="1" t="s">
        <v>11</v>
      </c>
      <c r="L1" s="1" t="s">
        <v>15</v>
      </c>
      <c r="M1" s="1" t="s">
        <v>16</v>
      </c>
      <c r="N1" s="1" t="s">
        <v>17</v>
      </c>
      <c r="O1" s="1" t="s">
        <v>18</v>
      </c>
      <c r="P1" s="1" t="s">
        <v>19</v>
      </c>
      <c r="Q1" s="1" t="s">
        <v>20</v>
      </c>
    </row>
    <row r="2" spans="1:17">
      <c r="K2" s="1" t="s">
        <v>12</v>
      </c>
      <c r="L2" s="1">
        <v>0</v>
      </c>
      <c r="M2" s="3">
        <v>0.03</v>
      </c>
      <c r="N2" s="6">
        <f>M2-L2</f>
        <v>0.03</v>
      </c>
      <c r="O2" s="6">
        <f ca="1">MAX(MIN($I$4,M2)-L2,0)/N2</f>
        <v>1</v>
      </c>
      <c r="P2" s="6">
        <f ca="1">O2+P2</f>
        <v>568.39999999999975</v>
      </c>
      <c r="Q2" s="7">
        <f ca="1">P2/$M$8</f>
        <v>0.56669990029910244</v>
      </c>
    </row>
    <row r="3" spans="1:17">
      <c r="K3" s="1" t="s">
        <v>13</v>
      </c>
      <c r="L3" s="3">
        <v>0.03</v>
      </c>
      <c r="M3" s="3">
        <v>7.0000000000000007E-2</v>
      </c>
      <c r="N3" s="6">
        <f t="shared" ref="N3:N4" si="0">M3-L3</f>
        <v>4.0000000000000008E-2</v>
      </c>
      <c r="O3" s="6">
        <f t="shared" ref="O3:O4" ca="1" si="1">MAX(MIN($I$4,M3)-L3,0)/N3</f>
        <v>0.74999999999999978</v>
      </c>
      <c r="P3" s="6">
        <f t="shared" ref="P3:P4" ca="1" si="2">O3+P3</f>
        <v>207.60000000000008</v>
      </c>
      <c r="Q3" s="7">
        <f t="shared" ref="Q3:Q4" ca="1" si="3">P3/$M$8</f>
        <v>0.20697906281156539</v>
      </c>
    </row>
    <row r="4" spans="1:17">
      <c r="E4" s="1" t="s">
        <v>5</v>
      </c>
      <c r="F4" s="2">
        <f>SUM(E11:E110)</f>
        <v>10000</v>
      </c>
      <c r="H4" s="1" t="s">
        <v>10</v>
      </c>
      <c r="I4" s="5">
        <f ca="1">SUM(I11:I110)/F4</f>
        <v>0.06</v>
      </c>
      <c r="K4" s="1" t="s">
        <v>14</v>
      </c>
      <c r="L4" s="3">
        <v>7.0000000000000007E-2</v>
      </c>
      <c r="M4" s="3">
        <v>1</v>
      </c>
      <c r="N4" s="6">
        <f t="shared" si="0"/>
        <v>0.92999999999999994</v>
      </c>
      <c r="O4" s="6">
        <f t="shared" ca="1" si="1"/>
        <v>0</v>
      </c>
      <c r="P4" s="6">
        <f t="shared" ca="1" si="2"/>
        <v>6.7354838709677427</v>
      </c>
      <c r="Q4" s="7">
        <f t="shared" ca="1" si="3"/>
        <v>6.7153378573955556E-3</v>
      </c>
    </row>
    <row r="8" spans="1:17">
      <c r="L8" s="1" t="s">
        <v>21</v>
      </c>
      <c r="M8" s="1">
        <f ca="1">1+M8</f>
        <v>1004</v>
      </c>
    </row>
    <row r="10" spans="1:17">
      <c r="A10" s="1" t="s">
        <v>0</v>
      </c>
      <c r="B10" s="1" t="s">
        <v>1</v>
      </c>
      <c r="C10" s="1" t="s">
        <v>9</v>
      </c>
      <c r="D10" s="1" t="s">
        <v>2</v>
      </c>
      <c r="E10" s="1" t="s">
        <v>3</v>
      </c>
      <c r="F10" s="2" t="s">
        <v>4</v>
      </c>
      <c r="G10" s="1" t="s">
        <v>6</v>
      </c>
      <c r="H10" s="1" t="s">
        <v>7</v>
      </c>
      <c r="I10" s="2" t="s">
        <v>8</v>
      </c>
    </row>
    <row r="11" spans="1:17">
      <c r="A11" s="1">
        <v>1</v>
      </c>
      <c r="B11" s="1">
        <f>1-EXP(-5%)</f>
        <v>4.8770575499285984E-2</v>
      </c>
      <c r="C11" s="1">
        <f>NORMSINV(B11)</f>
        <v>-1.6568927965620155</v>
      </c>
      <c r="D11" s="3">
        <v>0.6</v>
      </c>
      <c r="E11" s="1">
        <v>100</v>
      </c>
      <c r="F11" s="4">
        <v>0.5</v>
      </c>
      <c r="G11" s="1">
        <f ca="1">NORMSINV(RAND())</f>
        <v>-0.92172390491181644</v>
      </c>
      <c r="H11" s="1">
        <f ca="1">F11*G11+SQRT(1-F11^2)*NORMSINV(RAND())</f>
        <v>-1.2589740305604269</v>
      </c>
      <c r="I11" s="2">
        <f ca="1">IF(H11&lt;C11,1,0)*D11*E11</f>
        <v>0</v>
      </c>
    </row>
    <row r="12" spans="1:17">
      <c r="A12" s="1">
        <v>2</v>
      </c>
      <c r="B12" s="1">
        <f t="shared" ref="B12:B75" si="4">1-EXP(-5%)</f>
        <v>4.8770575499285984E-2</v>
      </c>
      <c r="C12" s="1">
        <f t="shared" ref="C12:C75" si="5">NORMSINV(B12)</f>
        <v>-1.6568927965620155</v>
      </c>
      <c r="D12" s="3">
        <v>0.6</v>
      </c>
      <c r="E12" s="1">
        <v>100</v>
      </c>
      <c r="F12" s="4">
        <v>0.5</v>
      </c>
      <c r="G12" s="1">
        <f ca="1">G11</f>
        <v>-0.92172390491181644</v>
      </c>
      <c r="H12" s="1">
        <f t="shared" ref="H12:H75" ca="1" si="6">F12*G12+SQRT(1-F12^2)*NORMSINV(RAND())</f>
        <v>-0.98352392542692857</v>
      </c>
      <c r="I12" s="2">
        <f t="shared" ref="I12:I75" ca="1" si="7">IF(H12&lt;C12,1,0)*D12*E12</f>
        <v>0</v>
      </c>
    </row>
    <row r="13" spans="1:17">
      <c r="A13" s="1">
        <v>3</v>
      </c>
      <c r="B13" s="1">
        <f t="shared" si="4"/>
        <v>4.8770575499285984E-2</v>
      </c>
      <c r="C13" s="1">
        <f t="shared" si="5"/>
        <v>-1.6568927965620155</v>
      </c>
      <c r="D13" s="3">
        <v>0.6</v>
      </c>
      <c r="E13" s="1">
        <v>100</v>
      </c>
      <c r="F13" s="4">
        <v>0.5</v>
      </c>
      <c r="G13" s="1">
        <f t="shared" ref="G13:G76" ca="1" si="8">G12</f>
        <v>-0.92172390491181644</v>
      </c>
      <c r="H13" s="1">
        <f t="shared" ca="1" si="6"/>
        <v>1.0711770629138133</v>
      </c>
      <c r="I13" s="2">
        <f t="shared" ca="1" si="7"/>
        <v>0</v>
      </c>
    </row>
    <row r="14" spans="1:17">
      <c r="A14" s="1">
        <v>4</v>
      </c>
      <c r="B14" s="1">
        <f t="shared" si="4"/>
        <v>4.8770575499285984E-2</v>
      </c>
      <c r="C14" s="1">
        <f t="shared" si="5"/>
        <v>-1.6568927965620155</v>
      </c>
      <c r="D14" s="3">
        <v>0.6</v>
      </c>
      <c r="E14" s="1">
        <v>100</v>
      </c>
      <c r="F14" s="4">
        <v>0.5</v>
      </c>
      <c r="G14" s="1">
        <f t="shared" ca="1" si="8"/>
        <v>-0.92172390491181644</v>
      </c>
      <c r="H14" s="1">
        <f t="shared" ca="1" si="6"/>
        <v>-0.89106947889287724</v>
      </c>
      <c r="I14" s="2">
        <f t="shared" ca="1" si="7"/>
        <v>0</v>
      </c>
    </row>
    <row r="15" spans="1:17">
      <c r="A15" s="1">
        <v>5</v>
      </c>
      <c r="B15" s="1">
        <f t="shared" si="4"/>
        <v>4.8770575499285984E-2</v>
      </c>
      <c r="C15" s="1">
        <f t="shared" si="5"/>
        <v>-1.6568927965620155</v>
      </c>
      <c r="D15" s="3">
        <v>0.6</v>
      </c>
      <c r="E15" s="1">
        <v>100</v>
      </c>
      <c r="F15" s="4">
        <v>0.5</v>
      </c>
      <c r="G15" s="1">
        <f t="shared" ca="1" si="8"/>
        <v>-0.92172390491181644</v>
      </c>
      <c r="H15" s="1">
        <f t="shared" ca="1" si="6"/>
        <v>0.62025925991035058</v>
      </c>
      <c r="I15" s="2">
        <f t="shared" ca="1" si="7"/>
        <v>0</v>
      </c>
    </row>
    <row r="16" spans="1:17">
      <c r="A16" s="1">
        <v>6</v>
      </c>
      <c r="B16" s="1">
        <f t="shared" si="4"/>
        <v>4.8770575499285984E-2</v>
      </c>
      <c r="C16" s="1">
        <f t="shared" si="5"/>
        <v>-1.6568927965620155</v>
      </c>
      <c r="D16" s="3">
        <v>0.6</v>
      </c>
      <c r="E16" s="1">
        <v>100</v>
      </c>
      <c r="F16" s="4">
        <v>0.5</v>
      </c>
      <c r="G16" s="1">
        <f t="shared" ca="1" si="8"/>
        <v>-0.92172390491181644</v>
      </c>
      <c r="H16" s="1">
        <f t="shared" ca="1" si="6"/>
        <v>-0.27468090044139259</v>
      </c>
      <c r="I16" s="2">
        <f t="shared" ca="1" si="7"/>
        <v>0</v>
      </c>
    </row>
    <row r="17" spans="1:9">
      <c r="A17" s="1">
        <v>7</v>
      </c>
      <c r="B17" s="1">
        <f t="shared" si="4"/>
        <v>4.8770575499285984E-2</v>
      </c>
      <c r="C17" s="1">
        <f t="shared" si="5"/>
        <v>-1.6568927965620155</v>
      </c>
      <c r="D17" s="3">
        <v>0.6</v>
      </c>
      <c r="E17" s="1">
        <v>100</v>
      </c>
      <c r="F17" s="4">
        <v>0.5</v>
      </c>
      <c r="G17" s="1">
        <f t="shared" ca="1" si="8"/>
        <v>-0.92172390491181644</v>
      </c>
      <c r="H17" s="1">
        <f t="shared" ca="1" si="6"/>
        <v>-1.2389415681746656</v>
      </c>
      <c r="I17" s="2">
        <f t="shared" ca="1" si="7"/>
        <v>0</v>
      </c>
    </row>
    <row r="18" spans="1:9">
      <c r="A18" s="1">
        <v>8</v>
      </c>
      <c r="B18" s="1">
        <f t="shared" si="4"/>
        <v>4.8770575499285984E-2</v>
      </c>
      <c r="C18" s="1">
        <f t="shared" si="5"/>
        <v>-1.6568927965620155</v>
      </c>
      <c r="D18" s="3">
        <v>0.6</v>
      </c>
      <c r="E18" s="1">
        <v>100</v>
      </c>
      <c r="F18" s="4">
        <v>0.5</v>
      </c>
      <c r="G18" s="1">
        <f t="shared" ca="1" si="8"/>
        <v>-0.92172390491181644</v>
      </c>
      <c r="H18" s="1">
        <f t="shared" ca="1" si="6"/>
        <v>0.76949129213876855</v>
      </c>
      <c r="I18" s="2">
        <f t="shared" ca="1" si="7"/>
        <v>0</v>
      </c>
    </row>
    <row r="19" spans="1:9">
      <c r="A19" s="1">
        <v>9</v>
      </c>
      <c r="B19" s="1">
        <f t="shared" si="4"/>
        <v>4.8770575499285984E-2</v>
      </c>
      <c r="C19" s="1">
        <f t="shared" si="5"/>
        <v>-1.6568927965620155</v>
      </c>
      <c r="D19" s="3">
        <v>0.6</v>
      </c>
      <c r="E19" s="1">
        <v>100</v>
      </c>
      <c r="F19" s="4">
        <v>0.5</v>
      </c>
      <c r="G19" s="1">
        <f t="shared" ca="1" si="8"/>
        <v>-0.92172390491181644</v>
      </c>
      <c r="H19" s="1">
        <f t="shared" ca="1" si="6"/>
        <v>-0.33068277053487338</v>
      </c>
      <c r="I19" s="2">
        <f t="shared" ca="1" si="7"/>
        <v>0</v>
      </c>
    </row>
    <row r="20" spans="1:9">
      <c r="A20" s="1">
        <v>10</v>
      </c>
      <c r="B20" s="1">
        <f t="shared" si="4"/>
        <v>4.8770575499285984E-2</v>
      </c>
      <c r="C20" s="1">
        <f t="shared" si="5"/>
        <v>-1.6568927965620155</v>
      </c>
      <c r="D20" s="3">
        <v>0.6</v>
      </c>
      <c r="E20" s="1">
        <v>100</v>
      </c>
      <c r="F20" s="4">
        <v>0.5</v>
      </c>
      <c r="G20" s="1">
        <f t="shared" ca="1" si="8"/>
        <v>-0.92172390491181644</v>
      </c>
      <c r="H20" s="1">
        <f t="shared" ca="1" si="6"/>
        <v>0.80758585351495549</v>
      </c>
      <c r="I20" s="2">
        <f t="shared" ca="1" si="7"/>
        <v>0</v>
      </c>
    </row>
    <row r="21" spans="1:9">
      <c r="A21" s="1">
        <v>11</v>
      </c>
      <c r="B21" s="1">
        <f t="shared" si="4"/>
        <v>4.8770575499285984E-2</v>
      </c>
      <c r="C21" s="1">
        <f t="shared" si="5"/>
        <v>-1.6568927965620155</v>
      </c>
      <c r="D21" s="3">
        <v>0.6</v>
      </c>
      <c r="E21" s="1">
        <v>100</v>
      </c>
      <c r="F21" s="4">
        <v>0.5</v>
      </c>
      <c r="G21" s="1">
        <f t="shared" ca="1" si="8"/>
        <v>-0.92172390491181644</v>
      </c>
      <c r="H21" s="1">
        <f t="shared" ca="1" si="6"/>
        <v>1.2716753328178694</v>
      </c>
      <c r="I21" s="2">
        <f t="shared" ca="1" si="7"/>
        <v>0</v>
      </c>
    </row>
    <row r="22" spans="1:9">
      <c r="A22" s="1">
        <v>12</v>
      </c>
      <c r="B22" s="1">
        <f t="shared" si="4"/>
        <v>4.8770575499285984E-2</v>
      </c>
      <c r="C22" s="1">
        <f t="shared" si="5"/>
        <v>-1.6568927965620155</v>
      </c>
      <c r="D22" s="3">
        <v>0.6</v>
      </c>
      <c r="E22" s="1">
        <v>100</v>
      </c>
      <c r="F22" s="4">
        <v>0.5</v>
      </c>
      <c r="G22" s="1">
        <f t="shared" ca="1" si="8"/>
        <v>-0.92172390491181644</v>
      </c>
      <c r="H22" s="1">
        <f t="shared" ca="1" si="6"/>
        <v>-2.1968175436052797</v>
      </c>
      <c r="I22" s="2">
        <f t="shared" ca="1" si="7"/>
        <v>60</v>
      </c>
    </row>
    <row r="23" spans="1:9">
      <c r="A23" s="1">
        <v>13</v>
      </c>
      <c r="B23" s="1">
        <f t="shared" si="4"/>
        <v>4.8770575499285984E-2</v>
      </c>
      <c r="C23" s="1">
        <f t="shared" si="5"/>
        <v>-1.6568927965620155</v>
      </c>
      <c r="D23" s="3">
        <v>0.6</v>
      </c>
      <c r="E23" s="1">
        <v>100</v>
      </c>
      <c r="F23" s="4">
        <v>0.5</v>
      </c>
      <c r="G23" s="1">
        <f t="shared" ca="1" si="8"/>
        <v>-0.92172390491181644</v>
      </c>
      <c r="H23" s="1">
        <f t="shared" ca="1" si="6"/>
        <v>-0.68442921652981625</v>
      </c>
      <c r="I23" s="2">
        <f t="shared" ca="1" si="7"/>
        <v>0</v>
      </c>
    </row>
    <row r="24" spans="1:9">
      <c r="A24" s="1">
        <v>14</v>
      </c>
      <c r="B24" s="1">
        <f t="shared" si="4"/>
        <v>4.8770575499285984E-2</v>
      </c>
      <c r="C24" s="1">
        <f t="shared" si="5"/>
        <v>-1.6568927965620155</v>
      </c>
      <c r="D24" s="3">
        <v>0.6</v>
      </c>
      <c r="E24" s="1">
        <v>100</v>
      </c>
      <c r="F24" s="4">
        <v>0.5</v>
      </c>
      <c r="G24" s="1">
        <f t="shared" ca="1" si="8"/>
        <v>-0.92172390491181644</v>
      </c>
      <c r="H24" s="1">
        <f t="shared" ca="1" si="6"/>
        <v>-1.8734940056833689</v>
      </c>
      <c r="I24" s="2">
        <f t="shared" ca="1" si="7"/>
        <v>60</v>
      </c>
    </row>
    <row r="25" spans="1:9">
      <c r="A25" s="1">
        <v>15</v>
      </c>
      <c r="B25" s="1">
        <f t="shared" si="4"/>
        <v>4.8770575499285984E-2</v>
      </c>
      <c r="C25" s="1">
        <f t="shared" si="5"/>
        <v>-1.6568927965620155</v>
      </c>
      <c r="D25" s="3">
        <v>0.6</v>
      </c>
      <c r="E25" s="1">
        <v>100</v>
      </c>
      <c r="F25" s="4">
        <v>0.5</v>
      </c>
      <c r="G25" s="1">
        <f t="shared" ca="1" si="8"/>
        <v>-0.92172390491181644</v>
      </c>
      <c r="H25" s="1">
        <f t="shared" ca="1" si="6"/>
        <v>-0.56884691062544379</v>
      </c>
      <c r="I25" s="2">
        <f t="shared" ca="1" si="7"/>
        <v>0</v>
      </c>
    </row>
    <row r="26" spans="1:9">
      <c r="A26" s="1">
        <v>16</v>
      </c>
      <c r="B26" s="1">
        <f t="shared" si="4"/>
        <v>4.8770575499285984E-2</v>
      </c>
      <c r="C26" s="1">
        <f t="shared" si="5"/>
        <v>-1.6568927965620155</v>
      </c>
      <c r="D26" s="3">
        <v>0.6</v>
      </c>
      <c r="E26" s="1">
        <v>100</v>
      </c>
      <c r="F26" s="4">
        <v>0.5</v>
      </c>
      <c r="G26" s="1">
        <f t="shared" ca="1" si="8"/>
        <v>-0.92172390491181644</v>
      </c>
      <c r="H26" s="1">
        <f t="shared" ca="1" si="6"/>
        <v>-0.92501195044642359</v>
      </c>
      <c r="I26" s="2">
        <f t="shared" ca="1" si="7"/>
        <v>0</v>
      </c>
    </row>
    <row r="27" spans="1:9">
      <c r="A27" s="1">
        <v>17</v>
      </c>
      <c r="B27" s="1">
        <f t="shared" si="4"/>
        <v>4.8770575499285984E-2</v>
      </c>
      <c r="C27" s="1">
        <f t="shared" si="5"/>
        <v>-1.6568927965620155</v>
      </c>
      <c r="D27" s="3">
        <v>0.6</v>
      </c>
      <c r="E27" s="1">
        <v>100</v>
      </c>
      <c r="F27" s="4">
        <v>0.5</v>
      </c>
      <c r="G27" s="1">
        <f t="shared" ca="1" si="8"/>
        <v>-0.92172390491181644</v>
      </c>
      <c r="H27" s="1">
        <f t="shared" ca="1" si="6"/>
        <v>0.94635113739679511</v>
      </c>
      <c r="I27" s="2">
        <f t="shared" ca="1" si="7"/>
        <v>0</v>
      </c>
    </row>
    <row r="28" spans="1:9">
      <c r="A28" s="1">
        <v>18</v>
      </c>
      <c r="B28" s="1">
        <f t="shared" si="4"/>
        <v>4.8770575499285984E-2</v>
      </c>
      <c r="C28" s="1">
        <f t="shared" si="5"/>
        <v>-1.6568927965620155</v>
      </c>
      <c r="D28" s="3">
        <v>0.6</v>
      </c>
      <c r="E28" s="1">
        <v>100</v>
      </c>
      <c r="F28" s="4">
        <v>0.5</v>
      </c>
      <c r="G28" s="1">
        <f t="shared" ca="1" si="8"/>
        <v>-0.92172390491181644</v>
      </c>
      <c r="H28" s="1">
        <f t="shared" ca="1" si="6"/>
        <v>0.16745118140521098</v>
      </c>
      <c r="I28" s="2">
        <f t="shared" ca="1" si="7"/>
        <v>0</v>
      </c>
    </row>
    <row r="29" spans="1:9">
      <c r="A29" s="1">
        <v>19</v>
      </c>
      <c r="B29" s="1">
        <f t="shared" si="4"/>
        <v>4.8770575499285984E-2</v>
      </c>
      <c r="C29" s="1">
        <f t="shared" si="5"/>
        <v>-1.6568927965620155</v>
      </c>
      <c r="D29" s="3">
        <v>0.6</v>
      </c>
      <c r="E29" s="1">
        <v>100</v>
      </c>
      <c r="F29" s="4">
        <v>0.5</v>
      </c>
      <c r="G29" s="1">
        <f t="shared" ca="1" si="8"/>
        <v>-0.92172390491181644</v>
      </c>
      <c r="H29" s="1">
        <f t="shared" ca="1" si="6"/>
        <v>-0.59350641735312504</v>
      </c>
      <c r="I29" s="2">
        <f t="shared" ca="1" si="7"/>
        <v>0</v>
      </c>
    </row>
    <row r="30" spans="1:9">
      <c r="A30" s="1">
        <v>20</v>
      </c>
      <c r="B30" s="1">
        <f t="shared" si="4"/>
        <v>4.8770575499285984E-2</v>
      </c>
      <c r="C30" s="1">
        <f t="shared" si="5"/>
        <v>-1.6568927965620155</v>
      </c>
      <c r="D30" s="3">
        <v>0.6</v>
      </c>
      <c r="E30" s="1">
        <v>100</v>
      </c>
      <c r="F30" s="4">
        <v>0.5</v>
      </c>
      <c r="G30" s="1">
        <f t="shared" ca="1" si="8"/>
        <v>-0.92172390491181644</v>
      </c>
      <c r="H30" s="1">
        <f t="shared" ca="1" si="6"/>
        <v>0.74497121722576687</v>
      </c>
      <c r="I30" s="2">
        <f t="shared" ca="1" si="7"/>
        <v>0</v>
      </c>
    </row>
    <row r="31" spans="1:9">
      <c r="A31" s="1">
        <v>21</v>
      </c>
      <c r="B31" s="1">
        <f t="shared" si="4"/>
        <v>4.8770575499285984E-2</v>
      </c>
      <c r="C31" s="1">
        <f t="shared" si="5"/>
        <v>-1.6568927965620155</v>
      </c>
      <c r="D31" s="3">
        <v>0.6</v>
      </c>
      <c r="E31" s="1">
        <v>100</v>
      </c>
      <c r="F31" s="4">
        <v>0.5</v>
      </c>
      <c r="G31" s="1">
        <f t="shared" ca="1" si="8"/>
        <v>-0.92172390491181644</v>
      </c>
      <c r="H31" s="1">
        <f t="shared" ca="1" si="6"/>
        <v>1.5136468281291893</v>
      </c>
      <c r="I31" s="2">
        <f t="shared" ca="1" si="7"/>
        <v>0</v>
      </c>
    </row>
    <row r="32" spans="1:9">
      <c r="A32" s="1">
        <v>22</v>
      </c>
      <c r="B32" s="1">
        <f t="shared" si="4"/>
        <v>4.8770575499285984E-2</v>
      </c>
      <c r="C32" s="1">
        <f t="shared" si="5"/>
        <v>-1.6568927965620155</v>
      </c>
      <c r="D32" s="3">
        <v>0.6</v>
      </c>
      <c r="E32" s="1">
        <v>100</v>
      </c>
      <c r="F32" s="4">
        <v>0.5</v>
      </c>
      <c r="G32" s="1">
        <f t="shared" ca="1" si="8"/>
        <v>-0.92172390491181644</v>
      </c>
      <c r="H32" s="1">
        <f t="shared" ca="1" si="6"/>
        <v>-0.73131944107396363</v>
      </c>
      <c r="I32" s="2">
        <f t="shared" ca="1" si="7"/>
        <v>0</v>
      </c>
    </row>
    <row r="33" spans="1:9">
      <c r="A33" s="1">
        <v>23</v>
      </c>
      <c r="B33" s="1">
        <f t="shared" si="4"/>
        <v>4.8770575499285984E-2</v>
      </c>
      <c r="C33" s="1">
        <f t="shared" si="5"/>
        <v>-1.6568927965620155</v>
      </c>
      <c r="D33" s="3">
        <v>0.6</v>
      </c>
      <c r="E33" s="1">
        <v>100</v>
      </c>
      <c r="F33" s="4">
        <v>0.5</v>
      </c>
      <c r="G33" s="1">
        <f t="shared" ca="1" si="8"/>
        <v>-0.92172390491181644</v>
      </c>
      <c r="H33" s="1">
        <f t="shared" ca="1" si="6"/>
        <v>-1.7596241484872301</v>
      </c>
      <c r="I33" s="2">
        <f t="shared" ca="1" si="7"/>
        <v>60</v>
      </c>
    </row>
    <row r="34" spans="1:9">
      <c r="A34" s="1">
        <v>24</v>
      </c>
      <c r="B34" s="1">
        <f t="shared" si="4"/>
        <v>4.8770575499285984E-2</v>
      </c>
      <c r="C34" s="1">
        <f t="shared" si="5"/>
        <v>-1.6568927965620155</v>
      </c>
      <c r="D34" s="3">
        <v>0.6</v>
      </c>
      <c r="E34" s="1">
        <v>100</v>
      </c>
      <c r="F34" s="4">
        <v>0.5</v>
      </c>
      <c r="G34" s="1">
        <f t="shared" ca="1" si="8"/>
        <v>-0.92172390491181644</v>
      </c>
      <c r="H34" s="1">
        <f t="shared" ca="1" si="6"/>
        <v>-1.9524796738922767E-2</v>
      </c>
      <c r="I34" s="2">
        <f t="shared" ca="1" si="7"/>
        <v>0</v>
      </c>
    </row>
    <row r="35" spans="1:9">
      <c r="A35" s="1">
        <v>25</v>
      </c>
      <c r="B35" s="1">
        <f t="shared" si="4"/>
        <v>4.8770575499285984E-2</v>
      </c>
      <c r="C35" s="1">
        <f t="shared" si="5"/>
        <v>-1.6568927965620155</v>
      </c>
      <c r="D35" s="3">
        <v>0.6</v>
      </c>
      <c r="E35" s="1">
        <v>100</v>
      </c>
      <c r="F35" s="4">
        <v>0.5</v>
      </c>
      <c r="G35" s="1">
        <f t="shared" ca="1" si="8"/>
        <v>-0.92172390491181644</v>
      </c>
      <c r="H35" s="1">
        <f t="shared" ca="1" si="6"/>
        <v>-0.87777702932385693</v>
      </c>
      <c r="I35" s="2">
        <f t="shared" ca="1" si="7"/>
        <v>0</v>
      </c>
    </row>
    <row r="36" spans="1:9">
      <c r="A36" s="1">
        <v>26</v>
      </c>
      <c r="B36" s="1">
        <f t="shared" si="4"/>
        <v>4.8770575499285984E-2</v>
      </c>
      <c r="C36" s="1">
        <f t="shared" si="5"/>
        <v>-1.6568927965620155</v>
      </c>
      <c r="D36" s="3">
        <v>0.6</v>
      </c>
      <c r="E36" s="1">
        <v>100</v>
      </c>
      <c r="F36" s="4">
        <v>0.5</v>
      </c>
      <c r="G36" s="1">
        <f t="shared" ca="1" si="8"/>
        <v>-0.92172390491181644</v>
      </c>
      <c r="H36" s="1">
        <f t="shared" ca="1" si="6"/>
        <v>-0.24642024037278146</v>
      </c>
      <c r="I36" s="2">
        <f t="shared" ca="1" si="7"/>
        <v>0</v>
      </c>
    </row>
    <row r="37" spans="1:9">
      <c r="A37" s="1">
        <v>27</v>
      </c>
      <c r="B37" s="1">
        <f t="shared" si="4"/>
        <v>4.8770575499285984E-2</v>
      </c>
      <c r="C37" s="1">
        <f t="shared" si="5"/>
        <v>-1.6568927965620155</v>
      </c>
      <c r="D37" s="3">
        <v>0.6</v>
      </c>
      <c r="E37" s="1">
        <v>100</v>
      </c>
      <c r="F37" s="4">
        <v>0.5</v>
      </c>
      <c r="G37" s="1">
        <f t="shared" ca="1" si="8"/>
        <v>-0.92172390491181644</v>
      </c>
      <c r="H37" s="1">
        <f t="shared" ca="1" si="6"/>
        <v>-0.67412315037783799</v>
      </c>
      <c r="I37" s="2">
        <f t="shared" ca="1" si="7"/>
        <v>0</v>
      </c>
    </row>
    <row r="38" spans="1:9">
      <c r="A38" s="1">
        <v>28</v>
      </c>
      <c r="B38" s="1">
        <f t="shared" si="4"/>
        <v>4.8770575499285984E-2</v>
      </c>
      <c r="C38" s="1">
        <f t="shared" si="5"/>
        <v>-1.6568927965620155</v>
      </c>
      <c r="D38" s="3">
        <v>0.6</v>
      </c>
      <c r="E38" s="1">
        <v>100</v>
      </c>
      <c r="F38" s="4">
        <v>0.5</v>
      </c>
      <c r="G38" s="1">
        <f t="shared" ca="1" si="8"/>
        <v>-0.92172390491181644</v>
      </c>
      <c r="H38" s="1">
        <f t="shared" ca="1" si="6"/>
        <v>0.15092896275928191</v>
      </c>
      <c r="I38" s="2">
        <f t="shared" ca="1" si="7"/>
        <v>0</v>
      </c>
    </row>
    <row r="39" spans="1:9">
      <c r="A39" s="1">
        <v>29</v>
      </c>
      <c r="B39" s="1">
        <f t="shared" si="4"/>
        <v>4.8770575499285984E-2</v>
      </c>
      <c r="C39" s="1">
        <f t="shared" si="5"/>
        <v>-1.6568927965620155</v>
      </c>
      <c r="D39" s="3">
        <v>0.6</v>
      </c>
      <c r="E39" s="1">
        <v>100</v>
      </c>
      <c r="F39" s="4">
        <v>0.5</v>
      </c>
      <c r="G39" s="1">
        <f t="shared" ca="1" si="8"/>
        <v>-0.92172390491181644</v>
      </c>
      <c r="H39" s="1">
        <f t="shared" ca="1" si="6"/>
        <v>0.14635283900804985</v>
      </c>
      <c r="I39" s="2">
        <f t="shared" ca="1" si="7"/>
        <v>0</v>
      </c>
    </row>
    <row r="40" spans="1:9">
      <c r="A40" s="1">
        <v>30</v>
      </c>
      <c r="B40" s="1">
        <f t="shared" si="4"/>
        <v>4.8770575499285984E-2</v>
      </c>
      <c r="C40" s="1">
        <f t="shared" si="5"/>
        <v>-1.6568927965620155</v>
      </c>
      <c r="D40" s="3">
        <v>0.6</v>
      </c>
      <c r="E40" s="1">
        <v>100</v>
      </c>
      <c r="F40" s="4">
        <v>0.5</v>
      </c>
      <c r="G40" s="1">
        <f t="shared" ca="1" si="8"/>
        <v>-0.92172390491181644</v>
      </c>
      <c r="H40" s="1">
        <f t="shared" ca="1" si="6"/>
        <v>3.4088196215877886E-3</v>
      </c>
      <c r="I40" s="2">
        <f t="shared" ca="1" si="7"/>
        <v>0</v>
      </c>
    </row>
    <row r="41" spans="1:9">
      <c r="A41" s="1">
        <v>31</v>
      </c>
      <c r="B41" s="1">
        <f t="shared" si="4"/>
        <v>4.8770575499285984E-2</v>
      </c>
      <c r="C41" s="1">
        <f t="shared" si="5"/>
        <v>-1.6568927965620155</v>
      </c>
      <c r="D41" s="3">
        <v>0.6</v>
      </c>
      <c r="E41" s="1">
        <v>100</v>
      </c>
      <c r="F41" s="4">
        <v>0.5</v>
      </c>
      <c r="G41" s="1">
        <f t="shared" ca="1" si="8"/>
        <v>-0.92172390491181644</v>
      </c>
      <c r="H41" s="1">
        <f t="shared" ca="1" si="6"/>
        <v>-0.40408924532039792</v>
      </c>
      <c r="I41" s="2">
        <f t="shared" ca="1" si="7"/>
        <v>0</v>
      </c>
    </row>
    <row r="42" spans="1:9">
      <c r="A42" s="1">
        <v>32</v>
      </c>
      <c r="B42" s="1">
        <f t="shared" si="4"/>
        <v>4.8770575499285984E-2</v>
      </c>
      <c r="C42" s="1">
        <f t="shared" si="5"/>
        <v>-1.6568927965620155</v>
      </c>
      <c r="D42" s="3">
        <v>0.6</v>
      </c>
      <c r="E42" s="1">
        <v>100</v>
      </c>
      <c r="F42" s="4">
        <v>0.5</v>
      </c>
      <c r="G42" s="1">
        <f t="shared" ca="1" si="8"/>
        <v>-0.92172390491181644</v>
      </c>
      <c r="H42" s="1">
        <f t="shared" ca="1" si="6"/>
        <v>-1.1497964885456007</v>
      </c>
      <c r="I42" s="2">
        <f t="shared" ca="1" si="7"/>
        <v>0</v>
      </c>
    </row>
    <row r="43" spans="1:9">
      <c r="A43" s="1">
        <v>33</v>
      </c>
      <c r="B43" s="1">
        <f t="shared" si="4"/>
        <v>4.8770575499285984E-2</v>
      </c>
      <c r="C43" s="1">
        <f t="shared" si="5"/>
        <v>-1.6568927965620155</v>
      </c>
      <c r="D43" s="3">
        <v>0.6</v>
      </c>
      <c r="E43" s="1">
        <v>100</v>
      </c>
      <c r="F43" s="4">
        <v>0.5</v>
      </c>
      <c r="G43" s="1">
        <f t="shared" ca="1" si="8"/>
        <v>-0.92172390491181644</v>
      </c>
      <c r="H43" s="1">
        <f t="shared" ca="1" si="6"/>
        <v>-0.78975908219954327</v>
      </c>
      <c r="I43" s="2">
        <f t="shared" ca="1" si="7"/>
        <v>0</v>
      </c>
    </row>
    <row r="44" spans="1:9">
      <c r="A44" s="1">
        <v>34</v>
      </c>
      <c r="B44" s="1">
        <f t="shared" si="4"/>
        <v>4.8770575499285984E-2</v>
      </c>
      <c r="C44" s="1">
        <f t="shared" si="5"/>
        <v>-1.6568927965620155</v>
      </c>
      <c r="D44" s="3">
        <v>0.6</v>
      </c>
      <c r="E44" s="1">
        <v>100</v>
      </c>
      <c r="F44" s="4">
        <v>0.5</v>
      </c>
      <c r="G44" s="1">
        <f t="shared" ca="1" si="8"/>
        <v>-0.92172390491181644</v>
      </c>
      <c r="H44" s="1">
        <f t="shared" ca="1" si="6"/>
        <v>-2.8652940128016184</v>
      </c>
      <c r="I44" s="2">
        <f t="shared" ca="1" si="7"/>
        <v>60</v>
      </c>
    </row>
    <row r="45" spans="1:9">
      <c r="A45" s="1">
        <v>35</v>
      </c>
      <c r="B45" s="1">
        <f t="shared" si="4"/>
        <v>4.8770575499285984E-2</v>
      </c>
      <c r="C45" s="1">
        <f t="shared" si="5"/>
        <v>-1.6568927965620155</v>
      </c>
      <c r="D45" s="3">
        <v>0.6</v>
      </c>
      <c r="E45" s="1">
        <v>100</v>
      </c>
      <c r="F45" s="4">
        <v>0.5</v>
      </c>
      <c r="G45" s="1">
        <f t="shared" ca="1" si="8"/>
        <v>-0.92172390491181644</v>
      </c>
      <c r="H45" s="1">
        <f t="shared" ca="1" si="6"/>
        <v>-2.3568863700692098</v>
      </c>
      <c r="I45" s="2">
        <f t="shared" ca="1" si="7"/>
        <v>60</v>
      </c>
    </row>
    <row r="46" spans="1:9">
      <c r="A46" s="1">
        <v>36</v>
      </c>
      <c r="B46" s="1">
        <f t="shared" si="4"/>
        <v>4.8770575499285984E-2</v>
      </c>
      <c r="C46" s="1">
        <f t="shared" si="5"/>
        <v>-1.6568927965620155</v>
      </c>
      <c r="D46" s="3">
        <v>0.6</v>
      </c>
      <c r="E46" s="1">
        <v>100</v>
      </c>
      <c r="F46" s="4">
        <v>0.5</v>
      </c>
      <c r="G46" s="1">
        <f t="shared" ca="1" si="8"/>
        <v>-0.92172390491181644</v>
      </c>
      <c r="H46" s="1">
        <f t="shared" ca="1" si="6"/>
        <v>0.14377913142377563</v>
      </c>
      <c r="I46" s="2">
        <f t="shared" ca="1" si="7"/>
        <v>0</v>
      </c>
    </row>
    <row r="47" spans="1:9">
      <c r="A47" s="1">
        <v>37</v>
      </c>
      <c r="B47" s="1">
        <f t="shared" si="4"/>
        <v>4.8770575499285984E-2</v>
      </c>
      <c r="C47" s="1">
        <f t="shared" si="5"/>
        <v>-1.6568927965620155</v>
      </c>
      <c r="D47" s="3">
        <v>0.6</v>
      </c>
      <c r="E47" s="1">
        <v>100</v>
      </c>
      <c r="F47" s="4">
        <v>0.5</v>
      </c>
      <c r="G47" s="1">
        <f t="shared" ca="1" si="8"/>
        <v>-0.92172390491181644</v>
      </c>
      <c r="H47" s="1">
        <f t="shared" ca="1" si="6"/>
        <v>-1.3051192074173041</v>
      </c>
      <c r="I47" s="2">
        <f t="shared" ca="1" si="7"/>
        <v>0</v>
      </c>
    </row>
    <row r="48" spans="1:9">
      <c r="A48" s="1">
        <v>38</v>
      </c>
      <c r="B48" s="1">
        <f t="shared" si="4"/>
        <v>4.8770575499285984E-2</v>
      </c>
      <c r="C48" s="1">
        <f t="shared" si="5"/>
        <v>-1.6568927965620155</v>
      </c>
      <c r="D48" s="3">
        <v>0.6</v>
      </c>
      <c r="E48" s="1">
        <v>100</v>
      </c>
      <c r="F48" s="4">
        <v>0.5</v>
      </c>
      <c r="G48" s="1">
        <f t="shared" ca="1" si="8"/>
        <v>-0.92172390491181644</v>
      </c>
      <c r="H48" s="1">
        <f t="shared" ca="1" si="6"/>
        <v>-0.38826947325975464</v>
      </c>
      <c r="I48" s="2">
        <f t="shared" ca="1" si="7"/>
        <v>0</v>
      </c>
    </row>
    <row r="49" spans="1:9">
      <c r="A49" s="1">
        <v>39</v>
      </c>
      <c r="B49" s="1">
        <f t="shared" si="4"/>
        <v>4.8770575499285984E-2</v>
      </c>
      <c r="C49" s="1">
        <f t="shared" si="5"/>
        <v>-1.6568927965620155</v>
      </c>
      <c r="D49" s="3">
        <v>0.6</v>
      </c>
      <c r="E49" s="1">
        <v>100</v>
      </c>
      <c r="F49" s="4">
        <v>0.5</v>
      </c>
      <c r="G49" s="1">
        <f t="shared" ca="1" si="8"/>
        <v>-0.92172390491181644</v>
      </c>
      <c r="H49" s="1">
        <f t="shared" ca="1" si="6"/>
        <v>-0.56658889820703595</v>
      </c>
      <c r="I49" s="2">
        <f t="shared" ca="1" si="7"/>
        <v>0</v>
      </c>
    </row>
    <row r="50" spans="1:9">
      <c r="A50" s="1">
        <v>40</v>
      </c>
      <c r="B50" s="1">
        <f t="shared" si="4"/>
        <v>4.8770575499285984E-2</v>
      </c>
      <c r="C50" s="1">
        <f t="shared" si="5"/>
        <v>-1.6568927965620155</v>
      </c>
      <c r="D50" s="3">
        <v>0.6</v>
      </c>
      <c r="E50" s="1">
        <v>100</v>
      </c>
      <c r="F50" s="4">
        <v>0.5</v>
      </c>
      <c r="G50" s="1">
        <f t="shared" ca="1" si="8"/>
        <v>-0.92172390491181644</v>
      </c>
      <c r="H50" s="1">
        <f t="shared" ca="1" si="6"/>
        <v>-2.0834117415373483</v>
      </c>
      <c r="I50" s="2">
        <f t="shared" ca="1" si="7"/>
        <v>60</v>
      </c>
    </row>
    <row r="51" spans="1:9">
      <c r="A51" s="1">
        <v>41</v>
      </c>
      <c r="B51" s="1">
        <f t="shared" si="4"/>
        <v>4.8770575499285984E-2</v>
      </c>
      <c r="C51" s="1">
        <f t="shared" si="5"/>
        <v>-1.6568927965620155</v>
      </c>
      <c r="D51" s="3">
        <v>0.6</v>
      </c>
      <c r="E51" s="1">
        <v>100</v>
      </c>
      <c r="F51" s="4">
        <v>0.5</v>
      </c>
      <c r="G51" s="1">
        <f t="shared" ca="1" si="8"/>
        <v>-0.92172390491181644</v>
      </c>
      <c r="H51" s="1">
        <f t="shared" ca="1" si="6"/>
        <v>-0.11307101016856108</v>
      </c>
      <c r="I51" s="2">
        <f t="shared" ca="1" si="7"/>
        <v>0</v>
      </c>
    </row>
    <row r="52" spans="1:9">
      <c r="A52" s="1">
        <v>42</v>
      </c>
      <c r="B52" s="1">
        <f t="shared" si="4"/>
        <v>4.8770575499285984E-2</v>
      </c>
      <c r="C52" s="1">
        <f t="shared" si="5"/>
        <v>-1.6568927965620155</v>
      </c>
      <c r="D52" s="3">
        <v>0.6</v>
      </c>
      <c r="E52" s="1">
        <v>100</v>
      </c>
      <c r="F52" s="4">
        <v>0.5</v>
      </c>
      <c r="G52" s="1">
        <f t="shared" ca="1" si="8"/>
        <v>-0.92172390491181644</v>
      </c>
      <c r="H52" s="1">
        <f t="shared" ca="1" si="6"/>
        <v>-1.36709464612274</v>
      </c>
      <c r="I52" s="2">
        <f t="shared" ca="1" si="7"/>
        <v>0</v>
      </c>
    </row>
    <row r="53" spans="1:9">
      <c r="A53" s="1">
        <v>43</v>
      </c>
      <c r="B53" s="1">
        <f t="shared" si="4"/>
        <v>4.8770575499285984E-2</v>
      </c>
      <c r="C53" s="1">
        <f t="shared" si="5"/>
        <v>-1.6568927965620155</v>
      </c>
      <c r="D53" s="3">
        <v>0.6</v>
      </c>
      <c r="E53" s="1">
        <v>100</v>
      </c>
      <c r="F53" s="4">
        <v>0.5</v>
      </c>
      <c r="G53" s="1">
        <f t="shared" ca="1" si="8"/>
        <v>-0.92172390491181644</v>
      </c>
      <c r="H53" s="1">
        <f t="shared" ca="1" si="6"/>
        <v>0.15728141946906116</v>
      </c>
      <c r="I53" s="2">
        <f t="shared" ca="1" si="7"/>
        <v>0</v>
      </c>
    </row>
    <row r="54" spans="1:9">
      <c r="A54" s="1">
        <v>44</v>
      </c>
      <c r="B54" s="1">
        <f t="shared" si="4"/>
        <v>4.8770575499285984E-2</v>
      </c>
      <c r="C54" s="1">
        <f t="shared" si="5"/>
        <v>-1.6568927965620155</v>
      </c>
      <c r="D54" s="3">
        <v>0.6</v>
      </c>
      <c r="E54" s="1">
        <v>100</v>
      </c>
      <c r="F54" s="4">
        <v>0.5</v>
      </c>
      <c r="G54" s="1">
        <f t="shared" ca="1" si="8"/>
        <v>-0.92172390491181644</v>
      </c>
      <c r="H54" s="1">
        <f t="shared" ca="1" si="6"/>
        <v>0.57663125500782997</v>
      </c>
      <c r="I54" s="2">
        <f t="shared" ca="1" si="7"/>
        <v>0</v>
      </c>
    </row>
    <row r="55" spans="1:9">
      <c r="A55" s="1">
        <v>45</v>
      </c>
      <c r="B55" s="1">
        <f t="shared" si="4"/>
        <v>4.8770575499285984E-2</v>
      </c>
      <c r="C55" s="1">
        <f t="shared" si="5"/>
        <v>-1.6568927965620155</v>
      </c>
      <c r="D55" s="3">
        <v>0.6</v>
      </c>
      <c r="E55" s="1">
        <v>100</v>
      </c>
      <c r="F55" s="4">
        <v>0.5</v>
      </c>
      <c r="G55" s="1">
        <f t="shared" ca="1" si="8"/>
        <v>-0.92172390491181644</v>
      </c>
      <c r="H55" s="1">
        <f t="shared" ca="1" si="6"/>
        <v>0.29840796787807156</v>
      </c>
      <c r="I55" s="2">
        <f t="shared" ca="1" si="7"/>
        <v>0</v>
      </c>
    </row>
    <row r="56" spans="1:9">
      <c r="A56" s="1">
        <v>46</v>
      </c>
      <c r="B56" s="1">
        <f t="shared" si="4"/>
        <v>4.8770575499285984E-2</v>
      </c>
      <c r="C56" s="1">
        <f t="shared" si="5"/>
        <v>-1.6568927965620155</v>
      </c>
      <c r="D56" s="3">
        <v>0.6</v>
      </c>
      <c r="E56" s="1">
        <v>100</v>
      </c>
      <c r="F56" s="4">
        <v>0.5</v>
      </c>
      <c r="G56" s="1">
        <f t="shared" ca="1" si="8"/>
        <v>-0.92172390491181644</v>
      </c>
      <c r="H56" s="1">
        <f t="shared" ca="1" si="6"/>
        <v>-0.98472797623261066</v>
      </c>
      <c r="I56" s="2">
        <f t="shared" ca="1" si="7"/>
        <v>0</v>
      </c>
    </row>
    <row r="57" spans="1:9">
      <c r="A57" s="1">
        <v>47</v>
      </c>
      <c r="B57" s="1">
        <f t="shared" si="4"/>
        <v>4.8770575499285984E-2</v>
      </c>
      <c r="C57" s="1">
        <f t="shared" si="5"/>
        <v>-1.6568927965620155</v>
      </c>
      <c r="D57" s="3">
        <v>0.6</v>
      </c>
      <c r="E57" s="1">
        <v>100</v>
      </c>
      <c r="F57" s="4">
        <v>0.5</v>
      </c>
      <c r="G57" s="1">
        <f t="shared" ca="1" si="8"/>
        <v>-0.92172390491181644</v>
      </c>
      <c r="H57" s="1">
        <f t="shared" ca="1" si="6"/>
        <v>0.19400860982786627</v>
      </c>
      <c r="I57" s="2">
        <f t="shared" ca="1" si="7"/>
        <v>0</v>
      </c>
    </row>
    <row r="58" spans="1:9">
      <c r="A58" s="1">
        <v>48</v>
      </c>
      <c r="B58" s="1">
        <f t="shared" si="4"/>
        <v>4.8770575499285984E-2</v>
      </c>
      <c r="C58" s="1">
        <f t="shared" si="5"/>
        <v>-1.6568927965620155</v>
      </c>
      <c r="D58" s="3">
        <v>0.6</v>
      </c>
      <c r="E58" s="1">
        <v>100</v>
      </c>
      <c r="F58" s="4">
        <v>0.5</v>
      </c>
      <c r="G58" s="1">
        <f t="shared" ca="1" si="8"/>
        <v>-0.92172390491181644</v>
      </c>
      <c r="H58" s="1">
        <f t="shared" ca="1" si="6"/>
        <v>-0.37336828978800279</v>
      </c>
      <c r="I58" s="2">
        <f t="shared" ca="1" si="7"/>
        <v>0</v>
      </c>
    </row>
    <row r="59" spans="1:9">
      <c r="A59" s="1">
        <v>49</v>
      </c>
      <c r="B59" s="1">
        <f t="shared" si="4"/>
        <v>4.8770575499285984E-2</v>
      </c>
      <c r="C59" s="1">
        <f t="shared" si="5"/>
        <v>-1.6568927965620155</v>
      </c>
      <c r="D59" s="3">
        <v>0.6</v>
      </c>
      <c r="E59" s="1">
        <v>100</v>
      </c>
      <c r="F59" s="4">
        <v>0.5</v>
      </c>
      <c r="G59" s="1">
        <f t="shared" ca="1" si="8"/>
        <v>-0.92172390491181644</v>
      </c>
      <c r="H59" s="1">
        <f t="shared" ca="1" si="6"/>
        <v>-0.75123785372211804</v>
      </c>
      <c r="I59" s="2">
        <f t="shared" ca="1" si="7"/>
        <v>0</v>
      </c>
    </row>
    <row r="60" spans="1:9">
      <c r="A60" s="1">
        <v>50</v>
      </c>
      <c r="B60" s="1">
        <f t="shared" si="4"/>
        <v>4.8770575499285984E-2</v>
      </c>
      <c r="C60" s="1">
        <f t="shared" si="5"/>
        <v>-1.6568927965620155</v>
      </c>
      <c r="D60" s="3">
        <v>0.6</v>
      </c>
      <c r="E60" s="1">
        <v>100</v>
      </c>
      <c r="F60" s="4">
        <v>0.5</v>
      </c>
      <c r="G60" s="1">
        <f t="shared" ca="1" si="8"/>
        <v>-0.92172390491181644</v>
      </c>
      <c r="H60" s="1">
        <f t="shared" ca="1" si="6"/>
        <v>-0.77410148581843374</v>
      </c>
      <c r="I60" s="2">
        <f t="shared" ca="1" si="7"/>
        <v>0</v>
      </c>
    </row>
    <row r="61" spans="1:9">
      <c r="A61" s="1">
        <v>51</v>
      </c>
      <c r="B61" s="1">
        <f t="shared" si="4"/>
        <v>4.8770575499285984E-2</v>
      </c>
      <c r="C61" s="1">
        <f t="shared" si="5"/>
        <v>-1.6568927965620155</v>
      </c>
      <c r="D61" s="3">
        <v>0.6</v>
      </c>
      <c r="E61" s="1">
        <v>100</v>
      </c>
      <c r="F61" s="4">
        <v>0.5</v>
      </c>
      <c r="G61" s="1">
        <f t="shared" ca="1" si="8"/>
        <v>-0.92172390491181644</v>
      </c>
      <c r="H61" s="1">
        <f t="shared" ca="1" si="6"/>
        <v>0.16669987306036227</v>
      </c>
      <c r="I61" s="2">
        <f t="shared" ca="1" si="7"/>
        <v>0</v>
      </c>
    </row>
    <row r="62" spans="1:9">
      <c r="A62" s="1">
        <v>52</v>
      </c>
      <c r="B62" s="1">
        <f t="shared" si="4"/>
        <v>4.8770575499285984E-2</v>
      </c>
      <c r="C62" s="1">
        <f t="shared" si="5"/>
        <v>-1.6568927965620155</v>
      </c>
      <c r="D62" s="3">
        <v>0.6</v>
      </c>
      <c r="E62" s="1">
        <v>100</v>
      </c>
      <c r="F62" s="4">
        <v>0.5</v>
      </c>
      <c r="G62" s="1">
        <f t="shared" ca="1" si="8"/>
        <v>-0.92172390491181644</v>
      </c>
      <c r="H62" s="1">
        <f t="shared" ca="1" si="6"/>
        <v>1.5919510674304056</v>
      </c>
      <c r="I62" s="2">
        <f t="shared" ca="1" si="7"/>
        <v>0</v>
      </c>
    </row>
    <row r="63" spans="1:9">
      <c r="A63" s="1">
        <v>53</v>
      </c>
      <c r="B63" s="1">
        <f t="shared" si="4"/>
        <v>4.8770575499285984E-2</v>
      </c>
      <c r="C63" s="1">
        <f t="shared" si="5"/>
        <v>-1.6568927965620155</v>
      </c>
      <c r="D63" s="3">
        <v>0.6</v>
      </c>
      <c r="E63" s="1">
        <v>100</v>
      </c>
      <c r="F63" s="4">
        <v>0.5</v>
      </c>
      <c r="G63" s="1">
        <f t="shared" ca="1" si="8"/>
        <v>-0.92172390491181644</v>
      </c>
      <c r="H63" s="1">
        <f t="shared" ca="1" si="6"/>
        <v>1.231911200083871</v>
      </c>
      <c r="I63" s="2">
        <f t="shared" ca="1" si="7"/>
        <v>0</v>
      </c>
    </row>
    <row r="64" spans="1:9">
      <c r="A64" s="1">
        <v>54</v>
      </c>
      <c r="B64" s="1">
        <f t="shared" si="4"/>
        <v>4.8770575499285984E-2</v>
      </c>
      <c r="C64" s="1">
        <f t="shared" si="5"/>
        <v>-1.6568927965620155</v>
      </c>
      <c r="D64" s="3">
        <v>0.6</v>
      </c>
      <c r="E64" s="1">
        <v>100</v>
      </c>
      <c r="F64" s="4">
        <v>0.5</v>
      </c>
      <c r="G64" s="1">
        <f t="shared" ca="1" si="8"/>
        <v>-0.92172390491181644</v>
      </c>
      <c r="H64" s="1">
        <f t="shared" ca="1" si="6"/>
        <v>0.98387296393303048</v>
      </c>
      <c r="I64" s="2">
        <f t="shared" ca="1" si="7"/>
        <v>0</v>
      </c>
    </row>
    <row r="65" spans="1:9">
      <c r="A65" s="1">
        <v>55</v>
      </c>
      <c r="B65" s="1">
        <f t="shared" si="4"/>
        <v>4.8770575499285984E-2</v>
      </c>
      <c r="C65" s="1">
        <f t="shared" si="5"/>
        <v>-1.6568927965620155</v>
      </c>
      <c r="D65" s="3">
        <v>0.6</v>
      </c>
      <c r="E65" s="1">
        <v>100</v>
      </c>
      <c r="F65" s="4">
        <v>0.5</v>
      </c>
      <c r="G65" s="1">
        <f t="shared" ca="1" si="8"/>
        <v>-0.92172390491181644</v>
      </c>
      <c r="H65" s="1">
        <f t="shared" ca="1" si="6"/>
        <v>-1.0246409386151536</v>
      </c>
      <c r="I65" s="2">
        <f t="shared" ca="1" si="7"/>
        <v>0</v>
      </c>
    </row>
    <row r="66" spans="1:9">
      <c r="A66" s="1">
        <v>56</v>
      </c>
      <c r="B66" s="1">
        <f t="shared" si="4"/>
        <v>4.8770575499285984E-2</v>
      </c>
      <c r="C66" s="1">
        <f t="shared" si="5"/>
        <v>-1.6568927965620155</v>
      </c>
      <c r="D66" s="3">
        <v>0.6</v>
      </c>
      <c r="E66" s="1">
        <v>100</v>
      </c>
      <c r="F66" s="4">
        <v>0.5</v>
      </c>
      <c r="G66" s="1">
        <f t="shared" ca="1" si="8"/>
        <v>-0.92172390491181644</v>
      </c>
      <c r="H66" s="1">
        <f t="shared" ca="1" si="6"/>
        <v>0.49900014271061999</v>
      </c>
      <c r="I66" s="2">
        <f t="shared" ca="1" si="7"/>
        <v>0</v>
      </c>
    </row>
    <row r="67" spans="1:9">
      <c r="A67" s="1">
        <v>57</v>
      </c>
      <c r="B67" s="1">
        <f t="shared" si="4"/>
        <v>4.8770575499285984E-2</v>
      </c>
      <c r="C67" s="1">
        <f t="shared" si="5"/>
        <v>-1.6568927965620155</v>
      </c>
      <c r="D67" s="3">
        <v>0.6</v>
      </c>
      <c r="E67" s="1">
        <v>100</v>
      </c>
      <c r="F67" s="4">
        <v>0.5</v>
      </c>
      <c r="G67" s="1">
        <f t="shared" ca="1" si="8"/>
        <v>-0.92172390491181644</v>
      </c>
      <c r="H67" s="1">
        <f t="shared" ca="1" si="6"/>
        <v>-1.3059374038732914</v>
      </c>
      <c r="I67" s="2">
        <f t="shared" ca="1" si="7"/>
        <v>0</v>
      </c>
    </row>
    <row r="68" spans="1:9">
      <c r="A68" s="1">
        <v>58</v>
      </c>
      <c r="B68" s="1">
        <f t="shared" si="4"/>
        <v>4.8770575499285984E-2</v>
      </c>
      <c r="C68" s="1">
        <f t="shared" si="5"/>
        <v>-1.6568927965620155</v>
      </c>
      <c r="D68" s="3">
        <v>0.6</v>
      </c>
      <c r="E68" s="1">
        <v>100</v>
      </c>
      <c r="F68" s="4">
        <v>0.5</v>
      </c>
      <c r="G68" s="1">
        <f t="shared" ca="1" si="8"/>
        <v>-0.92172390491181644</v>
      </c>
      <c r="H68" s="1">
        <f t="shared" ca="1" si="6"/>
        <v>1.8375578263002761</v>
      </c>
      <c r="I68" s="2">
        <f t="shared" ca="1" si="7"/>
        <v>0</v>
      </c>
    </row>
    <row r="69" spans="1:9">
      <c r="A69" s="1">
        <v>59</v>
      </c>
      <c r="B69" s="1">
        <f t="shared" si="4"/>
        <v>4.8770575499285984E-2</v>
      </c>
      <c r="C69" s="1">
        <f t="shared" si="5"/>
        <v>-1.6568927965620155</v>
      </c>
      <c r="D69" s="3">
        <v>0.6</v>
      </c>
      <c r="E69" s="1">
        <v>100</v>
      </c>
      <c r="F69" s="4">
        <v>0.5</v>
      </c>
      <c r="G69" s="1">
        <f t="shared" ca="1" si="8"/>
        <v>-0.92172390491181644</v>
      </c>
      <c r="H69" s="1">
        <f t="shared" ca="1" si="6"/>
        <v>-0.83001794402626183</v>
      </c>
      <c r="I69" s="2">
        <f t="shared" ca="1" si="7"/>
        <v>0</v>
      </c>
    </row>
    <row r="70" spans="1:9">
      <c r="A70" s="1">
        <v>60</v>
      </c>
      <c r="B70" s="1">
        <f t="shared" si="4"/>
        <v>4.8770575499285984E-2</v>
      </c>
      <c r="C70" s="1">
        <f t="shared" si="5"/>
        <v>-1.6568927965620155</v>
      </c>
      <c r="D70" s="3">
        <v>0.6</v>
      </c>
      <c r="E70" s="1">
        <v>100</v>
      </c>
      <c r="F70" s="4">
        <v>0.5</v>
      </c>
      <c r="G70" s="1">
        <f t="shared" ca="1" si="8"/>
        <v>-0.92172390491181644</v>
      </c>
      <c r="H70" s="1">
        <f t="shared" ca="1" si="6"/>
        <v>2.1305617508889541E-2</v>
      </c>
      <c r="I70" s="2">
        <f t="shared" ca="1" si="7"/>
        <v>0</v>
      </c>
    </row>
    <row r="71" spans="1:9">
      <c r="A71" s="1">
        <v>61</v>
      </c>
      <c r="B71" s="1">
        <f t="shared" si="4"/>
        <v>4.8770575499285984E-2</v>
      </c>
      <c r="C71" s="1">
        <f t="shared" si="5"/>
        <v>-1.6568927965620155</v>
      </c>
      <c r="D71" s="3">
        <v>0.6</v>
      </c>
      <c r="E71" s="1">
        <v>100</v>
      </c>
      <c r="F71" s="4">
        <v>0.5</v>
      </c>
      <c r="G71" s="1">
        <f t="shared" ca="1" si="8"/>
        <v>-0.92172390491181644</v>
      </c>
      <c r="H71" s="1">
        <f t="shared" ca="1" si="6"/>
        <v>-0.89541610439412667</v>
      </c>
      <c r="I71" s="2">
        <f t="shared" ca="1" si="7"/>
        <v>0</v>
      </c>
    </row>
    <row r="72" spans="1:9">
      <c r="A72" s="1">
        <v>62</v>
      </c>
      <c r="B72" s="1">
        <f t="shared" si="4"/>
        <v>4.8770575499285984E-2</v>
      </c>
      <c r="C72" s="1">
        <f t="shared" si="5"/>
        <v>-1.6568927965620155</v>
      </c>
      <c r="D72" s="3">
        <v>0.6</v>
      </c>
      <c r="E72" s="1">
        <v>100</v>
      </c>
      <c r="F72" s="4">
        <v>0.5</v>
      </c>
      <c r="G72" s="1">
        <f t="shared" ca="1" si="8"/>
        <v>-0.92172390491181644</v>
      </c>
      <c r="H72" s="1">
        <f t="shared" ca="1" si="6"/>
        <v>-0.31611949932827521</v>
      </c>
      <c r="I72" s="2">
        <f t="shared" ca="1" si="7"/>
        <v>0</v>
      </c>
    </row>
    <row r="73" spans="1:9">
      <c r="A73" s="1">
        <v>63</v>
      </c>
      <c r="B73" s="1">
        <f t="shared" si="4"/>
        <v>4.8770575499285984E-2</v>
      </c>
      <c r="C73" s="1">
        <f t="shared" si="5"/>
        <v>-1.6568927965620155</v>
      </c>
      <c r="D73" s="3">
        <v>0.6</v>
      </c>
      <c r="E73" s="1">
        <v>100</v>
      </c>
      <c r="F73" s="4">
        <v>0.5</v>
      </c>
      <c r="G73" s="1">
        <f t="shared" ca="1" si="8"/>
        <v>-0.92172390491181644</v>
      </c>
      <c r="H73" s="1">
        <f t="shared" ca="1" si="6"/>
        <v>-0.91182864750822856</v>
      </c>
      <c r="I73" s="2">
        <f t="shared" ca="1" si="7"/>
        <v>0</v>
      </c>
    </row>
    <row r="74" spans="1:9">
      <c r="A74" s="1">
        <v>64</v>
      </c>
      <c r="B74" s="1">
        <f t="shared" si="4"/>
        <v>4.8770575499285984E-2</v>
      </c>
      <c r="C74" s="1">
        <f t="shared" si="5"/>
        <v>-1.6568927965620155</v>
      </c>
      <c r="D74" s="3">
        <v>0.6</v>
      </c>
      <c r="E74" s="1">
        <v>100</v>
      </c>
      <c r="F74" s="4">
        <v>0.5</v>
      </c>
      <c r="G74" s="1">
        <f t="shared" ca="1" si="8"/>
        <v>-0.92172390491181644</v>
      </c>
      <c r="H74" s="1">
        <f t="shared" ca="1" si="6"/>
        <v>-0.50761457448079217</v>
      </c>
      <c r="I74" s="2">
        <f t="shared" ca="1" si="7"/>
        <v>0</v>
      </c>
    </row>
    <row r="75" spans="1:9">
      <c r="A75" s="1">
        <v>65</v>
      </c>
      <c r="B75" s="1">
        <f t="shared" si="4"/>
        <v>4.8770575499285984E-2</v>
      </c>
      <c r="C75" s="1">
        <f t="shared" si="5"/>
        <v>-1.6568927965620155</v>
      </c>
      <c r="D75" s="3">
        <v>0.6</v>
      </c>
      <c r="E75" s="1">
        <v>100</v>
      </c>
      <c r="F75" s="4">
        <v>0.5</v>
      </c>
      <c r="G75" s="1">
        <f t="shared" ca="1" si="8"/>
        <v>-0.92172390491181644</v>
      </c>
      <c r="H75" s="1">
        <f t="shared" ca="1" si="6"/>
        <v>-1.6009845659399091</v>
      </c>
      <c r="I75" s="2">
        <f t="shared" ca="1" si="7"/>
        <v>0</v>
      </c>
    </row>
    <row r="76" spans="1:9">
      <c r="A76" s="1">
        <v>66</v>
      </c>
      <c r="B76" s="1">
        <f t="shared" ref="B76:B110" si="9">1-EXP(-5%)</f>
        <v>4.8770575499285984E-2</v>
      </c>
      <c r="C76" s="1">
        <f t="shared" ref="C76:C110" si="10">NORMSINV(B76)</f>
        <v>-1.6568927965620155</v>
      </c>
      <c r="D76" s="3">
        <v>0.6</v>
      </c>
      <c r="E76" s="1">
        <v>100</v>
      </c>
      <c r="F76" s="4">
        <v>0.5</v>
      </c>
      <c r="G76" s="1">
        <f t="shared" ca="1" si="8"/>
        <v>-0.92172390491181644</v>
      </c>
      <c r="H76" s="1">
        <f t="shared" ref="H76:H110" ca="1" si="11">F76*G76+SQRT(1-F76^2)*NORMSINV(RAND())</f>
        <v>1.6270919354318596</v>
      </c>
      <c r="I76" s="2">
        <f t="shared" ref="I76:I110" ca="1" si="12">IF(H76&lt;C76,1,0)*D76*E76</f>
        <v>0</v>
      </c>
    </row>
    <row r="77" spans="1:9">
      <c r="A77" s="1">
        <v>67</v>
      </c>
      <c r="B77" s="1">
        <f t="shared" si="9"/>
        <v>4.8770575499285984E-2</v>
      </c>
      <c r="C77" s="1">
        <f t="shared" si="10"/>
        <v>-1.6568927965620155</v>
      </c>
      <c r="D77" s="3">
        <v>0.6</v>
      </c>
      <c r="E77" s="1">
        <v>100</v>
      </c>
      <c r="F77" s="4">
        <v>0.5</v>
      </c>
      <c r="G77" s="1">
        <f t="shared" ref="G77:G110" ca="1" si="13">G76</f>
        <v>-0.92172390491181644</v>
      </c>
      <c r="H77" s="1">
        <f t="shared" ca="1" si="11"/>
        <v>-0.22202514531290635</v>
      </c>
      <c r="I77" s="2">
        <f t="shared" ca="1" si="12"/>
        <v>0</v>
      </c>
    </row>
    <row r="78" spans="1:9">
      <c r="A78" s="1">
        <v>68</v>
      </c>
      <c r="B78" s="1">
        <f t="shared" si="9"/>
        <v>4.8770575499285984E-2</v>
      </c>
      <c r="C78" s="1">
        <f t="shared" si="10"/>
        <v>-1.6568927965620155</v>
      </c>
      <c r="D78" s="3">
        <v>0.6</v>
      </c>
      <c r="E78" s="1">
        <v>100</v>
      </c>
      <c r="F78" s="4">
        <v>0.5</v>
      </c>
      <c r="G78" s="1">
        <f t="shared" ca="1" si="13"/>
        <v>-0.92172390491181644</v>
      </c>
      <c r="H78" s="1">
        <f t="shared" ca="1" si="11"/>
        <v>-0.56980568953315591</v>
      </c>
      <c r="I78" s="2">
        <f t="shared" ca="1" si="12"/>
        <v>0</v>
      </c>
    </row>
    <row r="79" spans="1:9">
      <c r="A79" s="1">
        <v>69</v>
      </c>
      <c r="B79" s="1">
        <f t="shared" si="9"/>
        <v>4.8770575499285984E-2</v>
      </c>
      <c r="C79" s="1">
        <f t="shared" si="10"/>
        <v>-1.6568927965620155</v>
      </c>
      <c r="D79" s="3">
        <v>0.6</v>
      </c>
      <c r="E79" s="1">
        <v>100</v>
      </c>
      <c r="F79" s="4">
        <v>0.5</v>
      </c>
      <c r="G79" s="1">
        <f t="shared" ca="1" si="13"/>
        <v>-0.92172390491181644</v>
      </c>
      <c r="H79" s="1">
        <f t="shared" ca="1" si="11"/>
        <v>-0.92931074721149032</v>
      </c>
      <c r="I79" s="2">
        <f t="shared" ca="1" si="12"/>
        <v>0</v>
      </c>
    </row>
    <row r="80" spans="1:9">
      <c r="A80" s="1">
        <v>70</v>
      </c>
      <c r="B80" s="1">
        <f t="shared" si="9"/>
        <v>4.8770575499285984E-2</v>
      </c>
      <c r="C80" s="1">
        <f t="shared" si="10"/>
        <v>-1.6568927965620155</v>
      </c>
      <c r="D80" s="3">
        <v>0.6</v>
      </c>
      <c r="E80" s="1">
        <v>100</v>
      </c>
      <c r="F80" s="4">
        <v>0.5</v>
      </c>
      <c r="G80" s="1">
        <f t="shared" ca="1" si="13"/>
        <v>-0.92172390491181644</v>
      </c>
      <c r="H80" s="1">
        <f t="shared" ca="1" si="11"/>
        <v>8.5456611441842689E-2</v>
      </c>
      <c r="I80" s="2">
        <f t="shared" ca="1" si="12"/>
        <v>0</v>
      </c>
    </row>
    <row r="81" spans="1:9">
      <c r="A81" s="1">
        <v>71</v>
      </c>
      <c r="B81" s="1">
        <f t="shared" si="9"/>
        <v>4.8770575499285984E-2</v>
      </c>
      <c r="C81" s="1">
        <f t="shared" si="10"/>
        <v>-1.6568927965620155</v>
      </c>
      <c r="D81" s="3">
        <v>0.6</v>
      </c>
      <c r="E81" s="1">
        <v>100</v>
      </c>
      <c r="F81" s="4">
        <v>0.5</v>
      </c>
      <c r="G81" s="1">
        <f t="shared" ca="1" si="13"/>
        <v>-0.92172390491181644</v>
      </c>
      <c r="H81" s="1">
        <f t="shared" ca="1" si="11"/>
        <v>-1.7045633032290564</v>
      </c>
      <c r="I81" s="2">
        <f t="shared" ca="1" si="12"/>
        <v>60</v>
      </c>
    </row>
    <row r="82" spans="1:9">
      <c r="A82" s="1">
        <v>72</v>
      </c>
      <c r="B82" s="1">
        <f t="shared" si="9"/>
        <v>4.8770575499285984E-2</v>
      </c>
      <c r="C82" s="1">
        <f t="shared" si="10"/>
        <v>-1.6568927965620155</v>
      </c>
      <c r="D82" s="3">
        <v>0.6</v>
      </c>
      <c r="E82" s="1">
        <v>100</v>
      </c>
      <c r="F82" s="4">
        <v>0.5</v>
      </c>
      <c r="G82" s="1">
        <f t="shared" ca="1" si="13"/>
        <v>-0.92172390491181644</v>
      </c>
      <c r="H82" s="1">
        <f t="shared" ca="1" si="11"/>
        <v>-2.3638625835155747E-2</v>
      </c>
      <c r="I82" s="2">
        <f t="shared" ca="1" si="12"/>
        <v>0</v>
      </c>
    </row>
    <row r="83" spans="1:9">
      <c r="A83" s="1">
        <v>73</v>
      </c>
      <c r="B83" s="1">
        <f t="shared" si="9"/>
        <v>4.8770575499285984E-2</v>
      </c>
      <c r="C83" s="1">
        <f t="shared" si="10"/>
        <v>-1.6568927965620155</v>
      </c>
      <c r="D83" s="3">
        <v>0.6</v>
      </c>
      <c r="E83" s="1">
        <v>100</v>
      </c>
      <c r="F83" s="4">
        <v>0.5</v>
      </c>
      <c r="G83" s="1">
        <f t="shared" ca="1" si="13"/>
        <v>-0.92172390491181644</v>
      </c>
      <c r="H83" s="1">
        <f t="shared" ca="1" si="11"/>
        <v>-1.1676779869484584</v>
      </c>
      <c r="I83" s="2">
        <f t="shared" ca="1" si="12"/>
        <v>0</v>
      </c>
    </row>
    <row r="84" spans="1:9">
      <c r="A84" s="1">
        <v>74</v>
      </c>
      <c r="B84" s="1">
        <f t="shared" si="9"/>
        <v>4.8770575499285984E-2</v>
      </c>
      <c r="C84" s="1">
        <f t="shared" si="10"/>
        <v>-1.6568927965620155</v>
      </c>
      <c r="D84" s="3">
        <v>0.6</v>
      </c>
      <c r="E84" s="1">
        <v>100</v>
      </c>
      <c r="F84" s="4">
        <v>0.5</v>
      </c>
      <c r="G84" s="1">
        <f t="shared" ca="1" si="13"/>
        <v>-0.92172390491181644</v>
      </c>
      <c r="H84" s="1">
        <f t="shared" ca="1" si="11"/>
        <v>1.3698940417827159</v>
      </c>
      <c r="I84" s="2">
        <f t="shared" ca="1" si="12"/>
        <v>0</v>
      </c>
    </row>
    <row r="85" spans="1:9">
      <c r="A85" s="1">
        <v>75</v>
      </c>
      <c r="B85" s="1">
        <f t="shared" si="9"/>
        <v>4.8770575499285984E-2</v>
      </c>
      <c r="C85" s="1">
        <f t="shared" si="10"/>
        <v>-1.6568927965620155</v>
      </c>
      <c r="D85" s="3">
        <v>0.6</v>
      </c>
      <c r="E85" s="1">
        <v>100</v>
      </c>
      <c r="F85" s="4">
        <v>0.5</v>
      </c>
      <c r="G85" s="1">
        <f t="shared" ca="1" si="13"/>
        <v>-0.92172390491181644</v>
      </c>
      <c r="H85" s="1">
        <f t="shared" ca="1" si="11"/>
        <v>-1.4554361867012453</v>
      </c>
      <c r="I85" s="2">
        <f t="shared" ca="1" si="12"/>
        <v>0</v>
      </c>
    </row>
    <row r="86" spans="1:9">
      <c r="A86" s="1">
        <v>76</v>
      </c>
      <c r="B86" s="1">
        <f t="shared" si="9"/>
        <v>4.8770575499285984E-2</v>
      </c>
      <c r="C86" s="1">
        <f t="shared" si="10"/>
        <v>-1.6568927965620155</v>
      </c>
      <c r="D86" s="3">
        <v>0.6</v>
      </c>
      <c r="E86" s="1">
        <v>100</v>
      </c>
      <c r="F86" s="4">
        <v>0.5</v>
      </c>
      <c r="G86" s="1">
        <f t="shared" ca="1" si="13"/>
        <v>-0.92172390491181644</v>
      </c>
      <c r="H86" s="1">
        <f t="shared" ca="1" si="11"/>
        <v>0.49738574567942695</v>
      </c>
      <c r="I86" s="2">
        <f t="shared" ca="1" si="12"/>
        <v>0</v>
      </c>
    </row>
    <row r="87" spans="1:9">
      <c r="A87" s="1">
        <v>77</v>
      </c>
      <c r="B87" s="1">
        <f t="shared" si="9"/>
        <v>4.8770575499285984E-2</v>
      </c>
      <c r="C87" s="1">
        <f t="shared" si="10"/>
        <v>-1.6568927965620155</v>
      </c>
      <c r="D87" s="3">
        <v>0.6</v>
      </c>
      <c r="E87" s="1">
        <v>100</v>
      </c>
      <c r="F87" s="4">
        <v>0.5</v>
      </c>
      <c r="G87" s="1">
        <f t="shared" ca="1" si="13"/>
        <v>-0.92172390491181644</v>
      </c>
      <c r="H87" s="1">
        <f t="shared" ca="1" si="11"/>
        <v>0.26235550524846474</v>
      </c>
      <c r="I87" s="2">
        <f t="shared" ca="1" si="12"/>
        <v>0</v>
      </c>
    </row>
    <row r="88" spans="1:9">
      <c r="A88" s="1">
        <v>78</v>
      </c>
      <c r="B88" s="1">
        <f t="shared" si="9"/>
        <v>4.8770575499285984E-2</v>
      </c>
      <c r="C88" s="1">
        <f t="shared" si="10"/>
        <v>-1.6568927965620155</v>
      </c>
      <c r="D88" s="3">
        <v>0.6</v>
      </c>
      <c r="E88" s="1">
        <v>100</v>
      </c>
      <c r="F88" s="4">
        <v>0.5</v>
      </c>
      <c r="G88" s="1">
        <f t="shared" ca="1" si="13"/>
        <v>-0.92172390491181644</v>
      </c>
      <c r="H88" s="1">
        <f t="shared" ca="1" si="11"/>
        <v>-1.1799453571611416</v>
      </c>
      <c r="I88" s="2">
        <f t="shared" ca="1" si="12"/>
        <v>0</v>
      </c>
    </row>
    <row r="89" spans="1:9">
      <c r="A89" s="1">
        <v>79</v>
      </c>
      <c r="B89" s="1">
        <f t="shared" si="9"/>
        <v>4.8770575499285984E-2</v>
      </c>
      <c r="C89" s="1">
        <f t="shared" si="10"/>
        <v>-1.6568927965620155</v>
      </c>
      <c r="D89" s="3">
        <v>0.6</v>
      </c>
      <c r="E89" s="1">
        <v>100</v>
      </c>
      <c r="F89" s="4">
        <v>0.5</v>
      </c>
      <c r="G89" s="1">
        <f t="shared" ca="1" si="13"/>
        <v>-0.92172390491181644</v>
      </c>
      <c r="H89" s="1">
        <f t="shared" ca="1" si="11"/>
        <v>-2.08826364512645</v>
      </c>
      <c r="I89" s="2">
        <f t="shared" ca="1" si="12"/>
        <v>60</v>
      </c>
    </row>
    <row r="90" spans="1:9">
      <c r="A90" s="1">
        <v>80</v>
      </c>
      <c r="B90" s="1">
        <f t="shared" si="9"/>
        <v>4.8770575499285984E-2</v>
      </c>
      <c r="C90" s="1">
        <f t="shared" si="10"/>
        <v>-1.6568927965620155</v>
      </c>
      <c r="D90" s="3">
        <v>0.6</v>
      </c>
      <c r="E90" s="1">
        <v>100</v>
      </c>
      <c r="F90" s="4">
        <v>0.5</v>
      </c>
      <c r="G90" s="1">
        <f t="shared" ca="1" si="13"/>
        <v>-0.92172390491181644</v>
      </c>
      <c r="H90" s="1">
        <f t="shared" ca="1" si="11"/>
        <v>-0.55563193173210368</v>
      </c>
      <c r="I90" s="2">
        <f t="shared" ca="1" si="12"/>
        <v>0</v>
      </c>
    </row>
    <row r="91" spans="1:9">
      <c r="A91" s="1">
        <v>81</v>
      </c>
      <c r="B91" s="1">
        <f t="shared" si="9"/>
        <v>4.8770575499285984E-2</v>
      </c>
      <c r="C91" s="1">
        <f t="shared" si="10"/>
        <v>-1.6568927965620155</v>
      </c>
      <c r="D91" s="3">
        <v>0.6</v>
      </c>
      <c r="E91" s="1">
        <v>100</v>
      </c>
      <c r="F91" s="4">
        <v>0.5</v>
      </c>
      <c r="G91" s="1">
        <f t="shared" ca="1" si="13"/>
        <v>-0.92172390491181644</v>
      </c>
      <c r="H91" s="1">
        <f t="shared" ca="1" si="11"/>
        <v>-0.67159962197103573</v>
      </c>
      <c r="I91" s="2">
        <f t="shared" ca="1" si="12"/>
        <v>0</v>
      </c>
    </row>
    <row r="92" spans="1:9">
      <c r="A92" s="1">
        <v>82</v>
      </c>
      <c r="B92" s="1">
        <f t="shared" si="9"/>
        <v>4.8770575499285984E-2</v>
      </c>
      <c r="C92" s="1">
        <f t="shared" si="10"/>
        <v>-1.6568927965620155</v>
      </c>
      <c r="D92" s="3">
        <v>0.6</v>
      </c>
      <c r="E92" s="1">
        <v>100</v>
      </c>
      <c r="F92" s="4">
        <v>0.5</v>
      </c>
      <c r="G92" s="1">
        <f t="shared" ca="1" si="13"/>
        <v>-0.92172390491181644</v>
      </c>
      <c r="H92" s="1">
        <f t="shared" ca="1" si="11"/>
        <v>9.2284782134129495E-2</v>
      </c>
      <c r="I92" s="2">
        <f t="shared" ca="1" si="12"/>
        <v>0</v>
      </c>
    </row>
    <row r="93" spans="1:9">
      <c r="A93" s="1">
        <v>83</v>
      </c>
      <c r="B93" s="1">
        <f t="shared" si="9"/>
        <v>4.8770575499285984E-2</v>
      </c>
      <c r="C93" s="1">
        <f t="shared" si="10"/>
        <v>-1.6568927965620155</v>
      </c>
      <c r="D93" s="3">
        <v>0.6</v>
      </c>
      <c r="E93" s="1">
        <v>100</v>
      </c>
      <c r="F93" s="4">
        <v>0.5</v>
      </c>
      <c r="G93" s="1">
        <f t="shared" ca="1" si="13"/>
        <v>-0.92172390491181644</v>
      </c>
      <c r="H93" s="1">
        <f t="shared" ca="1" si="11"/>
        <v>-0.21059772613818717</v>
      </c>
      <c r="I93" s="2">
        <f t="shared" ca="1" si="12"/>
        <v>0</v>
      </c>
    </row>
    <row r="94" spans="1:9">
      <c r="A94" s="1">
        <v>84</v>
      </c>
      <c r="B94" s="1">
        <f t="shared" si="9"/>
        <v>4.8770575499285984E-2</v>
      </c>
      <c r="C94" s="1">
        <f t="shared" si="10"/>
        <v>-1.6568927965620155</v>
      </c>
      <c r="D94" s="3">
        <v>0.6</v>
      </c>
      <c r="E94" s="1">
        <v>100</v>
      </c>
      <c r="F94" s="4">
        <v>0.5</v>
      </c>
      <c r="G94" s="1">
        <f t="shared" ca="1" si="13"/>
        <v>-0.92172390491181644</v>
      </c>
      <c r="H94" s="1">
        <f t="shared" ca="1" si="11"/>
        <v>-0.15056155497860735</v>
      </c>
      <c r="I94" s="2">
        <f t="shared" ca="1" si="12"/>
        <v>0</v>
      </c>
    </row>
    <row r="95" spans="1:9">
      <c r="A95" s="1">
        <v>85</v>
      </c>
      <c r="B95" s="1">
        <f t="shared" si="9"/>
        <v>4.8770575499285984E-2</v>
      </c>
      <c r="C95" s="1">
        <f t="shared" si="10"/>
        <v>-1.6568927965620155</v>
      </c>
      <c r="D95" s="3">
        <v>0.6</v>
      </c>
      <c r="E95" s="1">
        <v>100</v>
      </c>
      <c r="F95" s="4">
        <v>0.5</v>
      </c>
      <c r="G95" s="1">
        <f t="shared" ca="1" si="13"/>
        <v>-0.92172390491181644</v>
      </c>
      <c r="H95" s="1">
        <f t="shared" ca="1" si="11"/>
        <v>-5.6789858256729442E-2</v>
      </c>
      <c r="I95" s="2">
        <f t="shared" ca="1" si="12"/>
        <v>0</v>
      </c>
    </row>
    <row r="96" spans="1:9">
      <c r="A96" s="1">
        <v>86</v>
      </c>
      <c r="B96" s="1">
        <f t="shared" si="9"/>
        <v>4.8770575499285984E-2</v>
      </c>
      <c r="C96" s="1">
        <f t="shared" si="10"/>
        <v>-1.6568927965620155</v>
      </c>
      <c r="D96" s="3">
        <v>0.6</v>
      </c>
      <c r="E96" s="1">
        <v>100</v>
      </c>
      <c r="F96" s="4">
        <v>0.5</v>
      </c>
      <c r="G96" s="1">
        <f t="shared" ca="1" si="13"/>
        <v>-0.92172390491181644</v>
      </c>
      <c r="H96" s="1">
        <f t="shared" ca="1" si="11"/>
        <v>0.45740635795161422</v>
      </c>
      <c r="I96" s="2">
        <f t="shared" ca="1" si="12"/>
        <v>0</v>
      </c>
    </row>
    <row r="97" spans="1:9">
      <c r="A97" s="1">
        <v>87</v>
      </c>
      <c r="B97" s="1">
        <f t="shared" si="9"/>
        <v>4.8770575499285984E-2</v>
      </c>
      <c r="C97" s="1">
        <f t="shared" si="10"/>
        <v>-1.6568927965620155</v>
      </c>
      <c r="D97" s="3">
        <v>0.6</v>
      </c>
      <c r="E97" s="1">
        <v>100</v>
      </c>
      <c r="F97" s="4">
        <v>0.5</v>
      </c>
      <c r="G97" s="1">
        <f t="shared" ca="1" si="13"/>
        <v>-0.92172390491181644</v>
      </c>
      <c r="H97" s="1">
        <f t="shared" ca="1" si="11"/>
        <v>1.3923437754074812</v>
      </c>
      <c r="I97" s="2">
        <f t="shared" ca="1" si="12"/>
        <v>0</v>
      </c>
    </row>
    <row r="98" spans="1:9">
      <c r="A98" s="1">
        <v>88</v>
      </c>
      <c r="B98" s="1">
        <f t="shared" si="9"/>
        <v>4.8770575499285984E-2</v>
      </c>
      <c r="C98" s="1">
        <f t="shared" si="10"/>
        <v>-1.6568927965620155</v>
      </c>
      <c r="D98" s="3">
        <v>0.6</v>
      </c>
      <c r="E98" s="1">
        <v>100</v>
      </c>
      <c r="F98" s="4">
        <v>0.5</v>
      </c>
      <c r="G98" s="1">
        <f t="shared" ca="1" si="13"/>
        <v>-0.92172390491181644</v>
      </c>
      <c r="H98" s="1">
        <f t="shared" ca="1" si="11"/>
        <v>-0.52134520422589692</v>
      </c>
      <c r="I98" s="2">
        <f t="shared" ca="1" si="12"/>
        <v>0</v>
      </c>
    </row>
    <row r="99" spans="1:9">
      <c r="A99" s="1">
        <v>89</v>
      </c>
      <c r="B99" s="1">
        <f t="shared" si="9"/>
        <v>4.8770575499285984E-2</v>
      </c>
      <c r="C99" s="1">
        <f t="shared" si="10"/>
        <v>-1.6568927965620155</v>
      </c>
      <c r="D99" s="3">
        <v>0.6</v>
      </c>
      <c r="E99" s="1">
        <v>100</v>
      </c>
      <c r="F99" s="4">
        <v>0.5</v>
      </c>
      <c r="G99" s="1">
        <f t="shared" ca="1" si="13"/>
        <v>-0.92172390491181644</v>
      </c>
      <c r="H99" s="1">
        <f t="shared" ca="1" si="11"/>
        <v>0.52574646607608655</v>
      </c>
      <c r="I99" s="2">
        <f t="shared" ca="1" si="12"/>
        <v>0</v>
      </c>
    </row>
    <row r="100" spans="1:9">
      <c r="A100" s="1">
        <v>90</v>
      </c>
      <c r="B100" s="1">
        <f t="shared" si="9"/>
        <v>4.8770575499285984E-2</v>
      </c>
      <c r="C100" s="1">
        <f t="shared" si="10"/>
        <v>-1.6568927965620155</v>
      </c>
      <c r="D100" s="3">
        <v>0.6</v>
      </c>
      <c r="E100" s="1">
        <v>100</v>
      </c>
      <c r="F100" s="4">
        <v>0.5</v>
      </c>
      <c r="G100" s="1">
        <f t="shared" ca="1" si="13"/>
        <v>-0.92172390491181644</v>
      </c>
      <c r="H100" s="1">
        <f t="shared" ca="1" si="11"/>
        <v>-1.1746101401133</v>
      </c>
      <c r="I100" s="2">
        <f t="shared" ca="1" si="12"/>
        <v>0</v>
      </c>
    </row>
    <row r="101" spans="1:9">
      <c r="A101" s="1">
        <v>91</v>
      </c>
      <c r="B101" s="1">
        <f t="shared" si="9"/>
        <v>4.8770575499285984E-2</v>
      </c>
      <c r="C101" s="1">
        <f t="shared" si="10"/>
        <v>-1.6568927965620155</v>
      </c>
      <c r="D101" s="3">
        <v>0.6</v>
      </c>
      <c r="E101" s="1">
        <v>100</v>
      </c>
      <c r="F101" s="4">
        <v>0.5</v>
      </c>
      <c r="G101" s="1">
        <f t="shared" ca="1" si="13"/>
        <v>-0.92172390491181644</v>
      </c>
      <c r="H101" s="1">
        <f t="shared" ca="1" si="11"/>
        <v>-0.37733735498548532</v>
      </c>
      <c r="I101" s="2">
        <f t="shared" ca="1" si="12"/>
        <v>0</v>
      </c>
    </row>
    <row r="102" spans="1:9">
      <c r="A102" s="1">
        <v>92</v>
      </c>
      <c r="B102" s="1">
        <f t="shared" si="9"/>
        <v>4.8770575499285984E-2</v>
      </c>
      <c r="C102" s="1">
        <f t="shared" si="10"/>
        <v>-1.6568927965620155</v>
      </c>
      <c r="D102" s="3">
        <v>0.6</v>
      </c>
      <c r="E102" s="1">
        <v>100</v>
      </c>
      <c r="F102" s="4">
        <v>0.5</v>
      </c>
      <c r="G102" s="1">
        <f t="shared" ca="1" si="13"/>
        <v>-0.92172390491181644</v>
      </c>
      <c r="H102" s="1">
        <f t="shared" ca="1" si="11"/>
        <v>-1.0093176750776904</v>
      </c>
      <c r="I102" s="2">
        <f t="shared" ca="1" si="12"/>
        <v>0</v>
      </c>
    </row>
    <row r="103" spans="1:9">
      <c r="A103" s="1">
        <v>93</v>
      </c>
      <c r="B103" s="1">
        <f t="shared" si="9"/>
        <v>4.8770575499285984E-2</v>
      </c>
      <c r="C103" s="1">
        <f t="shared" si="10"/>
        <v>-1.6568927965620155</v>
      </c>
      <c r="D103" s="3">
        <v>0.6</v>
      </c>
      <c r="E103" s="1">
        <v>100</v>
      </c>
      <c r="F103" s="4">
        <v>0.5</v>
      </c>
      <c r="G103" s="1">
        <f t="shared" ca="1" si="13"/>
        <v>-0.92172390491181644</v>
      </c>
      <c r="H103" s="1">
        <f t="shared" ca="1" si="11"/>
        <v>-1.7990495584940129</v>
      </c>
      <c r="I103" s="2">
        <f t="shared" ca="1" si="12"/>
        <v>60</v>
      </c>
    </row>
    <row r="104" spans="1:9">
      <c r="A104" s="1">
        <v>94</v>
      </c>
      <c r="B104" s="1">
        <f t="shared" si="9"/>
        <v>4.8770575499285984E-2</v>
      </c>
      <c r="C104" s="1">
        <f t="shared" si="10"/>
        <v>-1.6568927965620155</v>
      </c>
      <c r="D104" s="3">
        <v>0.6</v>
      </c>
      <c r="E104" s="1">
        <v>100</v>
      </c>
      <c r="F104" s="4">
        <v>0.5</v>
      </c>
      <c r="G104" s="1">
        <f t="shared" ca="1" si="13"/>
        <v>-0.92172390491181644</v>
      </c>
      <c r="H104" s="1">
        <f t="shared" ca="1" si="11"/>
        <v>-0.44192661871126809</v>
      </c>
      <c r="I104" s="2">
        <f t="shared" ca="1" si="12"/>
        <v>0</v>
      </c>
    </row>
    <row r="105" spans="1:9">
      <c r="A105" s="1">
        <v>95</v>
      </c>
      <c r="B105" s="1">
        <f t="shared" si="9"/>
        <v>4.8770575499285984E-2</v>
      </c>
      <c r="C105" s="1">
        <f t="shared" si="10"/>
        <v>-1.6568927965620155</v>
      </c>
      <c r="D105" s="3">
        <v>0.6</v>
      </c>
      <c r="E105" s="1">
        <v>100</v>
      </c>
      <c r="F105" s="4">
        <v>0.5</v>
      </c>
      <c r="G105" s="1">
        <f t="shared" ca="1" si="13"/>
        <v>-0.92172390491181644</v>
      </c>
      <c r="H105" s="1">
        <f t="shared" ca="1" si="11"/>
        <v>-1.7580850810028585</v>
      </c>
      <c r="I105" s="2">
        <f t="shared" ca="1" si="12"/>
        <v>60</v>
      </c>
    </row>
    <row r="106" spans="1:9">
      <c r="A106" s="1">
        <v>96</v>
      </c>
      <c r="B106" s="1">
        <f t="shared" si="9"/>
        <v>4.8770575499285984E-2</v>
      </c>
      <c r="C106" s="1">
        <f t="shared" si="10"/>
        <v>-1.6568927965620155</v>
      </c>
      <c r="D106" s="3">
        <v>0.6</v>
      </c>
      <c r="E106" s="1">
        <v>100</v>
      </c>
      <c r="F106" s="4">
        <v>0.5</v>
      </c>
      <c r="G106" s="1">
        <f t="shared" ca="1" si="13"/>
        <v>-0.92172390491181644</v>
      </c>
      <c r="H106" s="1">
        <f t="shared" ca="1" si="11"/>
        <v>-1.6564836558620937</v>
      </c>
      <c r="I106" s="2">
        <f t="shared" ca="1" si="12"/>
        <v>0</v>
      </c>
    </row>
    <row r="107" spans="1:9">
      <c r="A107" s="1">
        <v>97</v>
      </c>
      <c r="B107" s="1">
        <f t="shared" si="9"/>
        <v>4.8770575499285984E-2</v>
      </c>
      <c r="C107" s="1">
        <f t="shared" si="10"/>
        <v>-1.6568927965620155</v>
      </c>
      <c r="D107" s="3">
        <v>0.6</v>
      </c>
      <c r="E107" s="1">
        <v>100</v>
      </c>
      <c r="F107" s="4">
        <v>0.5</v>
      </c>
      <c r="G107" s="1">
        <f t="shared" ca="1" si="13"/>
        <v>-0.92172390491181644</v>
      </c>
      <c r="H107" s="1">
        <f t="shared" ca="1" si="11"/>
        <v>0.37623712617668681</v>
      </c>
      <c r="I107" s="2">
        <f t="shared" ca="1" si="12"/>
        <v>0</v>
      </c>
    </row>
    <row r="108" spans="1:9">
      <c r="A108" s="1">
        <v>98</v>
      </c>
      <c r="B108" s="1">
        <f t="shared" si="9"/>
        <v>4.8770575499285984E-2</v>
      </c>
      <c r="C108" s="1">
        <f t="shared" si="10"/>
        <v>-1.6568927965620155</v>
      </c>
      <c r="D108" s="3">
        <v>0.6</v>
      </c>
      <c r="E108" s="1">
        <v>100</v>
      </c>
      <c r="F108" s="4">
        <v>0.5</v>
      </c>
      <c r="G108" s="1">
        <f t="shared" ca="1" si="13"/>
        <v>-0.92172390491181644</v>
      </c>
      <c r="H108" s="1">
        <f t="shared" ca="1" si="11"/>
        <v>0.63744939323374028</v>
      </c>
      <c r="I108" s="2">
        <f t="shared" ca="1" si="12"/>
        <v>0</v>
      </c>
    </row>
    <row r="109" spans="1:9">
      <c r="A109" s="1">
        <v>99</v>
      </c>
      <c r="B109" s="1">
        <f t="shared" si="9"/>
        <v>4.8770575499285984E-2</v>
      </c>
      <c r="C109" s="1">
        <f t="shared" si="10"/>
        <v>-1.6568927965620155</v>
      </c>
      <c r="D109" s="3">
        <v>0.6</v>
      </c>
      <c r="E109" s="1">
        <v>100</v>
      </c>
      <c r="F109" s="4">
        <v>0.5</v>
      </c>
      <c r="G109" s="1">
        <f t="shared" ca="1" si="13"/>
        <v>-0.92172390491181644</v>
      </c>
      <c r="H109" s="1">
        <f t="shared" ca="1" si="11"/>
        <v>-0.85756499587951474</v>
      </c>
      <c r="I109" s="2">
        <f t="shared" ca="1" si="12"/>
        <v>0</v>
      </c>
    </row>
    <row r="110" spans="1:9">
      <c r="A110" s="1">
        <v>100</v>
      </c>
      <c r="B110" s="1">
        <f t="shared" si="9"/>
        <v>4.8770575499285984E-2</v>
      </c>
      <c r="C110" s="1">
        <f t="shared" si="10"/>
        <v>-1.6568927965620155</v>
      </c>
      <c r="D110" s="3">
        <v>0.6</v>
      </c>
      <c r="E110" s="1">
        <v>100</v>
      </c>
      <c r="F110" s="4">
        <v>0.5</v>
      </c>
      <c r="G110" s="1">
        <f t="shared" ca="1" si="13"/>
        <v>-0.92172390491181644</v>
      </c>
      <c r="H110" s="1">
        <f t="shared" ca="1" si="11"/>
        <v>0.55037775595753746</v>
      </c>
      <c r="I110" s="2">
        <f t="shared" ca="1" si="12"/>
        <v>0</v>
      </c>
    </row>
  </sheetData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"/>
  <sheetViews>
    <sheetView workbookViewId="0"/>
  </sheetViews>
  <sheetFormatPr defaultRowHeight="1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workbookViewId="0"/>
  </sheetViews>
  <sheetFormatPr defaultRowHeight="1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Company>7city Learning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7city</dc:creator>
  <cp:lastModifiedBy>7city</cp:lastModifiedBy>
  <dcterms:created xsi:type="dcterms:W3CDTF">2016-06-17T19:36:55Z</dcterms:created>
  <dcterms:modified xsi:type="dcterms:W3CDTF">2016-06-17T19:52:33Z</dcterms:modified>
</cp:coreProperties>
</file>