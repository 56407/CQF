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855"/>
  </bookViews>
  <sheets>
    <sheet name="part a and b" sheetId="11" r:id="rId1"/>
    <sheet name="Problem sheet answer 2" sheetId="12" r:id="rId2"/>
    <sheet name="Problem sheet answer" sheetId="9" r:id="rId3"/>
  </sheets>
  <definedNames>
    <definedName name="solver_adj" localSheetId="0" hidden="1">'part a and b'!$H$20,'part a and b'!$I$20</definedName>
    <definedName name="solver_adj" localSheetId="2" hidden="1">'Problem sheet answer'!$H$17,'Problem sheet answer'!$I$17</definedName>
    <definedName name="solver_adj" localSheetId="1" hidden="1">'Problem sheet answer 2'!$H$20,'Problem sheet answer 2'!$I$20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0" hidden="1">2147483647</definedName>
    <definedName name="solver_itr" localSheetId="2" hidden="1">2147483647</definedName>
    <definedName name="solver_itr" localSheetId="1" hidden="1">2147483647</definedName>
    <definedName name="solver_lhs1" localSheetId="0" hidden="1">'part a and b'!$J$20</definedName>
    <definedName name="solver_lhs1" localSheetId="2" hidden="1">'Problem sheet answer'!$J$17</definedName>
    <definedName name="solver_lhs1" localSheetId="1" hidden="1">'Problem sheet answer 2'!$J$20</definedName>
    <definedName name="solver_lhs2" localSheetId="0" hidden="1">'part a and b'!$I$20</definedName>
    <definedName name="solver_lhs2" localSheetId="2" hidden="1">'Problem sheet answer'!$I$17</definedName>
    <definedName name="solver_lhs2" localSheetId="1" hidden="1">'Problem sheet answer 2'!$I$20</definedName>
    <definedName name="solver_lhs3" localSheetId="0" hidden="1">'part a and b'!$H$17</definedName>
    <definedName name="solver_lhs3" localSheetId="2" hidden="1">'Problem sheet answer'!$H$17</definedName>
    <definedName name="solver_lhs3" localSheetId="1" hidden="1">'Problem sheet answer 2'!$D$20</definedName>
    <definedName name="solver_mip" localSheetId="0" hidden="1">2147483647</definedName>
    <definedName name="solver_mip" localSheetId="2" hidden="1">2147483647</definedName>
    <definedName name="solver_mip" localSheetId="1" hidden="1">2147483647</definedName>
    <definedName name="solver_mni" localSheetId="0" hidden="1">30</definedName>
    <definedName name="solver_mni" localSheetId="2" hidden="1">30</definedName>
    <definedName name="solver_mni" localSheetId="1" hidden="1">30</definedName>
    <definedName name="solver_mrt" localSheetId="0" hidden="1">0.075</definedName>
    <definedName name="solver_mrt" localSheetId="2" hidden="1">0.075</definedName>
    <definedName name="solver_mrt" localSheetId="1" hidden="1">0.075</definedName>
    <definedName name="solver_msl" localSheetId="0" hidden="1">2</definedName>
    <definedName name="solver_msl" localSheetId="2" hidden="1">2</definedName>
    <definedName name="solver_msl" localSheetId="1" hidden="1">2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od" localSheetId="0" hidden="1">2147483647</definedName>
    <definedName name="solver_nod" localSheetId="2" hidden="1">2147483647</definedName>
    <definedName name="solver_nod" localSheetId="1" hidden="1">2147483647</definedName>
    <definedName name="solver_num" localSheetId="0" hidden="1">2</definedName>
    <definedName name="solver_num" localSheetId="2" hidden="1">2</definedName>
    <definedName name="solver_num" localSheetId="1" hidden="1">3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0" hidden="1">'part a and b'!$G$20</definedName>
    <definedName name="solver_opt" localSheetId="2" hidden="1">'Problem sheet answer'!$G$17</definedName>
    <definedName name="solver_opt" localSheetId="1" hidden="1">'Problem sheet answer 2'!$G$20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rbv" localSheetId="0" hidden="1">1</definedName>
    <definedName name="solver_rbv" localSheetId="2" hidden="1">1</definedName>
    <definedName name="solver_rbv" localSheetId="1" hidden="1">1</definedName>
    <definedName name="solver_rel1" localSheetId="0" hidden="1">2</definedName>
    <definedName name="solver_rel1" localSheetId="2" hidden="1">2</definedName>
    <definedName name="solver_rel1" localSheetId="1" hidden="1">2</definedName>
    <definedName name="solver_rel2" localSheetId="0" hidden="1">3</definedName>
    <definedName name="solver_rel2" localSheetId="2" hidden="1">3</definedName>
    <definedName name="solver_rel2" localSheetId="1" hidden="1">3</definedName>
    <definedName name="solver_rel3" localSheetId="0" hidden="1">3</definedName>
    <definedName name="solver_rel3" localSheetId="2" hidden="1">3</definedName>
    <definedName name="solver_rel3" localSheetId="1" hidden="1">3</definedName>
    <definedName name="solver_rhs1" localSheetId="0" hidden="1">'part a and b'!$K20</definedName>
    <definedName name="solver_rhs1" localSheetId="2" hidden="1">'Problem sheet answer'!$K19</definedName>
    <definedName name="solver_rhs1" localSheetId="1" hidden="1">'Problem sheet answer 2'!$K20</definedName>
    <definedName name="solver_rhs2" localSheetId="0" hidden="1">0.01</definedName>
    <definedName name="solver_rhs2" localSheetId="2" hidden="1">0.01</definedName>
    <definedName name="solver_rhs2" localSheetId="1" hidden="1">0.01</definedName>
    <definedName name="solver_rhs3" localSheetId="0" hidden="1">0.01</definedName>
    <definedName name="solver_rhs3" localSheetId="2" hidden="1">0.01</definedName>
    <definedName name="solver_rhs3" localSheetId="1" hidden="1">0.01</definedName>
    <definedName name="solver_rlx" localSheetId="0" hidden="1">2</definedName>
    <definedName name="solver_rlx" localSheetId="2" hidden="1">2</definedName>
    <definedName name="solver_rlx" localSheetId="1" hidden="1">2</definedName>
    <definedName name="solver_rsd" localSheetId="0" hidden="1">0</definedName>
    <definedName name="solver_rsd" localSheetId="2" hidden="1">0</definedName>
    <definedName name="solver_rsd" localSheetId="1" hidden="1">0</definedName>
    <definedName name="solver_scl" localSheetId="0" hidden="1">1</definedName>
    <definedName name="solver_scl" localSheetId="2" hidden="1">1</definedName>
    <definedName name="solver_scl" localSheetId="1" hidden="1">1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sz" localSheetId="0" hidden="1">100</definedName>
    <definedName name="solver_ssz" localSheetId="2" hidden="1">100</definedName>
    <definedName name="solver_ssz" localSheetId="1" hidden="1">100</definedName>
    <definedName name="solver_tim" localSheetId="0" hidden="1">2147483647</definedName>
    <definedName name="solver_tim" localSheetId="2" hidden="1">2147483647</definedName>
    <definedName name="solver_tim" localSheetId="1" hidden="1">2147483647</definedName>
    <definedName name="solver_tol" localSheetId="0" hidden="1">0.01</definedName>
    <definedName name="solver_tol" localSheetId="2" hidden="1">0.01</definedName>
    <definedName name="solver_tol" localSheetId="1" hidden="1">0.01</definedName>
    <definedName name="solver_typ" localSheetId="0" hidden="1">3</definedName>
    <definedName name="solver_typ" localSheetId="2" hidden="1">3</definedName>
    <definedName name="solver_typ" localSheetId="1" hidden="1">3</definedName>
    <definedName name="solver_val" localSheetId="0" hidden="1">3</definedName>
    <definedName name="solver_val" localSheetId="2" hidden="1">3</definedName>
    <definedName name="solver_val" localSheetId="1" hidden="1">3</definedName>
    <definedName name="solver_ver" localSheetId="0" hidden="1">3</definedName>
    <definedName name="solver_ver" localSheetId="2" hidden="1">3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B11" i="12" l="1"/>
  <c r="D11" i="12" s="1"/>
  <c r="O26" i="12"/>
  <c r="M20" i="12"/>
  <c r="O20" i="12" s="1"/>
  <c r="J20" i="12"/>
  <c r="B20" i="12"/>
  <c r="D20" i="12" s="1"/>
  <c r="M19" i="12"/>
  <c r="O19" i="12" s="1"/>
  <c r="J19" i="12"/>
  <c r="B19" i="12"/>
  <c r="D19" i="12" s="1"/>
  <c r="M18" i="12"/>
  <c r="N18" i="12" s="1"/>
  <c r="P18" i="12" s="1"/>
  <c r="J18" i="12"/>
  <c r="B18" i="12"/>
  <c r="C18" i="12" s="1"/>
  <c r="E18" i="12" s="1"/>
  <c r="F18" i="12" s="1"/>
  <c r="M17" i="12"/>
  <c r="N17" i="12" s="1"/>
  <c r="P17" i="12" s="1"/>
  <c r="J17" i="12"/>
  <c r="B17" i="12"/>
  <c r="C17" i="12" s="1"/>
  <c r="E17" i="12" s="1"/>
  <c r="F17" i="12" s="1"/>
  <c r="M16" i="12"/>
  <c r="O16" i="12" s="1"/>
  <c r="J16" i="12"/>
  <c r="B16" i="12"/>
  <c r="D16" i="12" s="1"/>
  <c r="M15" i="12"/>
  <c r="O15" i="12" s="1"/>
  <c r="J15" i="12"/>
  <c r="B15" i="12"/>
  <c r="D15" i="12" s="1"/>
  <c r="M14" i="12"/>
  <c r="O14" i="12" s="1"/>
  <c r="J14" i="12"/>
  <c r="B14" i="12"/>
  <c r="D14" i="12" s="1"/>
  <c r="M13" i="12"/>
  <c r="O13" i="12" s="1"/>
  <c r="J13" i="12"/>
  <c r="B13" i="12"/>
  <c r="D13" i="12" s="1"/>
  <c r="M12" i="12"/>
  <c r="O12" i="12" s="1"/>
  <c r="J12" i="12"/>
  <c r="B12" i="12"/>
  <c r="D12" i="12" s="1"/>
  <c r="M11" i="12"/>
  <c r="O11" i="12" s="1"/>
  <c r="J11" i="12"/>
  <c r="M20" i="11"/>
  <c r="O20" i="11" s="1"/>
  <c r="J20" i="11"/>
  <c r="B20" i="11"/>
  <c r="D20" i="11" s="1"/>
  <c r="M19" i="11"/>
  <c r="O19" i="11" s="1"/>
  <c r="J19" i="11"/>
  <c r="B19" i="11"/>
  <c r="D19" i="11" s="1"/>
  <c r="M18" i="11"/>
  <c r="O18" i="11" s="1"/>
  <c r="J18" i="11"/>
  <c r="B18" i="11"/>
  <c r="D18" i="11" s="1"/>
  <c r="M17" i="11"/>
  <c r="O17" i="11" s="1"/>
  <c r="J17" i="11"/>
  <c r="B17" i="11"/>
  <c r="D17" i="11" s="1"/>
  <c r="M16" i="11"/>
  <c r="N16" i="11" s="1"/>
  <c r="P16" i="11" s="1"/>
  <c r="J16" i="11"/>
  <c r="B16" i="11"/>
  <c r="C16" i="11" s="1"/>
  <c r="E16" i="11" s="1"/>
  <c r="F16" i="11" s="1"/>
  <c r="M15" i="11"/>
  <c r="N15" i="11" s="1"/>
  <c r="P15" i="11" s="1"/>
  <c r="J15" i="11"/>
  <c r="B15" i="11"/>
  <c r="C15" i="11" s="1"/>
  <c r="E15" i="11" s="1"/>
  <c r="F15" i="11" s="1"/>
  <c r="M14" i="11"/>
  <c r="O14" i="11" s="1"/>
  <c r="J14" i="11"/>
  <c r="B14" i="11"/>
  <c r="D14" i="11" s="1"/>
  <c r="M13" i="11"/>
  <c r="O13" i="11" s="1"/>
  <c r="J13" i="11"/>
  <c r="B13" i="11"/>
  <c r="D13" i="11" s="1"/>
  <c r="M12" i="11"/>
  <c r="O12" i="11" s="1"/>
  <c r="J12" i="11"/>
  <c r="B12" i="11"/>
  <c r="D12" i="11" s="1"/>
  <c r="M11" i="11"/>
  <c r="O11" i="11" s="1"/>
  <c r="J11" i="11"/>
  <c r="B11" i="11"/>
  <c r="C11" i="11" s="1"/>
  <c r="E11" i="11" s="1"/>
  <c r="F11" i="11" s="1"/>
  <c r="O17" i="12" l="1"/>
  <c r="Q17" i="12" s="1"/>
  <c r="D17" i="12"/>
  <c r="G17" i="12" s="1"/>
  <c r="K17" i="12" s="1"/>
  <c r="O18" i="12"/>
  <c r="Q18" i="12" s="1"/>
  <c r="C13" i="12"/>
  <c r="E13" i="12" s="1"/>
  <c r="F13" i="12" s="1"/>
  <c r="C15" i="12"/>
  <c r="E15" i="12" s="1"/>
  <c r="F15" i="12" s="1"/>
  <c r="D18" i="12"/>
  <c r="G18" i="12" s="1"/>
  <c r="K18" i="12" s="1"/>
  <c r="C11" i="12"/>
  <c r="E11" i="12" s="1"/>
  <c r="F11" i="12" s="1"/>
  <c r="N13" i="12"/>
  <c r="P13" i="12" s="1"/>
  <c r="Q13" i="12" s="1"/>
  <c r="C14" i="12"/>
  <c r="E14" i="12" s="1"/>
  <c r="F14" i="12" s="1"/>
  <c r="N14" i="12"/>
  <c r="P14" i="12" s="1"/>
  <c r="Q14" i="12" s="1"/>
  <c r="N19" i="12"/>
  <c r="P19" i="12" s="1"/>
  <c r="Q19" i="12" s="1"/>
  <c r="C19" i="12"/>
  <c r="E19" i="12" s="1"/>
  <c r="F19" i="12" s="1"/>
  <c r="N11" i="12"/>
  <c r="P11" i="12" s="1"/>
  <c r="Q11" i="12" s="1"/>
  <c r="N15" i="12"/>
  <c r="P15" i="12" s="1"/>
  <c r="Q15" i="12" s="1"/>
  <c r="C12" i="12"/>
  <c r="E12" i="12" s="1"/>
  <c r="F12" i="12" s="1"/>
  <c r="N12" i="12"/>
  <c r="P12" i="12" s="1"/>
  <c r="Q12" i="12" s="1"/>
  <c r="C16" i="12"/>
  <c r="E16" i="12" s="1"/>
  <c r="F16" i="12" s="1"/>
  <c r="N16" i="12"/>
  <c r="P16" i="12" s="1"/>
  <c r="Q16" i="12" s="1"/>
  <c r="C20" i="12"/>
  <c r="E20" i="12" s="1"/>
  <c r="F20" i="12" s="1"/>
  <c r="N20" i="12"/>
  <c r="P20" i="12" s="1"/>
  <c r="Q20" i="12" s="1"/>
  <c r="C20" i="11"/>
  <c r="E20" i="11" s="1"/>
  <c r="F20" i="11" s="1"/>
  <c r="N20" i="11"/>
  <c r="P20" i="11" s="1"/>
  <c r="Q20" i="11" s="1"/>
  <c r="C18" i="11"/>
  <c r="E18" i="11" s="1"/>
  <c r="F18" i="11" s="1"/>
  <c r="N18" i="11"/>
  <c r="P18" i="11" s="1"/>
  <c r="Q18" i="11" s="1"/>
  <c r="D16" i="11"/>
  <c r="G16" i="11" s="1"/>
  <c r="K16" i="11" s="1"/>
  <c r="C13" i="11"/>
  <c r="E13" i="11" s="1"/>
  <c r="F13" i="11" s="1"/>
  <c r="C19" i="11"/>
  <c r="E19" i="11" s="1"/>
  <c r="F19" i="11" s="1"/>
  <c r="N19" i="11"/>
  <c r="P19" i="11" s="1"/>
  <c r="Q19" i="11" s="1"/>
  <c r="O15" i="11"/>
  <c r="Q15" i="11" s="1"/>
  <c r="D15" i="11"/>
  <c r="G15" i="11" s="1"/>
  <c r="K15" i="11" s="1"/>
  <c r="O16" i="11"/>
  <c r="Q16" i="11" s="1"/>
  <c r="N17" i="11"/>
  <c r="P17" i="11" s="1"/>
  <c r="Q17" i="11" s="1"/>
  <c r="C17" i="11"/>
  <c r="E17" i="11" s="1"/>
  <c r="F17" i="11" s="1"/>
  <c r="N11" i="11"/>
  <c r="P11" i="11" s="1"/>
  <c r="Q11" i="11" s="1"/>
  <c r="C12" i="11"/>
  <c r="E12" i="11" s="1"/>
  <c r="F12" i="11" s="1"/>
  <c r="N12" i="11"/>
  <c r="P12" i="11" s="1"/>
  <c r="Q12" i="11" s="1"/>
  <c r="D11" i="11"/>
  <c r="G11" i="11" s="1"/>
  <c r="K11" i="11" s="1"/>
  <c r="N13" i="11"/>
  <c r="P13" i="11" s="1"/>
  <c r="Q13" i="11" s="1"/>
  <c r="C14" i="11"/>
  <c r="E14" i="11" s="1"/>
  <c r="F14" i="11" s="1"/>
  <c r="N14" i="11"/>
  <c r="P14" i="11" s="1"/>
  <c r="Q14" i="11" s="1"/>
  <c r="G11" i="12" l="1"/>
  <c r="K11" i="12" s="1"/>
  <c r="G15" i="12"/>
  <c r="K15" i="12" s="1"/>
  <c r="G14" i="12"/>
  <c r="K14" i="12" s="1"/>
  <c r="G13" i="12"/>
  <c r="K13" i="12" s="1"/>
  <c r="G19" i="12"/>
  <c r="K19" i="12" s="1"/>
  <c r="G12" i="12"/>
  <c r="K12" i="12" s="1"/>
  <c r="G16" i="12"/>
  <c r="K16" i="12" s="1"/>
  <c r="G20" i="12"/>
  <c r="K20" i="12" s="1"/>
  <c r="G20" i="11"/>
  <c r="K20" i="11" s="1"/>
  <c r="G18" i="11"/>
  <c r="K18" i="11" s="1"/>
  <c r="G13" i="11"/>
  <c r="K13" i="11" s="1"/>
  <c r="G12" i="11"/>
  <c r="K12" i="11" s="1"/>
  <c r="G19" i="11"/>
  <c r="K19" i="11" s="1"/>
  <c r="G17" i="11"/>
  <c r="K17" i="11" s="1"/>
  <c r="G14" i="11"/>
  <c r="K14" i="11" s="1"/>
  <c r="J12" i="9" l="1"/>
  <c r="J13" i="9"/>
  <c r="J14" i="9"/>
  <c r="J15" i="9"/>
  <c r="J16" i="9"/>
  <c r="J17" i="9"/>
  <c r="J11" i="9"/>
  <c r="M12" i="9"/>
  <c r="O12" i="9" s="1"/>
  <c r="M13" i="9"/>
  <c r="O13" i="9" s="1"/>
  <c r="M14" i="9"/>
  <c r="O14" i="9" s="1"/>
  <c r="M15" i="9"/>
  <c r="N15" i="9" s="1"/>
  <c r="P15" i="9" s="1"/>
  <c r="M16" i="9"/>
  <c r="O16" i="9" s="1"/>
  <c r="M17" i="9"/>
  <c r="O17" i="9" s="1"/>
  <c r="M11" i="9"/>
  <c r="N11" i="9" s="1"/>
  <c r="P11" i="9" s="1"/>
  <c r="B11" i="9"/>
  <c r="C11" i="9" s="1"/>
  <c r="E11" i="9" s="1"/>
  <c r="F11" i="9" s="1"/>
  <c r="B16" i="9"/>
  <c r="D16" i="9" s="1"/>
  <c r="B15" i="9"/>
  <c r="C15" i="9" s="1"/>
  <c r="E15" i="9" s="1"/>
  <c r="F15" i="9" s="1"/>
  <c r="B14" i="9"/>
  <c r="D14" i="9" s="1"/>
  <c r="B13" i="9"/>
  <c r="D13" i="9" s="1"/>
  <c r="B12" i="9"/>
  <c r="D12" i="9" s="1"/>
  <c r="B17" i="9"/>
  <c r="C17" i="9" s="1"/>
  <c r="E17" i="9" s="1"/>
  <c r="N17" i="9" l="1"/>
  <c r="P17" i="9" s="1"/>
  <c r="Q17" i="9" s="1"/>
  <c r="N16" i="9"/>
  <c r="P16" i="9" s="1"/>
  <c r="Q16" i="9" s="1"/>
  <c r="O15" i="9"/>
  <c r="Q15" i="9" s="1"/>
  <c r="N13" i="9"/>
  <c r="P13" i="9" s="1"/>
  <c r="Q13" i="9" s="1"/>
  <c r="N12" i="9"/>
  <c r="P12" i="9" s="1"/>
  <c r="Q12" i="9" s="1"/>
  <c r="O11" i="9"/>
  <c r="Q11" i="9" s="1"/>
  <c r="N14" i="9"/>
  <c r="P14" i="9" s="1"/>
  <c r="Q14" i="9" s="1"/>
  <c r="D15" i="9"/>
  <c r="G15" i="9" s="1"/>
  <c r="K15" i="9" s="1"/>
  <c r="C14" i="9"/>
  <c r="E14" i="9" s="1"/>
  <c r="F14" i="9" s="1"/>
  <c r="D11" i="9"/>
  <c r="G11" i="9" s="1"/>
  <c r="K11" i="9" s="1"/>
  <c r="C13" i="9"/>
  <c r="E13" i="9" s="1"/>
  <c r="F13" i="9" s="1"/>
  <c r="C12" i="9"/>
  <c r="E12" i="9" s="1"/>
  <c r="F12" i="9" s="1"/>
  <c r="C16" i="9"/>
  <c r="E16" i="9" s="1"/>
  <c r="F16" i="9" s="1"/>
  <c r="F17" i="9"/>
  <c r="D17" i="9"/>
  <c r="G17" i="9" s="1"/>
  <c r="K17" i="9" s="1"/>
  <c r="G14" i="9" l="1"/>
  <c r="K14" i="9" s="1"/>
  <c r="G12" i="9"/>
  <c r="K12" i="9" s="1"/>
  <c r="G16" i="9"/>
  <c r="K16" i="9" s="1"/>
  <c r="G13" i="9"/>
  <c r="K13" i="9" s="1"/>
</calcChain>
</file>

<file path=xl/sharedStrings.xml><?xml version="1.0" encoding="utf-8"?>
<sst xmlns="http://schemas.openxmlformats.org/spreadsheetml/2006/main" count="84" uniqueCount="28">
  <si>
    <t>E_0</t>
  </si>
  <si>
    <t>r</t>
  </si>
  <si>
    <t>d1</t>
  </si>
  <si>
    <t>T</t>
  </si>
  <si>
    <t>V_0</t>
  </si>
  <si>
    <t>d2</t>
  </si>
  <si>
    <t>N(d1)</t>
  </si>
  <si>
    <t>N(d2)</t>
  </si>
  <si>
    <t>h1</t>
  </si>
  <si>
    <t>h2</t>
  </si>
  <si>
    <t>N(h1)</t>
  </si>
  <si>
    <t>N(h2)</t>
  </si>
  <si>
    <t>PD</t>
  </si>
  <si>
    <t>PD(V_T &lt; D)</t>
  </si>
  <si>
    <t>debt maturity</t>
  </si>
  <si>
    <t>risk-free rate</t>
  </si>
  <si>
    <t>MERTON MODEL</t>
  </si>
  <si>
    <t>vol_E</t>
  </si>
  <si>
    <t>vol_V</t>
  </si>
  <si>
    <t>vol_V*V_0</t>
  </si>
  <si>
    <t>Objective</t>
  </si>
  <si>
    <t>Variables</t>
  </si>
  <si>
    <t>Constrain</t>
  </si>
  <si>
    <t>BLACK &amp; COX</t>
  </si>
  <si>
    <t>vol_E*V_0/N(d1)</t>
  </si>
  <si>
    <t>Credit Structural Models</t>
  </si>
  <si>
    <t>D (Merton) or K (Black-Cox)</t>
  </si>
  <si>
    <t>debt notional or call 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</si>
</sst>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7" formatCode="0.0000"/>
    <numFmt numFmtId="168" formatCode="0.00000"/>
    <numFmt numFmtId="169" formatCode="0.000000"/>
    <numFmt numFmtId="174" formatCode="0.0000%"/>
    <numFmt numFmtId="176" formatCode="0.00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/>
      <right/>
      <top style="thick">
        <color rgb="FFFFC000"/>
      </top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theme="5"/>
      </right>
      <top style="thick">
        <color theme="5"/>
      </top>
      <bottom style="thin">
        <color auto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1" fillId="5" borderId="2" applyNumberFormat="0" applyFont="0" applyAlignment="0" applyProtection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7" fillId="0" borderId="0" xfId="8"/>
    <xf numFmtId="0" fontId="0" fillId="6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2" borderId="1" xfId="3" applyBorder="1"/>
    <xf numFmtId="10" fontId="3" fillId="2" borderId="1" xfId="3" applyNumberFormat="1" applyBorder="1"/>
    <xf numFmtId="0" fontId="0" fillId="7" borderId="0" xfId="0" applyFill="1"/>
    <xf numFmtId="9" fontId="0" fillId="0" borderId="0" xfId="0" applyNumberFormat="1" applyAlignment="1">
      <alignment horizontal="center"/>
    </xf>
    <xf numFmtId="0" fontId="4" fillId="3" borderId="3" xfId="4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8" fillId="0" borderId="4" xfId="0" applyFont="1" applyBorder="1"/>
    <xf numFmtId="0" fontId="8" fillId="0" borderId="4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5" fillId="4" borderId="7" xfId="5" applyBorder="1"/>
    <xf numFmtId="0" fontId="2" fillId="0" borderId="0" xfId="2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169" fontId="0" fillId="0" borderId="8" xfId="0" applyNumberFormat="1" applyBorder="1" applyAlignment="1">
      <alignment horizontal="center"/>
    </xf>
    <xf numFmtId="0" fontId="0" fillId="0" borderId="8" xfId="0" applyBorder="1"/>
    <xf numFmtId="176" fontId="0" fillId="0" borderId="8" xfId="1" applyNumberFormat="1" applyFont="1" applyBorder="1"/>
    <xf numFmtId="2" fontId="9" fillId="5" borderId="8" xfId="6" applyNumberFormat="1" applyFont="1" applyFill="1" applyBorder="1"/>
    <xf numFmtId="167" fontId="10" fillId="5" borderId="8" xfId="7" applyNumberFormat="1" applyFont="1" applyBorder="1"/>
    <xf numFmtId="168" fontId="0" fillId="0" borderId="8" xfId="0" applyNumberFormat="1" applyBorder="1"/>
    <xf numFmtId="174" fontId="10" fillId="5" borderId="8" xfId="7" applyNumberFormat="1" applyFont="1" applyBorder="1"/>
    <xf numFmtId="0" fontId="0" fillId="0" borderId="9" xfId="0" applyBorder="1"/>
    <xf numFmtId="0" fontId="8" fillId="0" borderId="8" xfId="0" applyFon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3" fillId="2" borderId="1" xfId="3" applyBorder="1" applyAlignment="1">
      <alignment wrapText="1"/>
    </xf>
    <xf numFmtId="9" fontId="0" fillId="6" borderId="8" xfId="0" applyNumberFormat="1" applyFill="1" applyBorder="1" applyAlignment="1">
      <alignment horizontal="center"/>
    </xf>
    <xf numFmtId="169" fontId="0" fillId="6" borderId="8" xfId="0" applyNumberFormat="1" applyFill="1" applyBorder="1" applyAlignment="1">
      <alignment horizontal="center"/>
    </xf>
    <xf numFmtId="0" fontId="0" fillId="6" borderId="8" xfId="0" applyFill="1" applyBorder="1"/>
    <xf numFmtId="176" fontId="0" fillId="6" borderId="8" xfId="1" applyNumberFormat="1" applyFont="1" applyFill="1" applyBorder="1"/>
    <xf numFmtId="2" fontId="9" fillId="6" borderId="8" xfId="6" applyNumberFormat="1" applyFont="1" applyFill="1" applyBorder="1"/>
    <xf numFmtId="167" fontId="10" fillId="6" borderId="8" xfId="7" applyNumberFormat="1" applyFont="1" applyFill="1" applyBorder="1"/>
    <xf numFmtId="174" fontId="10" fillId="6" borderId="8" xfId="7" applyNumberFormat="1" applyFont="1" applyFill="1" applyBorder="1"/>
    <xf numFmtId="168" fontId="0" fillId="6" borderId="8" xfId="0" applyNumberFormat="1" applyFill="1" applyBorder="1"/>
  </cellXfs>
  <cellStyles count="9">
    <cellStyle name="Bad" xfId="4" builtinId="27"/>
    <cellStyle name="Explanatory Text" xfId="8" builtinId="53"/>
    <cellStyle name="Good" xfId="3" builtinId="26"/>
    <cellStyle name="Neutral" xfId="5" builtinId="28"/>
    <cellStyle name="Normal" xfId="0" builtinId="0"/>
    <cellStyle name="Note" xfId="7" builtinId="10"/>
    <cellStyle name="Percent" xfId="1" builtinId="5"/>
    <cellStyle name="Title" xfId="2" builtinId="15"/>
    <cellStyle name="Warning Text" xfId="6" builtinId="1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Probability</a:t>
            </a:r>
            <a:r>
              <a:rPr lang="en-GB" sz="1400" baseline="0"/>
              <a:t> of Default vs Equity's Vol</a:t>
            </a:r>
            <a:endParaRPr lang="en-GB" sz="14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Merton</c:v>
          </c:tx>
          <c:cat>
            <c:numRef>
              <c:f>'part a and b'!$A$11:$A$20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'part a and b'!$F$11:$F$20</c:f>
              <c:numCache>
                <c:formatCode>0.000000%</c:formatCode>
                <c:ptCount val="10"/>
                <c:pt idx="0">
                  <c:v>0</c:v>
                </c:pt>
                <c:pt idx="1">
                  <c:v>2.0447865622941208E-10</c:v>
                </c:pt>
                <c:pt idx="2">
                  <c:v>1.7720381544017449E-5</c:v>
                </c:pt>
                <c:pt idx="3">
                  <c:v>1.0847798411648402E-3</c:v>
                </c:pt>
                <c:pt idx="4">
                  <c:v>8.0672351723981572E-3</c:v>
                </c:pt>
                <c:pt idx="5">
                  <c:v>2.6148457909100142E-2</c:v>
                </c:pt>
                <c:pt idx="6">
                  <c:v>5.6822327377386794E-2</c:v>
                </c:pt>
                <c:pt idx="7">
                  <c:v>9.8804613189298007E-2</c:v>
                </c:pt>
                <c:pt idx="8">
                  <c:v>0.14961893943286275</c:v>
                </c:pt>
                <c:pt idx="9">
                  <c:v>0.20651558798452063</c:v>
                </c:pt>
              </c:numCache>
            </c:numRef>
          </c:val>
          <c:smooth val="0"/>
        </c:ser>
        <c:ser>
          <c:idx val="2"/>
          <c:order val="1"/>
          <c:tx>
            <c:v>Black-Cox</c:v>
          </c:tx>
          <c:cat>
            <c:numRef>
              <c:f>'part a and b'!$A$11:$A$20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'part a and b'!$Q$11:$Q$20</c:f>
              <c:numCache>
                <c:formatCode>0.000000%</c:formatCode>
                <c:ptCount val="10"/>
                <c:pt idx="0">
                  <c:v>1.7947915806511059E-36</c:v>
                </c:pt>
                <c:pt idx="1">
                  <c:v>2.1277049379249008E-10</c:v>
                </c:pt>
                <c:pt idx="2">
                  <c:v>2.1855517604554995E-5</c:v>
                </c:pt>
                <c:pt idx="3">
                  <c:v>1.5466476179300539E-3</c:v>
                </c:pt>
                <c:pt idx="4">
                  <c:v>1.2566218600642779E-2</c:v>
                </c:pt>
                <c:pt idx="5">
                  <c:v>4.2900331873117446E-2</c:v>
                </c:pt>
                <c:pt idx="6">
                  <c:v>9.6010882933681679E-2</c:v>
                </c:pt>
                <c:pt idx="7">
                  <c:v>0.16940281909985308</c:v>
                </c:pt>
                <c:pt idx="8">
                  <c:v>0.25753674888417288</c:v>
                </c:pt>
                <c:pt idx="9">
                  <c:v>0.35395844545977451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71520"/>
        <c:axId val="88989056"/>
      </c:lineChart>
      <c:catAx>
        <c:axId val="88971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vol_E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88989056"/>
        <c:crosses val="autoZero"/>
        <c:auto val="1"/>
        <c:lblAlgn val="ctr"/>
        <c:lblOffset val="100"/>
        <c:noMultiLvlLbl val="0"/>
      </c:catAx>
      <c:valAx>
        <c:axId val="88989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88971520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GB" sz="1400"/>
              <a:t>Probability</a:t>
            </a:r>
            <a:r>
              <a:rPr lang="en-GB" sz="1400" baseline="0"/>
              <a:t> of Default vs Equity's Vol</a:t>
            </a:r>
            <a:endParaRPr lang="en-GB" sz="14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Merton</c:v>
          </c:tx>
          <c:cat>
            <c:numRef>
              <c:f>'Problem sheet answer 2'!$A$11:$A$20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'Problem sheet answer 2'!$F$11:$F$20</c:f>
              <c:numCache>
                <c:formatCode>0.000000%</c:formatCode>
                <c:ptCount val="10"/>
                <c:pt idx="0">
                  <c:v>0</c:v>
                </c:pt>
                <c:pt idx="1">
                  <c:v>6.2553460189462839E-9</c:v>
                </c:pt>
                <c:pt idx="2">
                  <c:v>8.005334896366012E-5</c:v>
                </c:pt>
                <c:pt idx="3">
                  <c:v>2.5219768923444574E-3</c:v>
                </c:pt>
                <c:pt idx="4">
                  <c:v>1.3968360089536169E-2</c:v>
                </c:pt>
                <c:pt idx="5">
                  <c:v>3.8883061807181041E-2</c:v>
                </c:pt>
                <c:pt idx="6">
                  <c:v>7.7310460564209871E-2</c:v>
                </c:pt>
                <c:pt idx="7">
                  <c:v>0.12697118885673309</c:v>
                </c:pt>
                <c:pt idx="8">
                  <c:v>0.18483375210416109</c:v>
                </c:pt>
                <c:pt idx="9">
                  <c:v>0.24785594140861056</c:v>
                </c:pt>
              </c:numCache>
            </c:numRef>
          </c:val>
          <c:smooth val="0"/>
        </c:ser>
        <c:ser>
          <c:idx val="2"/>
          <c:order val="1"/>
          <c:tx>
            <c:v>Black-Cox</c:v>
          </c:tx>
          <c:cat>
            <c:numRef>
              <c:f>'Problem sheet answer 2'!$A$11:$A$20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'Problem sheet answer 2'!$Q$11:$Q$20</c:f>
              <c:numCache>
                <c:formatCode>0.000000%</c:formatCode>
                <c:ptCount val="10"/>
                <c:pt idx="0">
                  <c:v>1.6386214359680394E-30</c:v>
                </c:pt>
                <c:pt idx="1">
                  <c:v>6.2556912663094084E-9</c:v>
                </c:pt>
                <c:pt idx="2">
                  <c:v>8.1037883304903725E-5</c:v>
                </c:pt>
                <c:pt idx="3">
                  <c:v>2.7279521507206418E-3</c:v>
                </c:pt>
                <c:pt idx="4">
                  <c:v>1.6745269646891887E-2</c:v>
                </c:pt>
                <c:pt idx="5">
                  <c:v>5.1563569152357817E-2</c:v>
                </c:pt>
                <c:pt idx="6">
                  <c:v>0.11139771869265552</c:v>
                </c:pt>
                <c:pt idx="7">
                  <c:v>0.19471496037210539</c:v>
                </c:pt>
                <c:pt idx="8">
                  <c:v>0.29596015729916825</c:v>
                </c:pt>
                <c:pt idx="9">
                  <c:v>0.40761569304277723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78208"/>
        <c:axId val="174769280"/>
      </c:lineChart>
      <c:catAx>
        <c:axId val="141278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vol_E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174769280"/>
        <c:crosses val="autoZero"/>
        <c:auto val="1"/>
        <c:lblAlgn val="ctr"/>
        <c:lblOffset val="100"/>
        <c:noMultiLvlLbl val="0"/>
      </c:catAx>
      <c:valAx>
        <c:axId val="174769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41278208"/>
        <c:crosses val="autoZero"/>
        <c:crossBetween val="between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800099</xdr:colOff>
      <xdr:row>22</xdr:row>
      <xdr:rowOff>100011</xdr:rowOff>
    </xdr:from>
    <xdr:to>
      <xdr:col>10</xdr:col>
      <xdr:colOff>142874</xdr:colOff>
      <xdr:row>37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2</xdr:row>
          <xdr:rowOff>152400</xdr:rowOff>
        </xdr:from>
        <xdr:to>
          <xdr:col>7</xdr:col>
          <xdr:colOff>142875</xdr:colOff>
          <xdr:row>5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loop_solver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800099</xdr:colOff>
      <xdr:row>22</xdr:row>
      <xdr:rowOff>100011</xdr:rowOff>
    </xdr:from>
    <xdr:to>
      <xdr:col>10</xdr:col>
      <xdr:colOff>142874</xdr:colOff>
      <xdr:row>37</xdr:row>
      <xdr:rowOff>161924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2</xdr:row>
          <xdr:rowOff>152400</xdr:rowOff>
        </xdr:from>
        <xdr:to>
          <xdr:col>7</xdr:col>
          <xdr:colOff>142875</xdr:colOff>
          <xdr:row>5</xdr:row>
          <xdr:rowOff>85725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loop_solver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5"/>
  <sheetViews>
    <sheetView showGridLines="0" tabSelected="1" zoomScale="90" zoomScaleNormal="90" workbookViewId="0"/>
  </sheetViews>
  <sheetFormatPr defaultRowHeight="15" x14ac:dyDescent="0.25"/>
  <cols>
    <col min="1" max="1" width="14.140625" customWidth="1"/>
    <col min="2" max="2" width="15.5703125" bestFit="1" customWidth="1"/>
    <col min="3" max="3" width="13.7109375" bestFit="1" customWidth="1"/>
    <col min="4" max="4" width="11.28515625" style="3" customWidth="1"/>
    <col min="6" max="6" width="12" bestFit="1" customWidth="1"/>
    <col min="9" max="9" width="14.28515625" bestFit="1" customWidth="1"/>
    <col min="10" max="10" width="11.140625" customWidth="1"/>
    <col min="11" max="11" width="16" bestFit="1" customWidth="1"/>
    <col min="12" max="12" width="7.5703125" style="7" customWidth="1"/>
    <col min="13" max="13" width="12.5703125" bestFit="1" customWidth="1"/>
    <col min="14" max="14" width="11.28515625" customWidth="1"/>
    <col min="15" max="15" width="11.28515625" bestFit="1" customWidth="1"/>
    <col min="17" max="17" width="12" customWidth="1"/>
  </cols>
  <sheetData>
    <row r="1" spans="1:17" ht="22.5" x14ac:dyDescent="0.3">
      <c r="A1" s="17" t="s">
        <v>25</v>
      </c>
    </row>
    <row r="4" spans="1:17" ht="30" x14ac:dyDescent="0.25">
      <c r="A4" s="30" t="s">
        <v>26</v>
      </c>
      <c r="B4" s="5">
        <v>5</v>
      </c>
      <c r="C4" s="1" t="s">
        <v>27</v>
      </c>
      <c r="D4" s="4"/>
    </row>
    <row r="5" spans="1:17" x14ac:dyDescent="0.25">
      <c r="A5" s="5" t="s">
        <v>3</v>
      </c>
      <c r="B5" s="5">
        <v>1</v>
      </c>
      <c r="C5" s="1" t="s">
        <v>14</v>
      </c>
      <c r="D5" s="4"/>
    </row>
    <row r="6" spans="1:17" x14ac:dyDescent="0.25">
      <c r="A6" s="5" t="s">
        <v>1</v>
      </c>
      <c r="B6" s="6">
        <v>0.02</v>
      </c>
      <c r="C6" s="1" t="s">
        <v>15</v>
      </c>
      <c r="D6" s="4"/>
    </row>
    <row r="7" spans="1:17" x14ac:dyDescent="0.25">
      <c r="A7" s="4"/>
      <c r="B7" s="4"/>
      <c r="C7" s="4"/>
      <c r="D7" s="4"/>
    </row>
    <row r="8" spans="1:17" ht="15.75" thickBot="1" x14ac:dyDescent="0.3"/>
    <row r="9" spans="1:17" ht="15.75" thickTop="1" x14ac:dyDescent="0.25">
      <c r="B9" s="9" t="s">
        <v>16</v>
      </c>
      <c r="C9" s="10"/>
      <c r="D9" s="11"/>
      <c r="E9" s="10"/>
      <c r="F9" s="10"/>
      <c r="G9" s="12" t="s">
        <v>20</v>
      </c>
      <c r="H9" s="13" t="s">
        <v>21</v>
      </c>
      <c r="I9" s="13"/>
      <c r="J9" s="12" t="s">
        <v>22</v>
      </c>
      <c r="K9" s="27"/>
      <c r="M9" s="16" t="s">
        <v>23</v>
      </c>
      <c r="N9" s="14"/>
      <c r="O9" s="14"/>
      <c r="P9" s="14"/>
      <c r="Q9" s="15"/>
    </row>
    <row r="10" spans="1:17" x14ac:dyDescent="0.25">
      <c r="A10" s="28" t="s">
        <v>17</v>
      </c>
      <c r="B10" s="18" t="s">
        <v>2</v>
      </c>
      <c r="C10" s="19" t="s">
        <v>5</v>
      </c>
      <c r="D10" s="19" t="s">
        <v>6</v>
      </c>
      <c r="E10" s="19" t="s">
        <v>7</v>
      </c>
      <c r="F10" s="19" t="s">
        <v>13</v>
      </c>
      <c r="G10" s="19" t="s">
        <v>0</v>
      </c>
      <c r="H10" s="19" t="s">
        <v>4</v>
      </c>
      <c r="I10" s="19" t="s">
        <v>18</v>
      </c>
      <c r="J10" s="19" t="s">
        <v>19</v>
      </c>
      <c r="K10" s="19" t="s">
        <v>24</v>
      </c>
      <c r="M10" s="19" t="s">
        <v>8</v>
      </c>
      <c r="N10" s="19" t="s">
        <v>9</v>
      </c>
      <c r="O10" s="19" t="s">
        <v>10</v>
      </c>
      <c r="P10" s="19" t="s">
        <v>11</v>
      </c>
      <c r="Q10" s="19" t="s">
        <v>12</v>
      </c>
    </row>
    <row r="11" spans="1:17" x14ac:dyDescent="0.25">
      <c r="A11" s="29">
        <v>0.1</v>
      </c>
      <c r="B11" s="20">
        <f>(LN(H11/$B$4) + ($B$6 + 0.5*(I11^2))*$B$5)/(I11*SQRT($B$5))</f>
        <v>12.596045579726185</v>
      </c>
      <c r="C11" s="20">
        <f t="shared" ref="C11:C16" si="0">B11-I11*SQRT($B$5)</f>
        <v>12.558075612253385</v>
      </c>
      <c r="D11" s="21">
        <f t="shared" ref="D11:E16" si="1">_xlfn.NORM.S.DIST(B11,TRUE)</f>
        <v>1</v>
      </c>
      <c r="E11" s="21">
        <f t="shared" si="1"/>
        <v>1</v>
      </c>
      <c r="F11" s="22">
        <f>1-E11</f>
        <v>0</v>
      </c>
      <c r="G11" s="23">
        <f t="shared" ref="G11:G16" si="2">H11*D11-$B$4*EXP(-$B$6*$B$5)*E11</f>
        <v>3.000000000000143</v>
      </c>
      <c r="H11" s="24">
        <v>7.9009933665339194</v>
      </c>
      <c r="I11" s="26">
        <v>3.7969967472800084E-2</v>
      </c>
      <c r="J11" s="25">
        <f>H11*I11</f>
        <v>0.30000046113010215</v>
      </c>
      <c r="K11" s="21">
        <f>G11*A11/D11</f>
        <v>0.30000000000001431</v>
      </c>
      <c r="M11" s="21">
        <f>(LN($B$4/(EXP($B$6*$B$5)*H11))+0.5*(I11^2)*$B$5)/(I11*SQRT($B$5))</f>
        <v>-12.558075612253385</v>
      </c>
      <c r="N11" s="21">
        <f>M11-I11*SQRT($B$5)</f>
        <v>-12.596045579726185</v>
      </c>
      <c r="O11" s="21">
        <f t="shared" ref="O11:P17" si="3">_xlfn.NORM.S.DIST(M11,TRUE)</f>
        <v>1.7947861999146511E-36</v>
      </c>
      <c r="P11" s="21">
        <f t="shared" si="3"/>
        <v>1.1099926061120526E-36</v>
      </c>
      <c r="Q11" s="22">
        <f>O11+EXP(2*($B$6-0.5*(I11^2))*LN($B$4/H11)/(I11^2))*P11</f>
        <v>1.7947915806511059E-36</v>
      </c>
    </row>
    <row r="12" spans="1:17" x14ac:dyDescent="0.25">
      <c r="A12" s="29">
        <v>0.2</v>
      </c>
      <c r="B12" s="20">
        <f t="shared" ref="B12:B16" si="4">(LN(H12/$B$4) + ($B$6 + 0.5*(I12^2))*$B$5)/(I12*SQRT($B$5))</f>
        <v>6.32650987239714</v>
      </c>
      <c r="C12" s="20">
        <f t="shared" si="0"/>
        <v>6.2505700541690663</v>
      </c>
      <c r="D12" s="21">
        <f t="shared" si="1"/>
        <v>0.99999999987461585</v>
      </c>
      <c r="E12" s="21">
        <f t="shared" si="1"/>
        <v>0.99999999979552134</v>
      </c>
      <c r="F12" s="22">
        <f>1-E12</f>
        <v>2.0447865622941208E-10</v>
      </c>
      <c r="G12" s="23">
        <f t="shared" si="2"/>
        <v>2.9999999999999991</v>
      </c>
      <c r="H12" s="24">
        <v>7.900993366522286</v>
      </c>
      <c r="I12" s="26">
        <v>7.5939818228073594E-2</v>
      </c>
      <c r="J12" s="25">
        <f t="shared" ref="J12:J17" si="5">H12*I12</f>
        <v>0.60000000007491761</v>
      </c>
      <c r="K12" s="21">
        <f t="shared" ref="K12:K17" si="6">G12*A12/D12</f>
        <v>0.60000000007523036</v>
      </c>
      <c r="M12" s="21">
        <f>(LN($B$4/(EXP($B$6*$B$5)*H12))+0.5*(I12^2)*$B$5)/(I12*SQRT($B$5))</f>
        <v>-6.2505700541690645</v>
      </c>
      <c r="N12" s="21">
        <f>M12-I12*SQRT($B$5)</f>
        <v>-6.3265098723971382</v>
      </c>
      <c r="O12" s="21">
        <f t="shared" si="3"/>
        <v>2.0447862314049967E-10</v>
      </c>
      <c r="P12" s="21">
        <f t="shared" si="3"/>
        <v>1.2538413180873001E-10</v>
      </c>
      <c r="Q12" s="22">
        <f t="shared" ref="Q12:Q17" si="7">O12+EXP(2*($B$6-0.5*(I12^2))*LN($B$4/H12)/(I12^2))*P12</f>
        <v>2.1277049379249008E-10</v>
      </c>
    </row>
    <row r="13" spans="1:17" x14ac:dyDescent="0.25">
      <c r="A13" s="29">
        <v>0.3</v>
      </c>
      <c r="B13" s="20">
        <f t="shared" si="4"/>
        <v>4.2492651913718129</v>
      </c>
      <c r="C13" s="20">
        <f t="shared" si="0"/>
        <v>4.1353541614054077</v>
      </c>
      <c r="D13" s="21">
        <f t="shared" si="1"/>
        <v>0.99998927635535395</v>
      </c>
      <c r="E13" s="21">
        <f t="shared" si="1"/>
        <v>0.99998227961845598</v>
      </c>
      <c r="F13" s="22">
        <f>1-E13</f>
        <v>1.7720381544017449E-5</v>
      </c>
      <c r="G13" s="23">
        <f t="shared" si="2"/>
        <v>2.9999999981784358</v>
      </c>
      <c r="H13" s="24">
        <v>7.9009912446622721</v>
      </c>
      <c r="I13" s="26">
        <v>0.11391102996640511</v>
      </c>
      <c r="J13" s="25">
        <f t="shared" si="5"/>
        <v>0.90001005043502846</v>
      </c>
      <c r="K13" s="21">
        <f t="shared" si="6"/>
        <v>0.9000096508372043</v>
      </c>
      <c r="M13" s="21">
        <f>(LN($B$4/(EXP($B$6*$B$5)*H13))+0.5*(I13^2)*$B$5)/(I13*SQRT($B$5))</f>
        <v>-4.1353541614054068</v>
      </c>
      <c r="N13" s="21">
        <f>M13-I13*SQRT($B$5)</f>
        <v>-4.249265191371812</v>
      </c>
      <c r="O13" s="21">
        <f t="shared" si="3"/>
        <v>1.7720381543966621E-5</v>
      </c>
      <c r="P13" s="21">
        <f t="shared" si="3"/>
        <v>1.072364464609554E-5</v>
      </c>
      <c r="Q13" s="22">
        <f t="shared" si="7"/>
        <v>2.1855517604554995E-5</v>
      </c>
    </row>
    <row r="14" spans="1:17" x14ac:dyDescent="0.25">
      <c r="A14" s="29">
        <v>0.4</v>
      </c>
      <c r="B14" s="20">
        <f t="shared" si="4"/>
        <v>3.2179644874152236</v>
      </c>
      <c r="C14" s="20">
        <f t="shared" si="0"/>
        <v>3.0659825612260585</v>
      </c>
      <c r="D14" s="21">
        <f t="shared" si="1"/>
        <v>0.99935448099285784</v>
      </c>
      <c r="E14" s="21">
        <f t="shared" si="1"/>
        <v>0.99891522015883516</v>
      </c>
      <c r="F14" s="22">
        <f>1-E14</f>
        <v>1.0847798411648402E-3</v>
      </c>
      <c r="G14" s="23">
        <f t="shared" si="2"/>
        <v>2.9999999644512201</v>
      </c>
      <c r="H14" s="24">
        <v>7.9007769338612954</v>
      </c>
      <c r="I14" s="26">
        <v>0.15198192618916515</v>
      </c>
      <c r="J14" s="25">
        <f t="shared" si="5"/>
        <v>1.2007752967991658</v>
      </c>
      <c r="K14" s="21">
        <f t="shared" si="6"/>
        <v>1.2007751089366099</v>
      </c>
      <c r="M14" s="21">
        <f>(LN($B$4/(EXP($B$6*$B$5)*H14))+0.5*(I14^2)*$B$5)/(I14*SQRT($B$5))</f>
        <v>-3.0659825612260581</v>
      </c>
      <c r="N14" s="21">
        <f>M14-I14*SQRT($B$5)</f>
        <v>-3.2179644874152231</v>
      </c>
      <c r="O14" s="21">
        <f t="shared" si="3"/>
        <v>1.0847798411648827E-3</v>
      </c>
      <c r="P14" s="21">
        <f t="shared" si="3"/>
        <v>6.4551900714220989E-4</v>
      </c>
      <c r="Q14" s="22">
        <f t="shared" si="7"/>
        <v>1.5466476179300539E-3</v>
      </c>
    </row>
    <row r="15" spans="1:17" s="2" customFormat="1" x14ac:dyDescent="0.25">
      <c r="A15" s="31">
        <v>0.5</v>
      </c>
      <c r="B15" s="32">
        <f t="shared" si="4"/>
        <v>2.5966638503068835</v>
      </c>
      <c r="C15" s="32">
        <f t="shared" si="0"/>
        <v>2.4058594592688771</v>
      </c>
      <c r="D15" s="33">
        <f t="shared" si="1"/>
        <v>0.99529330014265593</v>
      </c>
      <c r="E15" s="33">
        <f t="shared" si="1"/>
        <v>0.99193276482760184</v>
      </c>
      <c r="F15" s="34">
        <f>1-E15</f>
        <v>8.0672351723981572E-3</v>
      </c>
      <c r="G15" s="35">
        <f t="shared" si="2"/>
        <v>2.9999999190192836</v>
      </c>
      <c r="H15" s="36">
        <v>7.8986323110585417</v>
      </c>
      <c r="I15" s="37">
        <v>0.19080439103800659</v>
      </c>
      <c r="J15" s="38">
        <f t="shared" si="5"/>
        <v>1.5070937281446477</v>
      </c>
      <c r="K15" s="33">
        <f t="shared" si="6"/>
        <v>1.5070933957805663</v>
      </c>
      <c r="M15" s="33">
        <f>(LN($B$4/(EXP($B$6*$B$5)*H15))+0.5*(I15^2)*$B$5)/(I15*SQRT($B$5))</f>
        <v>-2.4058594592688758</v>
      </c>
      <c r="N15" s="33">
        <f>M15-I15*SQRT($B$5)</f>
        <v>-2.5966638503068822</v>
      </c>
      <c r="O15" s="33">
        <f t="shared" si="3"/>
        <v>8.0672351723981746E-3</v>
      </c>
      <c r="P15" s="33">
        <f t="shared" si="3"/>
        <v>4.7066998573440768E-3</v>
      </c>
      <c r="Q15" s="34">
        <f t="shared" si="7"/>
        <v>1.2566218600642779E-2</v>
      </c>
    </row>
    <row r="16" spans="1:17" x14ac:dyDescent="0.25">
      <c r="A16" s="29">
        <v>0.6</v>
      </c>
      <c r="B16" s="20">
        <f t="shared" si="4"/>
        <v>2.1722571834720337</v>
      </c>
      <c r="C16" s="20">
        <f t="shared" si="0"/>
        <v>1.9406815483663657</v>
      </c>
      <c r="D16" s="21">
        <f t="shared" si="1"/>
        <v>0.98508186518604191</v>
      </c>
      <c r="E16" s="21">
        <f t="shared" si="1"/>
        <v>0.97385154209089986</v>
      </c>
      <c r="F16" s="22">
        <f>1-E16</f>
        <v>2.6148457909100142E-2</v>
      </c>
      <c r="G16" s="23">
        <f t="shared" si="2"/>
        <v>2.9999998700236947</v>
      </c>
      <c r="H16" s="24">
        <v>7.8905521383564503</v>
      </c>
      <c r="I16" s="26">
        <v>0.23157563510566781</v>
      </c>
      <c r="J16" s="25">
        <f t="shared" si="5"/>
        <v>1.8272596227742801</v>
      </c>
      <c r="K16" s="21">
        <f t="shared" si="6"/>
        <v>1.8272592214193994</v>
      </c>
      <c r="M16" s="21">
        <f>(LN($B$4/(EXP($B$6*$B$5)*H16))+0.5*(I16^2)*$B$5)/(I16*SQRT($B$5))</f>
        <v>-1.9406815483663655</v>
      </c>
      <c r="N16" s="21">
        <f>M16-I16*SQRT($B$5)</f>
        <v>-2.1722571834720332</v>
      </c>
      <c r="O16" s="21">
        <f t="shared" si="3"/>
        <v>2.6148457909100104E-2</v>
      </c>
      <c r="P16" s="21">
        <f t="shared" si="3"/>
        <v>1.4918134813958093E-2</v>
      </c>
      <c r="Q16" s="22">
        <f t="shared" si="7"/>
        <v>4.2900331873117446E-2</v>
      </c>
    </row>
    <row r="17" spans="1:17" x14ac:dyDescent="0.25">
      <c r="A17" s="29">
        <v>0.7</v>
      </c>
      <c r="B17" s="20">
        <f>(LN(H17/$B$4) + ($B$6 + 0.5*(I17^2))*$B$5)/(I17*SQRT($B$5))</f>
        <v>1.8575212653455968</v>
      </c>
      <c r="C17" s="20">
        <f>B17-I17*SQRT($B$5)</f>
        <v>1.5820215335301526</v>
      </c>
      <c r="D17" s="21">
        <f>_xlfn.NORM.S.DIST(B17,TRUE)</f>
        <v>0.96838148569957749</v>
      </c>
      <c r="E17" s="21">
        <f>_xlfn.NORM.S.DIST(C17,TRUE)</f>
        <v>0.94317767262261321</v>
      </c>
      <c r="F17" s="22">
        <f>1-E17</f>
        <v>5.6822327377386794E-2</v>
      </c>
      <c r="G17" s="23">
        <f>H17*D17-$B$4*EXP(-$B$6*$B$5)*E17</f>
        <v>2.9999993382254546</v>
      </c>
      <c r="H17" s="24">
        <v>7.8713884639223579</v>
      </c>
      <c r="I17" s="26">
        <v>0.27549973181544424</v>
      </c>
      <c r="J17" s="25">
        <f t="shared" si="5"/>
        <v>2.1685654108257912</v>
      </c>
      <c r="K17" s="21">
        <f t="shared" si="6"/>
        <v>2.1685663839811413</v>
      </c>
      <c r="M17" s="21">
        <f>(LN($B$4/(EXP($B$6*$B$5)*H17))+0.5*(I17^2)*$B$5)/(I17*SQRT($B$5))</f>
        <v>-1.5820215335301531</v>
      </c>
      <c r="N17" s="21">
        <f>M17-I17*SQRT($B$5)</f>
        <v>-1.8575212653455973</v>
      </c>
      <c r="O17" s="21">
        <f t="shared" si="3"/>
        <v>5.6822327377386746E-2</v>
      </c>
      <c r="P17" s="21">
        <f t="shared" si="3"/>
        <v>3.1618514300422458E-2</v>
      </c>
      <c r="Q17" s="22">
        <f t="shared" si="7"/>
        <v>9.6010882933681679E-2</v>
      </c>
    </row>
    <row r="18" spans="1:17" x14ac:dyDescent="0.25">
      <c r="A18" s="29">
        <v>0.8</v>
      </c>
      <c r="B18" s="20">
        <f t="shared" ref="B18:B19" si="8">(LN(H18/$B$4) + ($B$6 + 0.5*(I18^2))*$B$5)/(I18*SQRT($B$5))</f>
        <v>1.6119847636944962</v>
      </c>
      <c r="C18" s="20">
        <f t="shared" ref="C18:C19" si="9">B18-I18*SQRT($B$5)</f>
        <v>1.288392907547685</v>
      </c>
      <c r="D18" s="21">
        <f t="shared" ref="D18:D19" si="10">_xlfn.NORM.S.DIST(B18,TRUE)</f>
        <v>0.94651737235130451</v>
      </c>
      <c r="E18" s="21">
        <f t="shared" ref="E18:E19" si="11">_xlfn.NORM.S.DIST(C18,TRUE)</f>
        <v>0.90119538681070199</v>
      </c>
      <c r="F18" s="22">
        <f t="shared" ref="F18:F20" si="12">1-E18</f>
        <v>9.8804613189298007E-2</v>
      </c>
      <c r="G18" s="23">
        <f t="shared" ref="G18:G19" si="13">H18*D18-$B$4*EXP(-$B$6*$B$5)*E18</f>
        <v>2.9999996084997314</v>
      </c>
      <c r="H18" s="24">
        <v>7.8358331688993648</v>
      </c>
      <c r="I18" s="26">
        <v>0.32359185614681107</v>
      </c>
      <c r="J18" s="25">
        <f t="shared" ref="J18:J19" si="14">H18*I18</f>
        <v>2.5356117995808942</v>
      </c>
      <c r="K18" s="21">
        <f t="shared" ref="K18:K19" si="15">G18*A18/D18</f>
        <v>2.5356108159301844</v>
      </c>
      <c r="M18" s="21">
        <f t="shared" ref="M18:M19" si="16">(LN($B$4/(EXP($B$6*$B$5)*H18))+0.5*(I18^2)*$B$5)/(I18*SQRT($B$5))</f>
        <v>-1.2883929075476852</v>
      </c>
      <c r="N18" s="21">
        <f t="shared" ref="N18:N19" si="17">M18-I18*SQRT($B$5)</f>
        <v>-1.6119847636944962</v>
      </c>
      <c r="O18" s="21">
        <f t="shared" ref="O18:O19" si="18">_xlfn.NORM.S.DIST(M18,TRUE)</f>
        <v>9.880461318929791E-2</v>
      </c>
      <c r="P18" s="21">
        <f t="shared" ref="P18:P19" si="19">_xlfn.NORM.S.DIST(N18,TRUE)</f>
        <v>5.3482627648695547E-2</v>
      </c>
      <c r="Q18" s="22">
        <f t="shared" ref="Q18:Q19" si="20">O18+EXP(2*($B$6-0.5*(I18^2))*LN($B$4/H18)/(I18^2))*P18</f>
        <v>0.16940281909985308</v>
      </c>
    </row>
    <row r="19" spans="1:17" x14ac:dyDescent="0.25">
      <c r="A19" s="29">
        <v>0.9</v>
      </c>
      <c r="B19" s="20">
        <f t="shared" si="8"/>
        <v>1.4147581682562305</v>
      </c>
      <c r="C19" s="20">
        <f t="shared" si="9"/>
        <v>1.0380691153546797</v>
      </c>
      <c r="D19" s="21">
        <f t="shared" si="10"/>
        <v>0.92143029350883732</v>
      </c>
      <c r="E19" s="21">
        <f t="shared" si="11"/>
        <v>0.85038106056713725</v>
      </c>
      <c r="F19" s="22">
        <f t="shared" si="12"/>
        <v>0.14961893943286275</v>
      </c>
      <c r="G19" s="23">
        <f t="shared" si="13"/>
        <v>2.999999059742767</v>
      </c>
      <c r="H19" s="24">
        <v>7.7788966209406691</v>
      </c>
      <c r="I19" s="26">
        <v>0.37668905290155086</v>
      </c>
      <c r="J19" s="25">
        <f t="shared" si="14"/>
        <v>2.9302252007612148</v>
      </c>
      <c r="K19" s="21">
        <f t="shared" si="15"/>
        <v>2.9302261633778106</v>
      </c>
      <c r="M19" s="21">
        <f t="shared" si="16"/>
        <v>-1.0380691153546793</v>
      </c>
      <c r="N19" s="21">
        <f t="shared" si="17"/>
        <v>-1.4147581682562302</v>
      </c>
      <c r="O19" s="21">
        <f t="shared" si="18"/>
        <v>0.14961893943286275</v>
      </c>
      <c r="P19" s="21">
        <f t="shared" si="19"/>
        <v>7.8569706491162711E-2</v>
      </c>
      <c r="Q19" s="22">
        <f t="shared" si="20"/>
        <v>0.25753674888417288</v>
      </c>
    </row>
    <row r="20" spans="1:17" x14ac:dyDescent="0.25">
      <c r="A20" s="29">
        <v>1</v>
      </c>
      <c r="B20" s="20">
        <f t="shared" ref="B20" si="21">(LN(H20/$B$4) + ($B$6 + 0.5*(I20^2))*$B$5)/(I20*SQRT($B$5))</f>
        <v>1.2540566634665136</v>
      </c>
      <c r="C20" s="20">
        <f t="shared" ref="C20" si="22">B20-I20*SQRT($B$5)</f>
        <v>0.81857107413174957</v>
      </c>
      <c r="D20" s="21">
        <f t="shared" ref="D20" si="23">_xlfn.NORM.S.DIST(B20,TRUE)</f>
        <v>0.89508929474683085</v>
      </c>
      <c r="E20" s="21">
        <f t="shared" ref="E20" si="24">_xlfn.NORM.S.DIST(C20,TRUE)</f>
        <v>0.79348441201547937</v>
      </c>
      <c r="F20" s="22">
        <f t="shared" si="12"/>
        <v>0.20651558798452063</v>
      </c>
      <c r="G20" s="23">
        <f t="shared" ref="G20" si="25">H20*D20-$B$4*EXP(-$B$6*$B$5)*E20</f>
        <v>2.9999999455468833</v>
      </c>
      <c r="H20" s="24">
        <v>7.6962844106309678</v>
      </c>
      <c r="I20" s="26">
        <v>0.435485589334764</v>
      </c>
      <c r="J20" s="25">
        <f t="shared" ref="J20" si="26">H20*I20</f>
        <v>3.3516209522515839</v>
      </c>
      <c r="K20" s="21">
        <f t="shared" ref="K20" si="27">G20*A20/D20</f>
        <v>3.3516208529735687</v>
      </c>
      <c r="M20" s="21">
        <f t="shared" ref="M20" si="28">(LN($B$4/(EXP($B$6*$B$5)*H20))+0.5*(I20^2)*$B$5)/(I20*SQRT($B$5))</f>
        <v>-0.81857107413174923</v>
      </c>
      <c r="N20" s="21">
        <f t="shared" ref="N20" si="29">M20-I20*SQRT($B$5)</f>
        <v>-1.2540566634665131</v>
      </c>
      <c r="O20" s="21">
        <f t="shared" ref="O20" si="30">_xlfn.NORM.S.DIST(M20,TRUE)</f>
        <v>0.20651558798452069</v>
      </c>
      <c r="P20" s="21">
        <f t="shared" ref="P20" si="31">_xlfn.NORM.S.DIST(N20,TRUE)</f>
        <v>0.10491070525316923</v>
      </c>
      <c r="Q20" s="22">
        <f t="shared" ref="Q20" si="32">O20+EXP(2*($B$6-0.5*(I20^2))*LN($B$4/H20)/(I20^2))*P20</f>
        <v>0.35395844545977451</v>
      </c>
    </row>
    <row r="21" spans="1:17" x14ac:dyDescent="0.25">
      <c r="D21" s="8"/>
    </row>
    <row r="23" spans="1:17" x14ac:dyDescent="0.25">
      <c r="D23" s="4"/>
    </row>
    <row r="24" spans="1:17" x14ac:dyDescent="0.25">
      <c r="D24" s="4"/>
    </row>
    <row r="25" spans="1:17" x14ac:dyDescent="0.25">
      <c r="D25" s="4"/>
    </row>
    <row r="26" spans="1:17" x14ac:dyDescent="0.25">
      <c r="D26" s="4"/>
    </row>
    <row r="27" spans="1:17" x14ac:dyDescent="0.25">
      <c r="D27" s="4"/>
    </row>
    <row r="28" spans="1:17" x14ac:dyDescent="0.25">
      <c r="D28" s="4"/>
    </row>
    <row r="29" spans="1:17" x14ac:dyDescent="0.25">
      <c r="D29" s="4"/>
    </row>
    <row r="30" spans="1:17" x14ac:dyDescent="0.25">
      <c r="D30" s="4"/>
    </row>
    <row r="31" spans="1:17" x14ac:dyDescent="0.25">
      <c r="D31" s="4"/>
    </row>
    <row r="32" spans="1:17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</sheetData>
  <mergeCells count="1">
    <mergeCell ref="H9:I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loop_solver">
                <anchor moveWithCells="1" sizeWithCells="1">
                  <from>
                    <xdr:col>5</xdr:col>
                    <xdr:colOff>161925</xdr:colOff>
                    <xdr:row>2</xdr:row>
                    <xdr:rowOff>152400</xdr:rowOff>
                  </from>
                  <to>
                    <xdr:col>7</xdr:col>
                    <xdr:colOff>142875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5"/>
  <sheetViews>
    <sheetView showGridLines="0" topLeftCell="A4" zoomScale="90" zoomScaleNormal="90" workbookViewId="0">
      <selection activeCell="C20" sqref="C20"/>
    </sheetView>
  </sheetViews>
  <sheetFormatPr defaultRowHeight="15" x14ac:dyDescent="0.25"/>
  <cols>
    <col min="1" max="1" width="14.140625" customWidth="1"/>
    <col min="2" max="2" width="15.5703125" bestFit="1" customWidth="1"/>
    <col min="3" max="3" width="13.7109375" bestFit="1" customWidth="1"/>
    <col min="4" max="4" width="11.28515625" style="3" customWidth="1"/>
    <col min="6" max="6" width="13.42578125" customWidth="1"/>
    <col min="9" max="9" width="14.28515625" bestFit="1" customWidth="1"/>
    <col min="10" max="10" width="11.140625" customWidth="1"/>
    <col min="11" max="11" width="16" bestFit="1" customWidth="1"/>
    <col min="12" max="12" width="7.5703125" style="7" customWidth="1"/>
    <col min="13" max="13" width="12.5703125" bestFit="1" customWidth="1"/>
    <col min="14" max="14" width="11.28515625" customWidth="1"/>
    <col min="15" max="15" width="11.28515625" bestFit="1" customWidth="1"/>
    <col min="17" max="17" width="12" customWidth="1"/>
  </cols>
  <sheetData>
    <row r="1" spans="1:17" ht="22.5" x14ac:dyDescent="0.3">
      <c r="A1" s="17" t="s">
        <v>25</v>
      </c>
    </row>
    <row r="4" spans="1:17" ht="30" x14ac:dyDescent="0.25">
      <c r="A4" s="30" t="s">
        <v>26</v>
      </c>
      <c r="B4" s="5">
        <v>10</v>
      </c>
      <c r="C4" s="1" t="s">
        <v>27</v>
      </c>
      <c r="D4" s="4"/>
    </row>
    <row r="5" spans="1:17" x14ac:dyDescent="0.25">
      <c r="A5" s="5" t="s">
        <v>3</v>
      </c>
      <c r="B5" s="5">
        <v>1</v>
      </c>
      <c r="C5" s="1" t="s">
        <v>14</v>
      </c>
      <c r="D5" s="4"/>
    </row>
    <row r="6" spans="1:17" x14ac:dyDescent="0.25">
      <c r="A6" s="5" t="s">
        <v>1</v>
      </c>
      <c r="B6" s="6">
        <v>0.05</v>
      </c>
      <c r="C6" s="1" t="s">
        <v>15</v>
      </c>
      <c r="D6" s="4"/>
    </row>
    <row r="7" spans="1:17" x14ac:dyDescent="0.25">
      <c r="A7" s="4"/>
      <c r="B7" s="4"/>
      <c r="C7" s="4"/>
      <c r="D7" s="4"/>
    </row>
    <row r="8" spans="1:17" ht="15.75" thickBot="1" x14ac:dyDescent="0.3"/>
    <row r="9" spans="1:17" ht="15.75" thickTop="1" x14ac:dyDescent="0.25">
      <c r="B9" s="9" t="s">
        <v>16</v>
      </c>
      <c r="C9" s="10"/>
      <c r="D9" s="11"/>
      <c r="E9" s="10"/>
      <c r="F9" s="10"/>
      <c r="G9" s="12" t="s">
        <v>20</v>
      </c>
      <c r="H9" s="13" t="s">
        <v>21</v>
      </c>
      <c r="I9" s="13"/>
      <c r="J9" s="12" t="s">
        <v>22</v>
      </c>
      <c r="K9" s="27"/>
      <c r="M9" s="16" t="s">
        <v>23</v>
      </c>
      <c r="N9" s="14"/>
      <c r="O9" s="14"/>
      <c r="P9" s="14"/>
      <c r="Q9" s="15"/>
    </row>
    <row r="10" spans="1:17" x14ac:dyDescent="0.25">
      <c r="A10" s="28" t="s">
        <v>17</v>
      </c>
      <c r="B10" s="18" t="s">
        <v>2</v>
      </c>
      <c r="C10" s="19" t="s">
        <v>5</v>
      </c>
      <c r="D10" s="19" t="s">
        <v>6</v>
      </c>
      <c r="E10" s="19" t="s">
        <v>7</v>
      </c>
      <c r="F10" s="19" t="s">
        <v>13</v>
      </c>
      <c r="G10" s="19" t="s">
        <v>0</v>
      </c>
      <c r="H10" s="19" t="s">
        <v>4</v>
      </c>
      <c r="I10" s="19" t="s">
        <v>18</v>
      </c>
      <c r="J10" s="19" t="s">
        <v>19</v>
      </c>
      <c r="K10" s="19" t="s">
        <v>24</v>
      </c>
      <c r="M10" s="19" t="s">
        <v>8</v>
      </c>
      <c r="N10" s="19" t="s">
        <v>9</v>
      </c>
      <c r="O10" s="19" t="s">
        <v>10</v>
      </c>
      <c r="P10" s="19" t="s">
        <v>11</v>
      </c>
      <c r="Q10" s="19" t="s">
        <v>12</v>
      </c>
    </row>
    <row r="11" spans="1:17" x14ac:dyDescent="0.25">
      <c r="A11" s="29">
        <v>0.1</v>
      </c>
      <c r="B11" s="20">
        <f>(LN(H11/$B$4) + ($B$6 + 0.5*(I11^2))*$B$5)/(I11*SQRT($B$5))</f>
        <v>11.445164119682021</v>
      </c>
      <c r="C11" s="20">
        <f t="shared" ref="C11:C16" si="0">B11-I11*SQRT($B$5)</f>
        <v>11.421187701438843</v>
      </c>
      <c r="D11" s="21">
        <f t="shared" ref="D11:E16" si="1">_xlfn.NORM.S.DIST(B11,TRUE)</f>
        <v>1</v>
      </c>
      <c r="E11" s="21">
        <f t="shared" si="1"/>
        <v>1</v>
      </c>
      <c r="F11" s="22">
        <f>1-E11</f>
        <v>0</v>
      </c>
      <c r="G11" s="23">
        <f t="shared" ref="G11:G16" si="2">H11*D11-$B$4*EXP(-$B$6*$B$5)*E11</f>
        <v>2.9999999990341433</v>
      </c>
      <c r="H11" s="24">
        <v>12.512294244041284</v>
      </c>
      <c r="I11" s="26">
        <v>2.3976418243177981E-2</v>
      </c>
      <c r="J11" s="25">
        <f>H11*I11</f>
        <v>0.29999999997684229</v>
      </c>
      <c r="K11" s="21">
        <f>G11*A11/D11</f>
        <v>0.29999999990341436</v>
      </c>
      <c r="M11" s="21">
        <f>(LN($B$4/(EXP($B$6*$B$5)*H11))+0.5*(I11^2)*$B$5)/(I11*SQRT($B$5))</f>
        <v>-11.421187701438841</v>
      </c>
      <c r="N11" s="21">
        <f>M11-I11*SQRT($B$5)</f>
        <v>-11.445164119682019</v>
      </c>
      <c r="O11" s="21">
        <f t="shared" ref="O11:P20" si="3">_xlfn.NORM.S.DIST(M11,TRUE)</f>
        <v>1.6386214359680394E-30</v>
      </c>
      <c r="P11" s="21">
        <f t="shared" si="3"/>
        <v>1.2431674576569581E-30</v>
      </c>
      <c r="Q11" s="22">
        <f>O11+EXP(2*($B$6-0.5*(I11^2))*LN($B$4/H11)/(I11^2))*P11</f>
        <v>1.6386214359680394E-30</v>
      </c>
    </row>
    <row r="12" spans="1:17" x14ac:dyDescent="0.25">
      <c r="A12" s="29">
        <v>0.2</v>
      </c>
      <c r="B12" s="20">
        <f t="shared" ref="B12:B16" si="4">(LN(H12/$B$4) + ($B$6 + 0.5*(I12^2))*$B$5)/(I12*SQRT($B$5))</f>
        <v>5.7405696425081798</v>
      </c>
      <c r="C12" s="20">
        <f t="shared" si="0"/>
        <v>5.6926168504061154</v>
      </c>
      <c r="D12" s="21">
        <f t="shared" si="1"/>
        <v>0.99999999528206973</v>
      </c>
      <c r="E12" s="21">
        <f t="shared" si="1"/>
        <v>0.99999999374465398</v>
      </c>
      <c r="F12" s="22">
        <f>1-E12</f>
        <v>6.2553460189462839E-9</v>
      </c>
      <c r="G12" s="23">
        <f t="shared" si="2"/>
        <v>2.9999999995047038</v>
      </c>
      <c r="H12" s="24">
        <v>12.512294244041284</v>
      </c>
      <c r="I12" s="26">
        <v>4.7952792102064247E-2</v>
      </c>
      <c r="J12" s="25">
        <f t="shared" ref="J12:J20" si="5">H12*I12</f>
        <v>0.59999944460436683</v>
      </c>
      <c r="K12" s="21">
        <f t="shared" ref="K12:K20" si="6">G12*A12/D12</f>
        <v>0.60000000273169896</v>
      </c>
      <c r="M12" s="21">
        <f>(LN($B$4/(EXP($B$6*$B$5)*H12))+0.5*(I12^2)*$B$5)/(I12*SQRT($B$5))</f>
        <v>-5.6926168504061154</v>
      </c>
      <c r="N12" s="21">
        <f>M12-I12*SQRT($B$5)</f>
        <v>-5.7405696425081798</v>
      </c>
      <c r="O12" s="21">
        <f t="shared" si="3"/>
        <v>6.2553460651249354E-9</v>
      </c>
      <c r="P12" s="21">
        <f t="shared" si="3"/>
        <v>4.717930297656186E-9</v>
      </c>
      <c r="Q12" s="22">
        <f t="shared" ref="Q12:Q20" si="7">O12+EXP(2*($B$6-0.5*(I12^2))*LN($B$4/H12)/(I12^2))*P12</f>
        <v>6.2556912663094084E-9</v>
      </c>
    </row>
    <row r="13" spans="1:17" x14ac:dyDescent="0.25">
      <c r="A13" s="29">
        <v>0.3</v>
      </c>
      <c r="B13" s="20">
        <f t="shared" si="4"/>
        <v>3.8467793895235789</v>
      </c>
      <c r="C13" s="20">
        <f t="shared" si="0"/>
        <v>3.7748457576680741</v>
      </c>
      <c r="D13" s="21">
        <f t="shared" si="1"/>
        <v>0.99994015967967342</v>
      </c>
      <c r="E13" s="21">
        <f t="shared" si="1"/>
        <v>0.99991994665103634</v>
      </c>
      <c r="F13" s="22">
        <f>1-E13</f>
        <v>8.005334896366012E-5</v>
      </c>
      <c r="G13" s="23">
        <f t="shared" si="2"/>
        <v>3.0000000043431587</v>
      </c>
      <c r="H13" s="24">
        <v>12.512281497272472</v>
      </c>
      <c r="I13" s="26">
        <v>7.1933631855504776E-2</v>
      </c>
      <c r="J13" s="25">
        <f t="shared" si="5"/>
        <v>0.9000538508972421</v>
      </c>
      <c r="K13" s="21">
        <f t="shared" si="6"/>
        <v>0.90005386081428984</v>
      </c>
      <c r="M13" s="21">
        <f>(LN($B$4/(EXP($B$6*$B$5)*H13))+0.5*(I13^2)*$B$5)/(I13*SQRT($B$5))</f>
        <v>-3.7748457576680732</v>
      </c>
      <c r="N13" s="21">
        <f>M13-I13*SQRT($B$5)</f>
        <v>-3.846779389523578</v>
      </c>
      <c r="O13" s="21">
        <f t="shared" si="3"/>
        <v>8.0053348963695316E-5</v>
      </c>
      <c r="P13" s="21">
        <f t="shared" si="3"/>
        <v>5.9840320326534134E-5</v>
      </c>
      <c r="Q13" s="22">
        <f t="shared" si="7"/>
        <v>8.1037883304903725E-5</v>
      </c>
    </row>
    <row r="14" spans="1:17" x14ac:dyDescent="0.25">
      <c r="A14" s="29">
        <v>0.4</v>
      </c>
      <c r="B14" s="20">
        <f t="shared" si="4"/>
        <v>2.9003031181658954</v>
      </c>
      <c r="C14" s="20">
        <f t="shared" si="0"/>
        <v>2.804213212102272</v>
      </c>
      <c r="D14" s="21">
        <f t="shared" si="1"/>
        <v>0.99813599022749278</v>
      </c>
      <c r="E14" s="21">
        <f t="shared" si="1"/>
        <v>0.99747802310765554</v>
      </c>
      <c r="F14" s="22">
        <f>1-E14</f>
        <v>2.5219768923444574E-3</v>
      </c>
      <c r="G14" s="23">
        <f t="shared" si="2"/>
        <v>2.9999999991420374</v>
      </c>
      <c r="H14" s="24">
        <v>12.511626251472793</v>
      </c>
      <c r="I14" s="26">
        <v>9.6089906063623484E-2</v>
      </c>
      <c r="J14" s="25">
        <f t="shared" si="5"/>
        <v>1.2022409912071863</v>
      </c>
      <c r="K14" s="21">
        <f t="shared" si="6"/>
        <v>1.2022409886084902</v>
      </c>
      <c r="M14" s="21">
        <f>(LN($B$4/(EXP($B$6*$B$5)*H14))+0.5*(I14^2)*$B$5)/(I14*SQRT($B$5))</f>
        <v>-2.8042132121022734</v>
      </c>
      <c r="N14" s="21">
        <f>M14-I14*SQRT($B$5)</f>
        <v>-2.9003031181658967</v>
      </c>
      <c r="O14" s="21">
        <f t="shared" si="3"/>
        <v>2.5219768923444336E-3</v>
      </c>
      <c r="P14" s="21">
        <f t="shared" si="3"/>
        <v>1.8640097725072615E-3</v>
      </c>
      <c r="Q14" s="22">
        <f t="shared" si="7"/>
        <v>2.7279521507206418E-3</v>
      </c>
    </row>
    <row r="15" spans="1:17" s="2" customFormat="1" x14ac:dyDescent="0.25">
      <c r="A15" s="31">
        <v>0.5</v>
      </c>
      <c r="B15" s="32">
        <f t="shared" si="4"/>
        <v>2.3193426541840836</v>
      </c>
      <c r="C15" s="32">
        <f t="shared" si="0"/>
        <v>2.198173839378414</v>
      </c>
      <c r="D15" s="33">
        <f t="shared" si="1"/>
        <v>0.98981176781301028</v>
      </c>
      <c r="E15" s="33">
        <f t="shared" si="1"/>
        <v>0.98603163991046383</v>
      </c>
      <c r="F15" s="34">
        <f>1-E15</f>
        <v>1.3968360089536169E-2</v>
      </c>
      <c r="G15" s="35">
        <f t="shared" si="2"/>
        <v>2.9999999867105061</v>
      </c>
      <c r="H15" s="36">
        <v>12.506845728635968</v>
      </c>
      <c r="I15" s="37">
        <v>0.12116881480566949</v>
      </c>
      <c r="J15" s="38">
        <f t="shared" si="5"/>
        <v>1.51543967389617</v>
      </c>
      <c r="K15" s="33">
        <f t="shared" si="6"/>
        <v>1.5154396443169229</v>
      </c>
      <c r="M15" s="33">
        <f>(LN($B$4/(EXP($B$6*$B$5)*H15))+0.5*(I15^2)*$B$5)/(I15*SQRT($B$5))</f>
        <v>-2.1981738393784149</v>
      </c>
      <c r="N15" s="33">
        <f>M15-I15*SQRT($B$5)</f>
        <v>-2.3193426541840845</v>
      </c>
      <c r="O15" s="33">
        <f t="shared" si="3"/>
        <v>1.3968360089536178E-2</v>
      </c>
      <c r="P15" s="33">
        <f t="shared" si="3"/>
        <v>1.0188232186989672E-2</v>
      </c>
      <c r="Q15" s="34">
        <f t="shared" si="7"/>
        <v>1.6745269646891887E-2</v>
      </c>
    </row>
    <row r="16" spans="1:17" x14ac:dyDescent="0.25">
      <c r="A16" s="29">
        <v>0.6</v>
      </c>
      <c r="B16" s="20">
        <f t="shared" si="4"/>
        <v>1.9120377792972136</v>
      </c>
      <c r="C16" s="20">
        <f t="shared" si="0"/>
        <v>1.7637972325584916</v>
      </c>
      <c r="D16" s="21">
        <f t="shared" si="1"/>
        <v>0.9720643257509618</v>
      </c>
      <c r="E16" s="21">
        <f t="shared" si="1"/>
        <v>0.96111693819281896</v>
      </c>
      <c r="F16" s="22">
        <f>1-E16</f>
        <v>3.8883061807181041E-2</v>
      </c>
      <c r="G16" s="23">
        <f t="shared" si="2"/>
        <v>2.9999999735464193</v>
      </c>
      <c r="H16" s="24">
        <v>12.491382279785141</v>
      </c>
      <c r="I16" s="26">
        <v>0.14824054673872197</v>
      </c>
      <c r="J16" s="25">
        <f t="shared" si="5"/>
        <v>1.8517293386777325</v>
      </c>
      <c r="K16" s="21">
        <f t="shared" si="6"/>
        <v>1.8517292903813476</v>
      </c>
      <c r="M16" s="21">
        <f>(LN($B$4/(EXP($B$6*$B$5)*H16))+0.5*(I16^2)*$B$5)/(I16*SQRT($B$5))</f>
        <v>-1.7637972325584916</v>
      </c>
      <c r="N16" s="21">
        <f>M16-I16*SQRT($B$5)</f>
        <v>-1.9120377792972136</v>
      </c>
      <c r="O16" s="21">
        <f t="shared" si="3"/>
        <v>3.8883061807181082E-2</v>
      </c>
      <c r="P16" s="21">
        <f t="shared" si="3"/>
        <v>2.7935674249038162E-2</v>
      </c>
      <c r="Q16" s="22">
        <f t="shared" si="7"/>
        <v>5.1563569152357817E-2</v>
      </c>
    </row>
    <row r="17" spans="1:17" x14ac:dyDescent="0.25">
      <c r="A17" s="29">
        <v>0.7</v>
      </c>
      <c r="B17" s="20">
        <f>(LN(H17/$B$4) + ($B$6 + 0.5*(I17^2))*$B$5)/(I17*SQRT($B$5))</f>
        <v>1.6017128849460409</v>
      </c>
      <c r="C17" s="20">
        <f>B17-I17*SQRT($B$5)</f>
        <v>1.4233976231387007</v>
      </c>
      <c r="D17" s="21">
        <f>_xlfn.NORM.S.DIST(B17,TRUE)</f>
        <v>0.94539044272217854</v>
      </c>
      <c r="E17" s="21">
        <f>_xlfn.NORM.S.DIST(C17,TRUE)</f>
        <v>0.92268953943579013</v>
      </c>
      <c r="F17" s="22">
        <f>1-E17</f>
        <v>7.7310460564209871E-2</v>
      </c>
      <c r="G17" s="23">
        <f>H17*D17-$B$4*EXP(-$B$6*$B$5)*E17</f>
        <v>2.9999999924467069</v>
      </c>
      <c r="H17" s="24">
        <v>12.457175211587085</v>
      </c>
      <c r="I17" s="26">
        <v>0.1783152618073402</v>
      </c>
      <c r="J17" s="25">
        <f t="shared" si="5"/>
        <v>2.2213044592340596</v>
      </c>
      <c r="K17" s="21">
        <f t="shared" si="6"/>
        <v>2.2213044471508594</v>
      </c>
      <c r="M17" s="21">
        <f>(LN($B$4/(EXP($B$6*$B$5)*H17))+0.5*(I17^2)*$B$5)/(I17*SQRT($B$5))</f>
        <v>-1.4233976231387007</v>
      </c>
      <c r="N17" s="21">
        <f>M17-I17*SQRT($B$5)</f>
        <v>-1.6017128849460409</v>
      </c>
      <c r="O17" s="21">
        <f t="shared" si="3"/>
        <v>7.7310460564209885E-2</v>
      </c>
      <c r="P17" s="21">
        <f t="shared" si="3"/>
        <v>5.4609557277821463E-2</v>
      </c>
      <c r="Q17" s="22">
        <f t="shared" si="7"/>
        <v>0.11139771869265552</v>
      </c>
    </row>
    <row r="18" spans="1:17" x14ac:dyDescent="0.25">
      <c r="A18" s="29">
        <v>0.8</v>
      </c>
      <c r="B18" s="20">
        <f t="shared" ref="B18:B20" si="8">(LN(H18/$B$4) + ($B$6 + 0.5*(I18^2))*$B$5)/(I18*SQRT($B$5))</f>
        <v>1.3531305975062771</v>
      </c>
      <c r="C18" s="20">
        <f t="shared" ref="C18:C20" si="9">B18-I18*SQRT($B$5)</f>
        <v>1.1408259061847805</v>
      </c>
      <c r="D18" s="21">
        <f t="shared" ref="D18:E20" si="10">_xlfn.NORM.S.DIST(B18,TRUE)</f>
        <v>0.9119930438777325</v>
      </c>
      <c r="E18" s="21">
        <f t="shared" si="10"/>
        <v>0.87302881114326691</v>
      </c>
      <c r="F18" s="22">
        <f t="shared" ref="F18:F20" si="11">1-E18</f>
        <v>0.12697118885673309</v>
      </c>
      <c r="G18" s="23">
        <f t="shared" ref="G18:G20" si="12">H18*D18-$B$4*EXP(-$B$6*$B$5)*E18</f>
        <v>3.0000002202230807</v>
      </c>
      <c r="H18" s="24">
        <v>12.395387478089315</v>
      </c>
      <c r="I18" s="26">
        <v>0.21230469132149646</v>
      </c>
      <c r="J18" s="25">
        <f t="shared" si="5"/>
        <v>2.6315989123460946</v>
      </c>
      <c r="K18" s="21">
        <f t="shared" si="6"/>
        <v>2.631599212614415</v>
      </c>
      <c r="M18" s="21">
        <f t="shared" ref="M18:M20" si="13">(LN($B$4/(EXP($B$6*$B$5)*H18))+0.5*(I18^2)*$B$5)/(I18*SQRT($B$5))</f>
        <v>-1.1408259061847812</v>
      </c>
      <c r="N18" s="21">
        <f t="shared" ref="N18:N20" si="14">M18-I18*SQRT($B$5)</f>
        <v>-1.3531305975062777</v>
      </c>
      <c r="O18" s="21">
        <f t="shared" si="3"/>
        <v>0.12697118885673292</v>
      </c>
      <c r="P18" s="21">
        <f t="shared" si="3"/>
        <v>8.800695612226736E-2</v>
      </c>
      <c r="Q18" s="22">
        <f t="shared" si="7"/>
        <v>0.19471496037210539</v>
      </c>
    </row>
    <row r="19" spans="1:17" x14ac:dyDescent="0.25">
      <c r="A19" s="29">
        <v>0.9</v>
      </c>
      <c r="B19" s="20">
        <f t="shared" si="8"/>
        <v>1.1481633384807235</v>
      </c>
      <c r="C19" s="20">
        <f t="shared" si="9"/>
        <v>0.89709635377358365</v>
      </c>
      <c r="D19" s="21">
        <f t="shared" si="10"/>
        <v>0.87454942962748405</v>
      </c>
      <c r="E19" s="21">
        <f t="shared" si="10"/>
        <v>0.81516624789583891</v>
      </c>
      <c r="F19" s="22">
        <f t="shared" si="11"/>
        <v>0.18483375210416109</v>
      </c>
      <c r="G19" s="23">
        <f t="shared" si="12"/>
        <v>3.0000003497278422</v>
      </c>
      <c r="H19" s="24">
        <v>12.296733831148028</v>
      </c>
      <c r="I19" s="26">
        <v>0.25106698470713984</v>
      </c>
      <c r="J19" s="25">
        <f t="shared" si="5"/>
        <v>3.0873038847326111</v>
      </c>
      <c r="K19" s="21">
        <f t="shared" si="6"/>
        <v>3.0873044144630319</v>
      </c>
      <c r="M19" s="21">
        <f t="shared" si="13"/>
        <v>-0.89709635377358432</v>
      </c>
      <c r="N19" s="21">
        <f t="shared" si="14"/>
        <v>-1.1481633384807242</v>
      </c>
      <c r="O19" s="21">
        <f t="shared" si="3"/>
        <v>0.18483375210416095</v>
      </c>
      <c r="P19" s="21">
        <f t="shared" si="3"/>
        <v>0.12545057037251583</v>
      </c>
      <c r="Q19" s="22">
        <f t="shared" si="7"/>
        <v>0.29596015729916825</v>
      </c>
    </row>
    <row r="20" spans="1:17" x14ac:dyDescent="0.25">
      <c r="A20" s="29">
        <v>1</v>
      </c>
      <c r="B20" s="20">
        <f t="shared" si="8"/>
        <v>0.97668440926142475</v>
      </c>
      <c r="C20" s="20">
        <f t="shared" si="9"/>
        <v>0.68125226399814398</v>
      </c>
      <c r="D20" s="21">
        <f t="shared" si="10"/>
        <v>0.8356372919992856</v>
      </c>
      <c r="E20" s="21">
        <f t="shared" si="10"/>
        <v>0.75214405859138944</v>
      </c>
      <c r="F20" s="22">
        <f t="shared" si="11"/>
        <v>0.24785594140861056</v>
      </c>
      <c r="G20" s="23">
        <f t="shared" si="12"/>
        <v>3.0000002509749137</v>
      </c>
      <c r="H20" s="24">
        <v>12.151941934801521</v>
      </c>
      <c r="I20" s="26">
        <v>0.29543214526328077</v>
      </c>
      <c r="J20" s="25">
        <f t="shared" si="5"/>
        <v>3.5900742749132357</v>
      </c>
      <c r="K20" s="21">
        <f t="shared" si="6"/>
        <v>3.5900746408735889</v>
      </c>
      <c r="M20" s="21">
        <f t="shared" si="13"/>
        <v>-0.68125226399814409</v>
      </c>
      <c r="N20" s="21">
        <f t="shared" si="14"/>
        <v>-0.97668440926142486</v>
      </c>
      <c r="O20" s="21">
        <f t="shared" si="3"/>
        <v>0.24785594140861061</v>
      </c>
      <c r="P20" s="21">
        <f t="shared" si="3"/>
        <v>0.16436270800071437</v>
      </c>
      <c r="Q20" s="22">
        <f t="shared" si="7"/>
        <v>0.40761569304277723</v>
      </c>
    </row>
    <row r="21" spans="1:17" x14ac:dyDescent="0.25">
      <c r="D21" s="8"/>
    </row>
    <row r="23" spans="1:17" x14ac:dyDescent="0.25">
      <c r="D23" s="4"/>
    </row>
    <row r="24" spans="1:17" x14ac:dyDescent="0.25">
      <c r="D24" s="4"/>
    </row>
    <row r="25" spans="1:17" x14ac:dyDescent="0.25">
      <c r="D25" s="4"/>
    </row>
    <row r="26" spans="1:17" x14ac:dyDescent="0.25">
      <c r="D26" s="4"/>
      <c r="O26" s="20">
        <f>I11</f>
        <v>2.3976418243177981E-2</v>
      </c>
    </row>
    <row r="27" spans="1:17" x14ac:dyDescent="0.25">
      <c r="D27" s="4"/>
    </row>
    <row r="28" spans="1:17" x14ac:dyDescent="0.25">
      <c r="D28" s="4"/>
    </row>
    <row r="29" spans="1:17" x14ac:dyDescent="0.25">
      <c r="D29" s="4"/>
    </row>
    <row r="30" spans="1:17" x14ac:dyDescent="0.25">
      <c r="D30" s="4"/>
    </row>
    <row r="31" spans="1:17" x14ac:dyDescent="0.25">
      <c r="D31" s="4"/>
    </row>
    <row r="32" spans="1:17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</sheetData>
  <mergeCells count="1">
    <mergeCell ref="H9:I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op_solver">
                <anchor moveWithCells="1" sizeWithCells="1">
                  <from>
                    <xdr:col>5</xdr:col>
                    <xdr:colOff>161925</xdr:colOff>
                    <xdr:row>2</xdr:row>
                    <xdr:rowOff>152400</xdr:rowOff>
                  </from>
                  <to>
                    <xdr:col>7</xdr:col>
                    <xdr:colOff>142875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5"/>
  <sheetViews>
    <sheetView showGridLines="0" workbookViewId="0">
      <selection activeCell="I11" sqref="I11"/>
    </sheetView>
  </sheetViews>
  <sheetFormatPr defaultRowHeight="15" x14ac:dyDescent="0.25"/>
  <cols>
    <col min="1" max="1" width="14.140625" customWidth="1"/>
    <col min="2" max="2" width="15.5703125" bestFit="1" customWidth="1"/>
    <col min="3" max="3" width="13.7109375" bestFit="1" customWidth="1"/>
    <col min="4" max="4" width="11.28515625" style="3" customWidth="1"/>
    <col min="6" max="6" width="12" bestFit="1" customWidth="1"/>
    <col min="9" max="9" width="14.28515625" bestFit="1" customWidth="1"/>
    <col min="10" max="10" width="11.140625" customWidth="1"/>
    <col min="11" max="11" width="16" bestFit="1" customWidth="1"/>
    <col min="12" max="12" width="7.5703125" style="7" customWidth="1"/>
    <col min="13" max="13" width="12.5703125" bestFit="1" customWidth="1"/>
    <col min="14" max="14" width="11.28515625" customWidth="1"/>
    <col min="15" max="15" width="11.28515625" bestFit="1" customWidth="1"/>
    <col min="17" max="17" width="12" customWidth="1"/>
  </cols>
  <sheetData>
    <row r="1" spans="1:17" ht="22.5" x14ac:dyDescent="0.3">
      <c r="A1" s="17" t="s">
        <v>25</v>
      </c>
    </row>
    <row r="4" spans="1:17" ht="30" x14ac:dyDescent="0.25">
      <c r="A4" s="30" t="s">
        <v>26</v>
      </c>
      <c r="B4" s="5">
        <v>10</v>
      </c>
      <c r="C4" s="1" t="s">
        <v>27</v>
      </c>
      <c r="D4" s="4"/>
    </row>
    <row r="5" spans="1:17" x14ac:dyDescent="0.25">
      <c r="A5" s="5" t="s">
        <v>3</v>
      </c>
      <c r="B5" s="5">
        <v>1</v>
      </c>
      <c r="C5" s="1" t="s">
        <v>14</v>
      </c>
      <c r="D5" s="4"/>
    </row>
    <row r="6" spans="1:17" x14ac:dyDescent="0.25">
      <c r="A6" s="5" t="s">
        <v>1</v>
      </c>
      <c r="B6" s="6">
        <v>0.05</v>
      </c>
      <c r="C6" s="1" t="s">
        <v>15</v>
      </c>
      <c r="D6" s="4"/>
    </row>
    <row r="7" spans="1:17" x14ac:dyDescent="0.25">
      <c r="A7" s="4"/>
      <c r="B7" s="4"/>
      <c r="C7" s="4"/>
      <c r="D7" s="4"/>
    </row>
    <row r="8" spans="1:17" ht="15.75" thickBot="1" x14ac:dyDescent="0.3"/>
    <row r="9" spans="1:17" ht="15.75" thickTop="1" x14ac:dyDescent="0.25">
      <c r="B9" s="9" t="s">
        <v>16</v>
      </c>
      <c r="C9" s="10"/>
      <c r="D9" s="11"/>
      <c r="E9" s="10"/>
      <c r="F9" s="10"/>
      <c r="G9" s="12" t="s">
        <v>20</v>
      </c>
      <c r="H9" s="13" t="s">
        <v>21</v>
      </c>
      <c r="I9" s="13"/>
      <c r="J9" s="12" t="s">
        <v>22</v>
      </c>
      <c r="K9" s="27"/>
      <c r="M9" s="16" t="s">
        <v>23</v>
      </c>
      <c r="N9" s="14"/>
      <c r="O9" s="14"/>
      <c r="P9" s="14"/>
      <c r="Q9" s="15"/>
    </row>
    <row r="10" spans="1:17" x14ac:dyDescent="0.25">
      <c r="A10" s="28" t="s">
        <v>17</v>
      </c>
      <c r="B10" s="18" t="s">
        <v>2</v>
      </c>
      <c r="C10" s="19" t="s">
        <v>5</v>
      </c>
      <c r="D10" s="19" t="s">
        <v>6</v>
      </c>
      <c r="E10" s="19" t="s">
        <v>7</v>
      </c>
      <c r="F10" s="19" t="s">
        <v>13</v>
      </c>
      <c r="G10" s="19" t="s">
        <v>0</v>
      </c>
      <c r="H10" s="19" t="s">
        <v>4</v>
      </c>
      <c r="I10" s="19" t="s">
        <v>18</v>
      </c>
      <c r="J10" s="19" t="s">
        <v>19</v>
      </c>
      <c r="K10" s="19" t="s">
        <v>24</v>
      </c>
      <c r="M10" s="19" t="s">
        <v>8</v>
      </c>
      <c r="N10" s="19" t="s">
        <v>9</v>
      </c>
      <c r="O10" s="19" t="s">
        <v>10</v>
      </c>
      <c r="P10" s="19" t="s">
        <v>11</v>
      </c>
      <c r="Q10" s="19" t="s">
        <v>12</v>
      </c>
    </row>
    <row r="11" spans="1:17" x14ac:dyDescent="0.25">
      <c r="A11" s="29">
        <v>0.1</v>
      </c>
      <c r="B11" s="20">
        <f>(LN(H11/$B$4) + ($B$6 + 0.5*(I11^2))*$B$5)/(I11*SQRT($B$5))</f>
        <v>11.445164122901542</v>
      </c>
      <c r="C11" s="20">
        <f t="shared" ref="C11:C16" si="0">B11-I11*SQRT($B$5)</f>
        <v>11.421187704658363</v>
      </c>
      <c r="D11" s="21">
        <f t="shared" ref="D11:D16" si="1">_xlfn.NORM.S.DIST(B11,TRUE)</f>
        <v>1</v>
      </c>
      <c r="E11" s="21">
        <f t="shared" ref="E11:E16" si="2">_xlfn.NORM.S.DIST(C11,TRUE)</f>
        <v>1</v>
      </c>
      <c r="F11" s="22">
        <f>1-E11</f>
        <v>0</v>
      </c>
      <c r="G11" s="23">
        <f t="shared" ref="G11:G16" si="3">H11*D11-$B$4*EXP(-$B$6*$B$5)*E11</f>
        <v>3</v>
      </c>
      <c r="H11" s="24">
        <v>12.512294245007141</v>
      </c>
      <c r="I11" s="26">
        <v>2.3976418243177981E-2</v>
      </c>
      <c r="J11" s="25">
        <f>H11*I11</f>
        <v>0.30000000000000004</v>
      </c>
      <c r="K11" s="21">
        <f>G11*A11/D11</f>
        <v>0.30000000000000004</v>
      </c>
      <c r="M11" s="21">
        <f>(LN($B$4/(EXP($B$6*$B$5)*H11))+0.5*(I11^2)*$B$5)/(I11*SQRT($B$5))</f>
        <v>-11.421187704658367</v>
      </c>
      <c r="N11" s="21">
        <f>M11-I11*SQRT($B$5)</f>
        <v>-11.445164122901545</v>
      </c>
      <c r="O11" s="21">
        <f t="shared" ref="O11" si="4">_xlfn.NORM.S.DIST(M11,TRUE)</f>
        <v>1.6386213752595096E-30</v>
      </c>
      <c r="P11" s="21">
        <f t="shared" ref="P11" si="5">_xlfn.NORM.S.DIST(N11,TRUE)</f>
        <v>1.2431674115041762E-30</v>
      </c>
      <c r="Q11" s="22">
        <f>O11+EXP(2*($B$6-0.5*(I11^2))*LN($B$4/H11)/(I11^2))*P11</f>
        <v>1.6386213752595096E-30</v>
      </c>
    </row>
    <row r="12" spans="1:17" x14ac:dyDescent="0.25">
      <c r="A12" s="29">
        <v>0.2</v>
      </c>
      <c r="B12" s="20">
        <f t="shared" ref="B12:B16" si="6">(LN(H12/$B$4) + ($B$6 + 0.5*(I12^2))*$B$5)/(I12*SQRT($B$5))</f>
        <v>5.7405735981194246</v>
      </c>
      <c r="C12" s="20">
        <f t="shared" si="0"/>
        <v>5.6926208541707473</v>
      </c>
      <c r="D12" s="21">
        <f t="shared" si="1"/>
        <v>0.99999999528217987</v>
      </c>
      <c r="E12" s="21">
        <f t="shared" si="2"/>
        <v>0.99999999374480064</v>
      </c>
      <c r="F12" s="22">
        <f>1-E12</f>
        <v>6.255199358484731E-9</v>
      </c>
      <c r="G12" s="23">
        <f t="shared" si="3"/>
        <v>2.9999989430120308</v>
      </c>
      <c r="H12" s="24">
        <v>12.512293187548623</v>
      </c>
      <c r="I12" s="26">
        <v>4.7952743948677302E-2</v>
      </c>
      <c r="J12" s="25">
        <f t="shared" ref="J12:J17" si="7">H12*I12</f>
        <v>0.59999879143329848</v>
      </c>
      <c r="K12" s="21">
        <f t="shared" ref="K12:K17" si="8">G12*A12/D12</f>
        <v>0.59999979143309734</v>
      </c>
      <c r="M12" s="21">
        <f>(LN($B$4/(EXP($B$6*$B$5)*H12))+0.5*(I12^2)*$B$5)/(I12*SQRT($B$5))</f>
        <v>-5.692620854170749</v>
      </c>
      <c r="N12" s="21">
        <f>M12-I12*SQRT($B$5)</f>
        <v>-5.7405735981194264</v>
      </c>
      <c r="O12" s="21">
        <f t="shared" ref="O12:O17" si="9">_xlfn.NORM.S.DIST(M12,TRUE)</f>
        <v>6.2551993331412918E-9</v>
      </c>
      <c r="P12" s="21">
        <f t="shared" ref="P12:P17" si="10">_xlfn.NORM.S.DIST(N12,TRUE)</f>
        <v>4.7178200883678514E-9</v>
      </c>
      <c r="Q12" s="22">
        <f t="shared" ref="Q12:Q17" si="11">O12+EXP(2*($B$6-0.5*(I12^2))*LN($B$4/H12)/(I12^2))*P12</f>
        <v>6.2555445207431547E-9</v>
      </c>
    </row>
    <row r="13" spans="1:17" x14ac:dyDescent="0.25">
      <c r="A13" s="29">
        <v>0.3</v>
      </c>
      <c r="B13" s="20">
        <f t="shared" si="6"/>
        <v>3.8467774908817107</v>
      </c>
      <c r="C13" s="20">
        <f t="shared" si="0"/>
        <v>3.7748438289698321</v>
      </c>
      <c r="D13" s="21">
        <f t="shared" si="1"/>
        <v>0.9999401592161492</v>
      </c>
      <c r="E13" s="21">
        <f t="shared" si="2"/>
        <v>0.99991994603167378</v>
      </c>
      <c r="F13" s="22">
        <f>1-E13</f>
        <v>8.0053968326221359E-5</v>
      </c>
      <c r="G13" s="23">
        <f t="shared" si="3"/>
        <v>2.9999997151922635</v>
      </c>
      <c r="H13" s="24">
        <v>12.512281208012453</v>
      </c>
      <c r="I13" s="26">
        <v>7.1933661911878471E-2</v>
      </c>
      <c r="J13" s="25">
        <f t="shared" si="7"/>
        <v>0.90005420616351817</v>
      </c>
      <c r="K13" s="21">
        <f t="shared" si="8"/>
        <v>0.90005377448105184</v>
      </c>
      <c r="M13" s="21">
        <f>(LN($B$4/(EXP($B$6*$B$5)*H13))+0.5*(I13^2)*$B$5)/(I13*SQRT($B$5))</f>
        <v>-3.7748438289698352</v>
      </c>
      <c r="N13" s="21">
        <f>M13-I13*SQRT($B$5)</f>
        <v>-3.8467774908817138</v>
      </c>
      <c r="O13" s="21">
        <f t="shared" si="9"/>
        <v>8.0053968326184198E-5</v>
      </c>
      <c r="P13" s="21">
        <f t="shared" si="10"/>
        <v>5.984078385076561E-5</v>
      </c>
      <c r="Q13" s="22">
        <f t="shared" si="11"/>
        <v>8.1038514274386632E-5</v>
      </c>
    </row>
    <row r="14" spans="1:17" x14ac:dyDescent="0.25">
      <c r="A14" s="29">
        <v>0.4</v>
      </c>
      <c r="B14" s="20">
        <f t="shared" si="6"/>
        <v>2.9003019838195008</v>
      </c>
      <c r="C14" s="20">
        <f t="shared" si="0"/>
        <v>2.8042120470853655</v>
      </c>
      <c r="D14" s="21">
        <f t="shared" si="1"/>
        <v>0.99813598348118115</v>
      </c>
      <c r="E14" s="21">
        <f t="shared" si="2"/>
        <v>0.99747801399423508</v>
      </c>
      <c r="F14" s="22">
        <f>1-E14</f>
        <v>2.5219860057649202E-3</v>
      </c>
      <c r="G14" s="23">
        <f t="shared" si="3"/>
        <v>2.9999997142854191</v>
      </c>
      <c r="H14" s="24">
        <v>12.511625963797735</v>
      </c>
      <c r="I14" s="26">
        <v>9.6089936734135267E-2</v>
      </c>
      <c r="J14" s="25">
        <f t="shared" si="7"/>
        <v>1.2022413473024887</v>
      </c>
      <c r="K14" s="21">
        <f t="shared" si="8"/>
        <v>1.2022408825788942</v>
      </c>
      <c r="M14" s="21">
        <f>(LN($B$4/(EXP($B$6*$B$5)*H14))+0.5*(I14^2)*$B$5)/(I14*SQRT($B$5))</f>
        <v>-2.8042120470853664</v>
      </c>
      <c r="N14" s="21">
        <f>M14-I14*SQRT($B$5)</f>
        <v>-2.9003019838195017</v>
      </c>
      <c r="O14" s="21">
        <f t="shared" si="9"/>
        <v>2.5219860057649514E-3</v>
      </c>
      <c r="P14" s="21">
        <f t="shared" si="10"/>
        <v>1.8640165188188458E-3</v>
      </c>
      <c r="Q14" s="22">
        <f t="shared" si="11"/>
        <v>2.72796237527083E-3</v>
      </c>
    </row>
    <row r="15" spans="1:17" x14ac:dyDescent="0.25">
      <c r="A15" s="29">
        <v>0.5</v>
      </c>
      <c r="B15" s="20">
        <f t="shared" si="6"/>
        <v>2.3193423499878838</v>
      </c>
      <c r="C15" s="20">
        <f t="shared" si="0"/>
        <v>2.1981735228702144</v>
      </c>
      <c r="D15" s="21">
        <f t="shared" si="1"/>
        <v>0.98981175957252254</v>
      </c>
      <c r="E15" s="21">
        <f t="shared" si="2"/>
        <v>0.98603162863727933</v>
      </c>
      <c r="F15" s="22">
        <f>1-E15</f>
        <v>1.3968371362720666E-2</v>
      </c>
      <c r="G15" s="23">
        <f t="shared" si="3"/>
        <v>2.9999998696231618</v>
      </c>
      <c r="H15" s="24">
        <v>12.506845606129156</v>
      </c>
      <c r="I15" s="26">
        <v>0.12116882711766945</v>
      </c>
      <c r="J15" s="25">
        <f t="shared" si="7"/>
        <v>1.5154398130364475</v>
      </c>
      <c r="K15" s="21">
        <f t="shared" si="8"/>
        <v>1.5154395977871562</v>
      </c>
      <c r="M15" s="21">
        <f>(LN($B$4/(EXP($B$6*$B$5)*H15))+0.5*(I15^2)*$B$5)/(I15*SQRT($B$5))</f>
        <v>-2.1981735228702157</v>
      </c>
      <c r="N15" s="21">
        <f>M15-I15*SQRT($B$5)</f>
        <v>-2.3193423499878851</v>
      </c>
      <c r="O15" s="21">
        <f t="shared" si="9"/>
        <v>1.3968371362720628E-2</v>
      </c>
      <c r="P15" s="21">
        <f t="shared" si="10"/>
        <v>1.0188240427477391E-2</v>
      </c>
      <c r="Q15" s="22">
        <f t="shared" si="11"/>
        <v>1.6745284183970737E-2</v>
      </c>
    </row>
    <row r="16" spans="1:17" x14ac:dyDescent="0.25">
      <c r="A16" s="29">
        <v>0.6</v>
      </c>
      <c r="B16" s="20">
        <f t="shared" si="6"/>
        <v>1.9120376784540061</v>
      </c>
      <c r="C16" s="20">
        <f t="shared" si="0"/>
        <v>1.7637971259884604</v>
      </c>
      <c r="D16" s="21">
        <f t="shared" si="1"/>
        <v>0.9720643192841435</v>
      </c>
      <c r="E16" s="21">
        <f t="shared" si="2"/>
        <v>0.96111692921844161</v>
      </c>
      <c r="F16" s="22">
        <f>1-E16</f>
        <v>3.8883070781558393E-2</v>
      </c>
      <c r="G16" s="23">
        <f t="shared" si="3"/>
        <v>2.9999999192661733</v>
      </c>
      <c r="H16" s="24">
        <v>12.491382219225708</v>
      </c>
      <c r="I16" s="26">
        <v>0.14824055246554566</v>
      </c>
      <c r="J16" s="25">
        <f t="shared" si="7"/>
        <v>1.8517294012363126</v>
      </c>
      <c r="K16" s="21">
        <f t="shared" si="8"/>
        <v>1.8517292691961744</v>
      </c>
      <c r="M16" s="21">
        <f>(LN($B$4/(EXP($B$6*$B$5)*H16))+0.5*(I16^2)*$B$5)/(I16*SQRT($B$5))</f>
        <v>-1.7637971259884611</v>
      </c>
      <c r="N16" s="21">
        <f>M16-I16*SQRT($B$5)</f>
        <v>-1.9120376784540067</v>
      </c>
      <c r="O16" s="21">
        <f t="shared" si="9"/>
        <v>3.88830707815584E-2</v>
      </c>
      <c r="P16" s="21">
        <f t="shared" si="10"/>
        <v>2.7935680715856514E-2</v>
      </c>
      <c r="Q16" s="22">
        <f t="shared" si="11"/>
        <v>5.1563582272206553E-2</v>
      </c>
    </row>
    <row r="17" spans="1:17" x14ac:dyDescent="0.25">
      <c r="A17" s="29">
        <v>0.7</v>
      </c>
      <c r="B17" s="20">
        <f>(LN(H17/$B$4) + ($B$6 + 0.5*(I17^2))*$B$5)/(I17*SQRT($B$5))</f>
        <v>1.6017121702896224</v>
      </c>
      <c r="C17" s="20">
        <f>B17-I17*SQRT($B$5)</f>
        <v>1.4233968438763633</v>
      </c>
      <c r="D17" s="21">
        <f>_xlfn.NORM.S.DIST(B17,TRUE)</f>
        <v>0.94539036366891482</v>
      </c>
      <c r="E17" s="21">
        <f>_xlfn.NORM.S.DIST(C17,TRUE)</f>
        <v>0.92268942654968678</v>
      </c>
      <c r="F17" s="22">
        <f>1-E17</f>
        <v>7.7310573450313225E-2</v>
      </c>
      <c r="G17" s="23">
        <f>H17*D17-$B$4*EXP(-$B$6*$B$5)*E17</f>
        <v>2.9999996636953341</v>
      </c>
      <c r="H17" s="24">
        <v>12.45717476967773</v>
      </c>
      <c r="I17" s="26">
        <v>0.17831532641325898</v>
      </c>
      <c r="J17" s="25">
        <f t="shared" si="7"/>
        <v>2.2213051852420986</v>
      </c>
      <c r="K17" s="21">
        <f t="shared" si="8"/>
        <v>2.2213043894766997</v>
      </c>
      <c r="M17" s="21">
        <f>(LN($B$4/(EXP($B$6*$B$5)*H17))+0.5*(I17^2)*$B$5)/(I17*SQRT($B$5))</f>
        <v>-1.4233968438763631</v>
      </c>
      <c r="N17" s="21">
        <f>M17-I17*SQRT($B$5)</f>
        <v>-1.601712170289622</v>
      </c>
      <c r="O17" s="21">
        <f t="shared" si="9"/>
        <v>7.7310573450313252E-2</v>
      </c>
      <c r="P17" s="21">
        <f t="shared" si="10"/>
        <v>5.460963633108528E-2</v>
      </c>
      <c r="Q17" s="22">
        <f t="shared" si="11"/>
        <v>0.11139790058556229</v>
      </c>
    </row>
    <row r="20" spans="1:17" x14ac:dyDescent="0.25">
      <c r="D20" s="8"/>
    </row>
    <row r="21" spans="1:17" x14ac:dyDescent="0.25">
      <c r="D21" s="8"/>
    </row>
    <row r="23" spans="1:17" x14ac:dyDescent="0.25">
      <c r="D23" s="4"/>
    </row>
    <row r="24" spans="1:17" x14ac:dyDescent="0.25">
      <c r="D24" s="4"/>
    </row>
    <row r="25" spans="1:17" x14ac:dyDescent="0.25">
      <c r="D25" s="4"/>
    </row>
    <row r="26" spans="1:17" x14ac:dyDescent="0.25">
      <c r="D26" s="4"/>
    </row>
    <row r="27" spans="1:17" x14ac:dyDescent="0.25">
      <c r="D27" s="4"/>
    </row>
    <row r="28" spans="1:17" x14ac:dyDescent="0.25">
      <c r="D28" s="4"/>
    </row>
    <row r="29" spans="1:17" x14ac:dyDescent="0.25">
      <c r="D29" s="4"/>
    </row>
    <row r="30" spans="1:17" x14ac:dyDescent="0.25">
      <c r="D30" s="4"/>
    </row>
    <row r="31" spans="1:17" x14ac:dyDescent="0.25">
      <c r="D31" s="4"/>
    </row>
    <row r="32" spans="1:17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</sheetData>
  <mergeCells count="1">
    <mergeCell ref="H9:I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a and b</vt:lpstr>
      <vt:lpstr>Problem sheet answer 2</vt:lpstr>
      <vt:lpstr>Problem sheet answer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2016-07-26T20:02:31Z</dcterms:created>
  <dcterms:modified xsi:type="dcterms:W3CDTF">2016-07-27T18:43:38Z</dcterms:modified>
</cp:coreProperties>
</file>