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5.xml" ContentType="application/vnd.ms-office.chartcolorstyle+xml"/>
  <Override PartName="/xl/charts/style15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autoCompressPictures="0"/>
  <bookViews>
    <workbookView xWindow="0" yWindow="60" windowWidth="20730" windowHeight="11700" tabRatio="654" activeTab="1"/>
  </bookViews>
  <sheets>
    <sheet name="CVA_STATIC" sheetId="7" r:id="rId1"/>
    <sheet name="CVA_DYNAMIC" sheetId="9" r:id="rId2"/>
    <sheet name="CVA_INCREASING" sheetId="12" r:id="rId3"/>
    <sheet name="CVA_DECREASING" sheetId="11" r:id="rId4"/>
    <sheet name="BILATERAL" sheetId="13" r:id="rId5"/>
    <sheet name="CVA_1234" sheetId="10" r:id="rId6"/>
  </sheets>
  <calcPr calcId="145621" calcMode="manual" concurrentCalc="0"/>
</workbook>
</file>

<file path=xl/calcChain.xml><?xml version="1.0" encoding="utf-8"?>
<calcChain xmlns="http://schemas.openxmlformats.org/spreadsheetml/2006/main">
  <c r="J13" i="7" l="1"/>
  <c r="K7" i="9"/>
  <c r="E5" i="9"/>
  <c r="E6" i="9"/>
  <c r="K6" i="9"/>
  <c r="K5" i="7"/>
  <c r="K7" i="7"/>
  <c r="K9" i="7"/>
  <c r="K10" i="7"/>
  <c r="L5" i="7"/>
  <c r="L7" i="7"/>
  <c r="L9" i="7"/>
  <c r="L10" i="7"/>
  <c r="M5" i="7"/>
  <c r="M7" i="7"/>
  <c r="M9" i="7"/>
  <c r="M10" i="7"/>
  <c r="N5" i="7"/>
  <c r="N7" i="7"/>
  <c r="N9" i="7"/>
  <c r="N10" i="7"/>
  <c r="E5" i="12"/>
  <c r="E6" i="12"/>
  <c r="K6" i="12"/>
  <c r="F5" i="12"/>
  <c r="F6" i="12"/>
  <c r="L6" i="12"/>
  <c r="G5" i="12"/>
  <c r="G6" i="12"/>
  <c r="M6" i="12"/>
  <c r="H5" i="12"/>
  <c r="H6" i="12"/>
  <c r="N6" i="12"/>
  <c r="E7" i="12"/>
  <c r="K8" i="12"/>
  <c r="F7" i="12"/>
  <c r="L8" i="12"/>
  <c r="G7" i="12"/>
  <c r="M8" i="12"/>
  <c r="H7" i="12"/>
  <c r="N8" i="12"/>
  <c r="D19" i="7"/>
  <c r="E19" i="7"/>
  <c r="C19" i="7"/>
  <c r="B19" i="7"/>
  <c r="E5" i="10"/>
  <c r="F5" i="13"/>
  <c r="E5" i="13"/>
  <c r="F6" i="13"/>
  <c r="L6" i="13"/>
  <c r="F7" i="13"/>
  <c r="L8" i="13"/>
  <c r="L10" i="13"/>
  <c r="G5" i="13"/>
  <c r="G6" i="13"/>
  <c r="M6" i="13"/>
  <c r="G7" i="13"/>
  <c r="M8" i="13"/>
  <c r="M10" i="13"/>
  <c r="H5" i="13"/>
  <c r="H6" i="13"/>
  <c r="N6" i="13"/>
  <c r="H7" i="13"/>
  <c r="N8" i="13"/>
  <c r="N10" i="13"/>
  <c r="K14" i="13"/>
  <c r="K22" i="13"/>
  <c r="L15" i="13"/>
  <c r="L22" i="13"/>
  <c r="C18" i="13"/>
  <c r="C19" i="13"/>
  <c r="C23" i="13"/>
  <c r="M16" i="13"/>
  <c r="M22" i="13"/>
  <c r="D18" i="13"/>
  <c r="D19" i="13"/>
  <c r="D23" i="13"/>
  <c r="E18" i="13"/>
  <c r="E19" i="13"/>
  <c r="E23" i="13"/>
  <c r="E6" i="13"/>
  <c r="K6" i="13"/>
  <c r="E7" i="13"/>
  <c r="K8" i="13"/>
  <c r="K10" i="13"/>
  <c r="J13" i="13"/>
  <c r="J22" i="13"/>
  <c r="B18" i="13"/>
  <c r="B19" i="13"/>
  <c r="B23" i="13"/>
  <c r="K23" i="13"/>
  <c r="L23" i="13"/>
  <c r="C28" i="13"/>
  <c r="C29" i="13"/>
  <c r="C33" i="13"/>
  <c r="M23" i="13"/>
  <c r="D28" i="13"/>
  <c r="D29" i="13"/>
  <c r="D33" i="13"/>
  <c r="E28" i="13"/>
  <c r="E29" i="13"/>
  <c r="E33" i="13"/>
  <c r="J23" i="13"/>
  <c r="B28" i="13"/>
  <c r="B29" i="13"/>
  <c r="B33" i="13"/>
  <c r="C32" i="13"/>
  <c r="D32" i="13"/>
  <c r="E32" i="13"/>
  <c r="B32" i="13"/>
  <c r="C22" i="13"/>
  <c r="D22" i="13"/>
  <c r="E22" i="13"/>
  <c r="B22" i="13"/>
  <c r="F10" i="13"/>
  <c r="G10" i="13"/>
  <c r="H10" i="13"/>
  <c r="E10" i="13"/>
  <c r="F8" i="13"/>
  <c r="G8" i="13"/>
  <c r="H8" i="13"/>
  <c r="E8" i="13"/>
  <c r="F11" i="13"/>
  <c r="G11" i="13"/>
  <c r="H11" i="13"/>
  <c r="E11" i="13"/>
  <c r="F9" i="13"/>
  <c r="C20" i="13"/>
  <c r="C30" i="13"/>
  <c r="G9" i="13"/>
  <c r="D20" i="13"/>
  <c r="D30" i="13"/>
  <c r="H9" i="13"/>
  <c r="E20" i="13"/>
  <c r="E30" i="13"/>
  <c r="E9" i="13"/>
  <c r="B20" i="13"/>
  <c r="B30" i="13"/>
  <c r="B31" i="13"/>
  <c r="C31" i="13"/>
  <c r="D31" i="13"/>
  <c r="E31" i="13"/>
  <c r="B34" i="13"/>
  <c r="N23" i="13"/>
  <c r="M17" i="13"/>
  <c r="K5" i="13"/>
  <c r="K7" i="13"/>
  <c r="K9" i="13"/>
  <c r="L5" i="13"/>
  <c r="L7" i="13"/>
  <c r="L9" i="13"/>
  <c r="M5" i="13"/>
  <c r="M7" i="13"/>
  <c r="M9" i="13"/>
  <c r="N5" i="13"/>
  <c r="N7" i="13"/>
  <c r="N9" i="13"/>
  <c r="B21" i="13"/>
  <c r="C21" i="13"/>
  <c r="D21" i="13"/>
  <c r="N22" i="13"/>
  <c r="E21" i="13"/>
  <c r="B24" i="13"/>
  <c r="L17" i="13"/>
  <c r="K17" i="13"/>
  <c r="J17" i="13"/>
  <c r="H14" i="13"/>
  <c r="G14" i="13"/>
  <c r="F14" i="13"/>
  <c r="E14" i="13"/>
  <c r="F11" i="10"/>
  <c r="G11" i="10"/>
  <c r="H11" i="10"/>
  <c r="E11" i="10"/>
  <c r="K5" i="12"/>
  <c r="K7" i="12"/>
  <c r="K9" i="12"/>
  <c r="K10" i="12"/>
  <c r="L5" i="12"/>
  <c r="L7" i="12"/>
  <c r="L9" i="12"/>
  <c r="L10" i="12"/>
  <c r="M5" i="12"/>
  <c r="M7" i="12"/>
  <c r="M9" i="12"/>
  <c r="M10" i="12"/>
  <c r="N5" i="12"/>
  <c r="N7" i="12"/>
  <c r="N9" i="12"/>
  <c r="N10" i="12"/>
  <c r="J13" i="12"/>
  <c r="J22" i="12"/>
  <c r="K14" i="12"/>
  <c r="K22" i="12"/>
  <c r="B18" i="12"/>
  <c r="B19" i="12"/>
  <c r="E8" i="12"/>
  <c r="B20" i="12"/>
  <c r="B21" i="12"/>
  <c r="B22" i="12"/>
  <c r="L15" i="12"/>
  <c r="L22" i="12"/>
  <c r="C18" i="12"/>
  <c r="C19" i="12"/>
  <c r="F8" i="12"/>
  <c r="C20" i="12"/>
  <c r="C21" i="12"/>
  <c r="C22" i="12"/>
  <c r="M16" i="12"/>
  <c r="M22" i="12"/>
  <c r="D18" i="12"/>
  <c r="D19" i="12"/>
  <c r="G8" i="12"/>
  <c r="D20" i="12"/>
  <c r="D21" i="12"/>
  <c r="D22" i="12"/>
  <c r="N22" i="12"/>
  <c r="E18" i="12"/>
  <c r="E19" i="12"/>
  <c r="H8" i="12"/>
  <c r="E20" i="12"/>
  <c r="E21" i="12"/>
  <c r="E22" i="12"/>
  <c r="B23" i="12"/>
  <c r="M17" i="12"/>
  <c r="L17" i="12"/>
  <c r="K17" i="12"/>
  <c r="J17" i="12"/>
  <c r="H11" i="12"/>
  <c r="G11" i="12"/>
  <c r="F11" i="12"/>
  <c r="E11" i="12"/>
  <c r="F11" i="11"/>
  <c r="G11" i="11"/>
  <c r="H11" i="11"/>
  <c r="E11" i="11"/>
  <c r="H5" i="11"/>
  <c r="G5" i="11"/>
  <c r="H6" i="11"/>
  <c r="N6" i="11"/>
  <c r="H7" i="11"/>
  <c r="N8" i="11"/>
  <c r="N10" i="11"/>
  <c r="M16" i="11"/>
  <c r="M17" i="11"/>
  <c r="F5" i="11"/>
  <c r="G6" i="11"/>
  <c r="M6" i="11"/>
  <c r="G7" i="11"/>
  <c r="M8" i="11"/>
  <c r="M10" i="11"/>
  <c r="L15" i="11"/>
  <c r="L17" i="11"/>
  <c r="E5" i="11"/>
  <c r="F6" i="11"/>
  <c r="L6" i="11"/>
  <c r="F7" i="11"/>
  <c r="L8" i="11"/>
  <c r="L10" i="11"/>
  <c r="K14" i="11"/>
  <c r="K17" i="11"/>
  <c r="E6" i="11"/>
  <c r="K6" i="11"/>
  <c r="E7" i="11"/>
  <c r="K8" i="11"/>
  <c r="K10" i="11"/>
  <c r="J13" i="11"/>
  <c r="J17" i="11"/>
  <c r="K5" i="11"/>
  <c r="K7" i="11"/>
  <c r="K9" i="11"/>
  <c r="L5" i="11"/>
  <c r="L7" i="11"/>
  <c r="L9" i="11"/>
  <c r="M5" i="11"/>
  <c r="M7" i="11"/>
  <c r="M9" i="11"/>
  <c r="N5" i="11"/>
  <c r="N7" i="11"/>
  <c r="N9" i="11"/>
  <c r="J22" i="11"/>
  <c r="K22" i="11"/>
  <c r="B18" i="11"/>
  <c r="B19" i="11"/>
  <c r="E8" i="11"/>
  <c r="B20" i="11"/>
  <c r="B21" i="11"/>
  <c r="B22" i="11"/>
  <c r="L22" i="11"/>
  <c r="C18" i="11"/>
  <c r="C19" i="11"/>
  <c r="F8" i="11"/>
  <c r="C20" i="11"/>
  <c r="C21" i="11"/>
  <c r="C22" i="11"/>
  <c r="M22" i="11"/>
  <c r="D18" i="11"/>
  <c r="D19" i="11"/>
  <c r="G8" i="11"/>
  <c r="D20" i="11"/>
  <c r="D21" i="11"/>
  <c r="D22" i="11"/>
  <c r="N22" i="11"/>
  <c r="E18" i="11"/>
  <c r="E19" i="11"/>
  <c r="H8" i="11"/>
  <c r="E20" i="11"/>
  <c r="E21" i="11"/>
  <c r="E22" i="11"/>
  <c r="B23" i="11"/>
  <c r="K5" i="10"/>
  <c r="E6" i="10"/>
  <c r="K6" i="10"/>
  <c r="K7" i="10"/>
  <c r="E7" i="10"/>
  <c r="K8" i="10"/>
  <c r="K9" i="10"/>
  <c r="K10" i="10"/>
  <c r="L5" i="10"/>
  <c r="F5" i="10"/>
  <c r="F6" i="10"/>
  <c r="L6" i="10"/>
  <c r="L7" i="10"/>
  <c r="F7" i="10"/>
  <c r="L8" i="10"/>
  <c r="L9" i="10"/>
  <c r="L10" i="10"/>
  <c r="M5" i="10"/>
  <c r="G5" i="10"/>
  <c r="G6" i="10"/>
  <c r="M6" i="10"/>
  <c r="M7" i="10"/>
  <c r="G7" i="10"/>
  <c r="M8" i="10"/>
  <c r="M9" i="10"/>
  <c r="M10" i="10"/>
  <c r="N5" i="10"/>
  <c r="H5" i="10"/>
  <c r="H6" i="10"/>
  <c r="N6" i="10"/>
  <c r="N7" i="10"/>
  <c r="H7" i="10"/>
  <c r="N8" i="10"/>
  <c r="N9" i="10"/>
  <c r="N10" i="10"/>
  <c r="J13" i="10"/>
  <c r="J22" i="10"/>
  <c r="K14" i="10"/>
  <c r="K22" i="10"/>
  <c r="B18" i="10"/>
  <c r="B19" i="10"/>
  <c r="E8" i="10"/>
  <c r="B20" i="10"/>
  <c r="B21" i="10"/>
  <c r="B22" i="10"/>
  <c r="L15" i="10"/>
  <c r="L22" i="10"/>
  <c r="C18" i="10"/>
  <c r="C19" i="10"/>
  <c r="F8" i="10"/>
  <c r="C20" i="10"/>
  <c r="C21" i="10"/>
  <c r="C22" i="10"/>
  <c r="M16" i="10"/>
  <c r="M22" i="10"/>
  <c r="D18" i="10"/>
  <c r="D19" i="10"/>
  <c r="G8" i="10"/>
  <c r="D20" i="10"/>
  <c r="D21" i="10"/>
  <c r="D22" i="10"/>
  <c r="N22" i="10"/>
  <c r="E18" i="10"/>
  <c r="E19" i="10"/>
  <c r="H8" i="10"/>
  <c r="E20" i="10"/>
  <c r="E21" i="10"/>
  <c r="E22" i="10"/>
  <c r="B23" i="10"/>
  <c r="H5" i="9"/>
  <c r="G5" i="9"/>
  <c r="F5" i="9"/>
  <c r="K5" i="9"/>
  <c r="E7" i="9"/>
  <c r="K8" i="9"/>
  <c r="K9" i="9"/>
  <c r="K10" i="9"/>
  <c r="L5" i="9"/>
  <c r="F6" i="9"/>
  <c r="L6" i="9"/>
  <c r="L7" i="9"/>
  <c r="F7" i="9"/>
  <c r="L8" i="9"/>
  <c r="L9" i="9"/>
  <c r="L10" i="9"/>
  <c r="M5" i="9"/>
  <c r="G6" i="9"/>
  <c r="M6" i="9"/>
  <c r="M7" i="9"/>
  <c r="G7" i="9"/>
  <c r="M8" i="9"/>
  <c r="M9" i="9"/>
  <c r="M10" i="9"/>
  <c r="N5" i="9"/>
  <c r="H6" i="9"/>
  <c r="N6" i="9"/>
  <c r="N7" i="9"/>
  <c r="H7" i="9"/>
  <c r="N8" i="9"/>
  <c r="N9" i="9"/>
  <c r="N10" i="9"/>
  <c r="J13" i="9"/>
  <c r="J22" i="9"/>
  <c r="K14" i="9"/>
  <c r="K22" i="9"/>
  <c r="B18" i="9"/>
  <c r="B19" i="9"/>
  <c r="E8" i="9"/>
  <c r="B20" i="9"/>
  <c r="B21" i="9"/>
  <c r="B22" i="9"/>
  <c r="L15" i="9"/>
  <c r="L22" i="9"/>
  <c r="C18" i="9"/>
  <c r="C19" i="9"/>
  <c r="F8" i="9"/>
  <c r="C20" i="9"/>
  <c r="C21" i="9"/>
  <c r="C22" i="9"/>
  <c r="M16" i="9"/>
  <c r="M22" i="9"/>
  <c r="D18" i="9"/>
  <c r="D19" i="9"/>
  <c r="G8" i="9"/>
  <c r="D20" i="9"/>
  <c r="D21" i="9"/>
  <c r="D22" i="9"/>
  <c r="N22" i="9"/>
  <c r="E18" i="9"/>
  <c r="E19" i="9"/>
  <c r="H8" i="9"/>
  <c r="E20" i="9"/>
  <c r="E21" i="9"/>
  <c r="E22" i="9"/>
  <c r="B23" i="9"/>
  <c r="E6" i="7"/>
  <c r="E7" i="7"/>
  <c r="F6" i="7"/>
  <c r="F7" i="7"/>
  <c r="G6" i="7"/>
  <c r="G7" i="7"/>
  <c r="H6" i="7"/>
  <c r="H7" i="7"/>
  <c r="J22" i="7"/>
  <c r="K14" i="7"/>
  <c r="K22" i="7"/>
  <c r="B18" i="7"/>
  <c r="L15" i="7"/>
  <c r="L22" i="7"/>
  <c r="C18" i="7"/>
  <c r="M16" i="7"/>
  <c r="M22" i="7"/>
  <c r="D18" i="7"/>
  <c r="N22" i="7"/>
  <c r="E18" i="7"/>
  <c r="E8" i="7"/>
  <c r="B20" i="7"/>
  <c r="F8" i="7"/>
  <c r="C20" i="7"/>
  <c r="G8" i="7"/>
  <c r="D20" i="7"/>
  <c r="H8" i="7"/>
  <c r="E20" i="7"/>
  <c r="B21" i="7"/>
  <c r="C21" i="7"/>
  <c r="D21" i="7"/>
  <c r="E21" i="7"/>
  <c r="B22" i="7"/>
  <c r="C22" i="7"/>
  <c r="D22" i="7"/>
  <c r="E22" i="7"/>
  <c r="B23" i="7"/>
</calcChain>
</file>

<file path=xl/sharedStrings.xml><?xml version="1.0" encoding="utf-8"?>
<sst xmlns="http://schemas.openxmlformats.org/spreadsheetml/2006/main" count="355" uniqueCount="61">
  <si>
    <t xml:space="preserve">T = </t>
  </si>
  <si>
    <t xml:space="preserve">dt = </t>
  </si>
  <si>
    <t>N =</t>
  </si>
  <si>
    <t>T0</t>
  </si>
  <si>
    <t>T1</t>
  </si>
  <si>
    <t>T2</t>
  </si>
  <si>
    <t>T3</t>
  </si>
  <si>
    <t>T4</t>
  </si>
  <si>
    <t>SPOT</t>
  </si>
  <si>
    <t>FWD</t>
  </si>
  <si>
    <t>DF</t>
  </si>
  <si>
    <t>LAMBDA =</t>
  </si>
  <si>
    <t>REC RATE =</t>
  </si>
  <si>
    <t>CVA</t>
  </si>
  <si>
    <t>(1-R)</t>
  </si>
  <si>
    <t>FIJO</t>
  </si>
  <si>
    <t>VARIABLE</t>
  </si>
  <si>
    <t>12M</t>
  </si>
  <si>
    <t>N=</t>
  </si>
  <si>
    <t>FWD=</t>
  </si>
  <si>
    <t>DF=</t>
  </si>
  <si>
    <t>dt=</t>
  </si>
  <si>
    <t>PAGO</t>
  </si>
  <si>
    <t>MTM(T0)</t>
  </si>
  <si>
    <t>MTM(T1)</t>
  </si>
  <si>
    <t>MTM(T2)</t>
  </si>
  <si>
    <t>MTM(T3)</t>
  </si>
  <si>
    <t>MTM(T4)</t>
  </si>
  <si>
    <t>T0-T1</t>
  </si>
  <si>
    <t>T1-T2</t>
  </si>
  <si>
    <t>T2-T3</t>
  </si>
  <si>
    <t>T3-T4</t>
  </si>
  <si>
    <t>EXPOSURE</t>
  </si>
  <si>
    <t>PD</t>
  </si>
  <si>
    <t>CVA_PERIODO</t>
  </si>
  <si>
    <t>T-YIELD3M</t>
  </si>
  <si>
    <t>FAKE_MC</t>
  </si>
  <si>
    <t>STATIC_SPOT</t>
  </si>
  <si>
    <t>FIXED</t>
  </si>
  <si>
    <t>SPOT_STATIC</t>
  </si>
  <si>
    <t>EE(t)</t>
  </si>
  <si>
    <t>NEE(t)</t>
  </si>
  <si>
    <t>EE</t>
  </si>
  <si>
    <t>NEE</t>
  </si>
  <si>
    <t>PARTY A</t>
  </si>
  <si>
    <t>PARTY B</t>
  </si>
  <si>
    <t>PD_A</t>
  </si>
  <si>
    <t>PD_B</t>
  </si>
  <si>
    <t>P_A</t>
  </si>
  <si>
    <t>P_B</t>
  </si>
  <si>
    <t>(1-R_B)</t>
  </si>
  <si>
    <t>DVA</t>
  </si>
  <si>
    <t>(1-R_A)</t>
  </si>
  <si>
    <t>DVA_PERIODO</t>
  </si>
  <si>
    <t>STEP 1: INPUTS</t>
  </si>
  <si>
    <t>STEP 2: FORWARDS + DISCOUNT FACTORS</t>
  </si>
  <si>
    <t>STEP 3: SWAP MARK-TO-MARKET EVOLUTION</t>
  </si>
  <si>
    <t>STEP 4: COMPUTE EXPOSURE</t>
  </si>
  <si>
    <t>STEP 5: COMPUTE CVA</t>
  </si>
  <si>
    <t>STEP 5: COMPUTE CVA PARTY A</t>
  </si>
  <si>
    <t>STEP 6: COMPUTE CVA PARTY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</si>
</sst>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_-&quot;€&quot;\ * #,##0.00_-;\-&quot;€&quot;\ * #,##0.00_-;_-&quot;€&quot;\ * &quot;-&quot;??_-;_-@_-"/>
    <numFmt numFmtId="165" formatCode="_-* #,##0.0000_-;\-* #,##0.0000_-;_-* &quot;-&quot;??_-;_-@_-"/>
    <numFmt numFmtId="166" formatCode="_-[$$-409]* #,##0.00_ ;_-[$$-409]* \-#,##0.00\ ;_-[$$-409]* &quot;-&quot;??_ ;_-@_ "/>
    <numFmt numFmtId="167" formatCode="[$$-409]#,##0.00_ ;\-[$$-409]#,##0.00\ "/>
    <numFmt numFmtId="168" formatCode="0.000%"/>
    <numFmt numFmtId="171" formatCode="_-[$$-409]* #,##0.00000_ ;_-[$$-409]* \-#,##0.00000\ ;_-[$$-409]* &quot;-&quot;??_ ;_-@_ "/>
    <numFmt numFmtId="173" formatCode="_-[$$-409]* #,##0.0000000_ ;_-[$$-409]* \-#,##0.0000000\ ;_-[$$-409]* &quot;-&quot;??_ ;_-@_ "/>
    <numFmt numFmtId="179" formatCode="_-&quot;€&quot;\ * #,##0.0000000_-;\-&quot;€&quot;\ * #,##0.0000000_-;_-&quot;€&quot;\ 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9" fontId="3" fillId="4" borderId="3" xfId="0" applyNumberFormat="1" applyFont="1" applyFill="1" applyBorder="1" applyAlignment="1">
      <alignment horizontal="center" vertical="center"/>
    </xf>
    <xf numFmtId="9" fontId="3" fillId="4" borderId="4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2" borderId="9" xfId="0" applyFont="1" applyFill="1" applyBorder="1"/>
    <xf numFmtId="0" fontId="2" fillId="2" borderId="10" xfId="0" applyFont="1" applyFill="1" applyBorder="1"/>
    <xf numFmtId="0" fontId="4" fillId="3" borderId="8" xfId="0" applyFont="1" applyFill="1" applyBorder="1" applyAlignment="1">
      <alignment horizontal="center" vertical="center"/>
    </xf>
    <xf numFmtId="9" fontId="4" fillId="3" borderId="8" xfId="3" applyFont="1" applyFill="1" applyBorder="1" applyAlignment="1">
      <alignment horizontal="center" vertical="center"/>
    </xf>
    <xf numFmtId="166" fontId="4" fillId="3" borderId="8" xfId="2" applyNumberFormat="1" applyFont="1" applyFill="1" applyBorder="1" applyAlignment="1">
      <alignment horizontal="center" vertical="center"/>
    </xf>
    <xf numFmtId="10" fontId="4" fillId="3" borderId="8" xfId="3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66" fontId="4" fillId="3" borderId="14" xfId="3" applyNumberFormat="1" applyFont="1" applyFill="1" applyBorder="1" applyAlignment="1">
      <alignment horizontal="center" vertical="center"/>
    </xf>
    <xf numFmtId="167" fontId="4" fillId="3" borderId="14" xfId="3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6" fontId="4" fillId="5" borderId="1" xfId="3" applyNumberFormat="1" applyFont="1" applyFill="1" applyBorder="1" applyAlignment="1">
      <alignment horizontal="center" vertical="center"/>
    </xf>
    <xf numFmtId="10" fontId="4" fillId="5" borderId="1" xfId="3" applyNumberFormat="1" applyFont="1" applyFill="1" applyBorder="1" applyAlignment="1">
      <alignment horizontal="center" vertical="center"/>
    </xf>
    <xf numFmtId="165" fontId="4" fillId="5" borderId="1" xfId="1" applyNumberFormat="1" applyFont="1" applyFill="1" applyBorder="1" applyAlignment="1">
      <alignment horizontal="center" vertical="center"/>
    </xf>
    <xf numFmtId="43" fontId="4" fillId="5" borderId="1" xfId="1" applyNumberFormat="1" applyFont="1" applyFill="1" applyBorder="1" applyAlignment="1">
      <alignment horizontal="center" vertical="center"/>
    </xf>
    <xf numFmtId="10" fontId="4" fillId="5" borderId="3" xfId="3" applyNumberFormat="1" applyFont="1" applyFill="1" applyBorder="1" applyAlignment="1">
      <alignment horizontal="center" vertical="center"/>
    </xf>
    <xf numFmtId="10" fontId="4" fillId="5" borderId="4" xfId="3" applyNumberFormat="1" applyFont="1" applyFill="1" applyBorder="1" applyAlignment="1">
      <alignment horizontal="center" vertical="center"/>
    </xf>
    <xf numFmtId="165" fontId="4" fillId="5" borderId="3" xfId="1" applyNumberFormat="1" applyFont="1" applyFill="1" applyBorder="1" applyAlignment="1">
      <alignment horizontal="center" vertical="center"/>
    </xf>
    <xf numFmtId="165" fontId="4" fillId="5" borderId="4" xfId="1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9" fontId="4" fillId="5" borderId="1" xfId="3" applyNumberFormat="1" applyFont="1" applyFill="1" applyBorder="1" applyAlignment="1">
      <alignment horizontal="center" vertical="center"/>
    </xf>
    <xf numFmtId="164" fontId="4" fillId="5" borderId="1" xfId="2" applyFont="1" applyFill="1" applyBorder="1" applyAlignment="1">
      <alignment horizontal="center" vertical="center"/>
    </xf>
    <xf numFmtId="166" fontId="4" fillId="3" borderId="15" xfId="0" applyNumberFormat="1" applyFont="1" applyFill="1" applyBorder="1" applyAlignment="1">
      <alignment horizontal="center" vertical="center"/>
    </xf>
    <xf numFmtId="164" fontId="4" fillId="5" borderId="16" xfId="2" applyFont="1" applyFill="1" applyBorder="1" applyAlignment="1">
      <alignment horizontal="center" vertical="center"/>
    </xf>
    <xf numFmtId="164" fontId="4" fillId="6" borderId="8" xfId="0" applyNumberFormat="1" applyFont="1" applyFill="1" applyBorder="1"/>
    <xf numFmtId="10" fontId="4" fillId="7" borderId="3" xfId="3" applyNumberFormat="1" applyFont="1" applyFill="1" applyBorder="1" applyAlignment="1">
      <alignment horizontal="center" vertical="center"/>
    </xf>
    <xf numFmtId="10" fontId="4" fillId="7" borderId="4" xfId="3" applyNumberFormat="1" applyFont="1" applyFill="1" applyBorder="1" applyAlignment="1">
      <alignment horizontal="center" vertical="center"/>
    </xf>
    <xf numFmtId="168" fontId="4" fillId="7" borderId="3" xfId="3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66" fontId="0" fillId="0" borderId="0" xfId="0" applyNumberFormat="1"/>
    <xf numFmtId="10" fontId="0" fillId="0" borderId="0" xfId="0" applyNumberFormat="1"/>
    <xf numFmtId="0" fontId="4" fillId="0" borderId="0" xfId="0" applyFont="1"/>
    <xf numFmtId="0" fontId="2" fillId="2" borderId="0" xfId="0" applyFont="1" applyFill="1" applyBorder="1" applyAlignment="1">
      <alignment horizontal="center" vertical="center"/>
    </xf>
    <xf numFmtId="0" fontId="0" fillId="2" borderId="0" xfId="0" applyFill="1"/>
    <xf numFmtId="168" fontId="4" fillId="7" borderId="4" xfId="3" applyNumberFormat="1" applyFont="1" applyFill="1" applyBorder="1" applyAlignment="1">
      <alignment horizontal="center" vertical="center"/>
    </xf>
    <xf numFmtId="171" fontId="4" fillId="3" borderId="14" xfId="3" applyNumberFormat="1" applyFont="1" applyFill="1" applyBorder="1" applyAlignment="1">
      <alignment horizontal="center" vertical="center"/>
    </xf>
    <xf numFmtId="171" fontId="2" fillId="4" borderId="8" xfId="0" applyNumberFormat="1" applyFont="1" applyFill="1" applyBorder="1" applyAlignment="1">
      <alignment horizontal="center" vertical="center"/>
    </xf>
    <xf numFmtId="171" fontId="0" fillId="0" borderId="0" xfId="0" applyNumberFormat="1"/>
    <xf numFmtId="173" fontId="4" fillId="3" borderId="14" xfId="3" applyNumberFormat="1" applyFont="1" applyFill="1" applyBorder="1" applyAlignment="1">
      <alignment horizontal="center" vertical="center"/>
    </xf>
    <xf numFmtId="171" fontId="4" fillId="3" borderId="1" xfId="0" applyNumberFormat="1" applyFont="1" applyFill="1" applyBorder="1" applyAlignment="1">
      <alignment horizontal="center" vertical="center"/>
    </xf>
    <xf numFmtId="171" fontId="4" fillId="5" borderId="1" xfId="0" applyNumberFormat="1" applyFont="1" applyFill="1" applyBorder="1" applyAlignment="1">
      <alignment horizontal="center" vertical="center"/>
    </xf>
    <xf numFmtId="179" fontId="4" fillId="5" borderId="16" xfId="2" applyNumberFormat="1" applyFont="1" applyFill="1" applyBorder="1" applyAlignment="1">
      <alignment horizontal="center" vertical="center"/>
    </xf>
    <xf numFmtId="179" fontId="4" fillId="5" borderId="1" xfId="2" applyNumberFormat="1" applyFont="1" applyFill="1" applyBorder="1" applyAlignment="1">
      <alignment horizontal="center" vertical="center"/>
    </xf>
    <xf numFmtId="179" fontId="4" fillId="6" borderId="8" xfId="0" applyNumberFormat="1" applyFont="1" applyFill="1" applyBorder="1"/>
    <xf numFmtId="179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 IRS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CVA_STATIC!$J$21:$N$21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CVA_STATIC!$J$22:$N$22</c:f>
              <c:numCache>
                <c:formatCode>_-[$$-409]* #,##0.00000_ ;_-[$$-409]* \-#,##0.00000\ ;_-[$$-409]* "-"??_ ;_-@_ </c:formatCode>
                <c:ptCount val="5"/>
                <c:pt idx="0">
                  <c:v>2.3146302723274996E-2</c:v>
                </c:pt>
                <c:pt idx="1">
                  <c:v>2.0262915431629999E-2</c:v>
                </c:pt>
                <c:pt idx="2">
                  <c:v>1.4876465964069999E-2</c:v>
                </c:pt>
                <c:pt idx="3">
                  <c:v>6.4561636604700007E-3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C70-4BE4-84AE-59C55BD95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53472"/>
        <c:axId val="44344064"/>
      </c:scatterChart>
      <c:valAx>
        <c:axId val="4415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4064"/>
        <c:crosses val="autoZero"/>
        <c:crossBetween val="midCat"/>
      </c:valAx>
      <c:valAx>
        <c:axId val="4434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000_ ;_-[$$-409]* \-#,##0.000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CVA_STATIC!$A$22</c:f>
              <c:strCache>
                <c:ptCount val="1"/>
                <c:pt idx="0">
                  <c:v>CVA_PERIODO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CVA_STATIC!$B$17:$E$17</c:f>
              <c:strCache>
                <c:ptCount val="4"/>
                <c:pt idx="0">
                  <c:v>T0-T1</c:v>
                </c:pt>
                <c:pt idx="1">
                  <c:v>T1-T2</c:v>
                </c:pt>
                <c:pt idx="2">
                  <c:v>T2-T3</c:v>
                </c:pt>
                <c:pt idx="3">
                  <c:v>T3-T4</c:v>
                </c:pt>
              </c:strCache>
            </c:strRef>
          </c:cat>
          <c:val>
            <c:numRef>
              <c:f>CVA_STATIC!$B$22:$E$22</c:f>
              <c:numCache>
                <c:formatCode>_-"€"\ * #,##0.0000000_-;\-"€"\ * #,##0.0000000_-;_-"€"\ * "-"??_-;_-@_-</c:formatCode>
                <c:ptCount val="4"/>
                <c:pt idx="0">
                  <c:v>9.7300524493032834E-5</c:v>
                </c:pt>
                <c:pt idx="1">
                  <c:v>7.8126570002693446E-5</c:v>
                </c:pt>
                <c:pt idx="2">
                  <c:v>4.7021057489980437E-5</c:v>
                </c:pt>
                <c:pt idx="3">
                  <c:v>1.4104842254685452E-5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B77-4121-BDE0-A2E3E1E73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04512"/>
        <c:axId val="134306048"/>
      </c:barChart>
      <c:catAx>
        <c:axId val="13430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06048"/>
        <c:crosses val="autoZero"/>
        <c:auto val="1"/>
        <c:lblAlgn val="ctr"/>
        <c:lblOffset val="100"/>
        <c:noMultiLvlLbl val="0"/>
      </c:catAx>
      <c:valAx>
        <c:axId val="13430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€&quot;\ * #,##0.0000000_-;\-&quot;€&quot;\ * #,##0.0000000_-;_-&quot;€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0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 IRS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CVA_DYNAMIC!$J$21:$N$21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CVA_DYNAMIC!$J$22:$N$22</c:f>
              <c:numCache>
                <c:formatCode>_-[$$-409]* #,##0.00_ ;_-[$$-409]* \-#,##0.00\ ;_-[$$-409]* "-"??_ ;_-@_ </c:formatCode>
                <c:ptCount val="5"/>
                <c:pt idx="0">
                  <c:v>0</c:v>
                </c:pt>
                <c:pt idx="1">
                  <c:v>830.05594756362621</c:v>
                </c:pt>
                <c:pt idx="2">
                  <c:v>673.45229151455487</c:v>
                </c:pt>
                <c:pt idx="3">
                  <c:v>697.98564570209282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0BD-476E-B447-8363891C0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56608"/>
        <c:axId val="134766976"/>
      </c:scatterChart>
      <c:valAx>
        <c:axId val="1347566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6976"/>
        <c:crosses val="autoZero"/>
        <c:crossBetween val="midCat"/>
      </c:valAx>
      <c:valAx>
        <c:axId val="134766976"/>
        <c:scaling>
          <c:orientation val="minMax"/>
          <c:max val="1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5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TERM STRUCTURE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SPOT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CVA_DYNAMIC!$E$4:$H$4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CVA_DYNAMIC!$E$5:$H$5</c:f>
              <c:numCache>
                <c:formatCode>0.000%</c:formatCode>
                <c:ptCount val="4"/>
                <c:pt idx="0">
                  <c:v>4.2426536850184596E-4</c:v>
                </c:pt>
                <c:pt idx="1">
                  <c:v>2.4757279444605081E-3</c:v>
                </c:pt>
                <c:pt idx="2">
                  <c:v>2.9177024979847766E-3</c:v>
                </c:pt>
                <c:pt idx="3">
                  <c:v>3.8639647283649943E-3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13E-47AE-B67A-D17CE2C1DB06}"/>
            </c:ext>
          </c:extLst>
        </c:ser>
        <c:ser>
          <c:idx val="1"/>
          <c:order val="1"/>
          <c:tx>
            <c:v>FWD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CVA_DYNAMIC!$E$4:$H$4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CVA_DYNAMIC!$E$6:$H$6</c:f>
              <c:numCache>
                <c:formatCode>0.00%</c:formatCode>
                <c:ptCount val="4"/>
                <c:pt idx="0">
                  <c:v>4.2426536850184596E-4</c:v>
                </c:pt>
                <c:pt idx="1">
                  <c:v>4.5271905204191699E-3</c:v>
                </c:pt>
                <c:pt idx="2">
                  <c:v>3.8016516050333139E-3</c:v>
                </c:pt>
                <c:pt idx="3">
                  <c:v>6.7027514195056471E-3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13E-47AE-B67A-D17CE2C1DB06}"/>
            </c:ext>
          </c:extLst>
        </c:ser>
        <c:ser>
          <c:idx val="2"/>
          <c:order val="2"/>
          <c:tx>
            <c:v>REFERENCE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dash"/>
              </a:ln>
              <a:effectLst/>
            </c:spPr>
          </c:marker>
          <c:xVal>
            <c:numRef>
              <c:f>CVA_DYNAMIC!$E$4:$H$4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CVA_DYNAMIC!$E$10:$H$10</c:f>
              <c:numCache>
                <c:formatCode>0.00%</c:formatCode>
                <c:ptCount val="4"/>
                <c:pt idx="0">
                  <c:v>4.0000000000000002E-4</c:v>
                </c:pt>
                <c:pt idx="1">
                  <c:v>2.5000000000000001E-3</c:v>
                </c:pt>
                <c:pt idx="2">
                  <c:v>3.2000000000000002E-3</c:v>
                </c:pt>
                <c:pt idx="3">
                  <c:v>4.0000000000000001E-3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A13E-47AE-B67A-D17CE2C1D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42688"/>
        <c:axId val="134786048"/>
      </c:scatterChart>
      <c:valAx>
        <c:axId val="134242688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86048"/>
        <c:crosses val="autoZero"/>
        <c:crossBetween val="midCat"/>
      </c:valAx>
      <c:valAx>
        <c:axId val="134786048"/>
        <c:scaling>
          <c:orientation val="minMax"/>
          <c:max val="1.0000000000000002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 IRS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CVA_INCREASING!$J$21:$N$21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CVA_INCREASING!$J$22:$N$22</c:f>
              <c:numCache>
                <c:formatCode>_-[$$-409]* #,##0.00_ ;_-[$$-409]* \-#,##0.00\ ;_-[$$-409]* "-"??_ ;_-@_ </c:formatCode>
                <c:ptCount val="5"/>
                <c:pt idx="0">
                  <c:v>5027.0744679169093</c:v>
                </c:pt>
                <c:pt idx="1">
                  <c:v>7755.6569364996012</c:v>
                </c:pt>
                <c:pt idx="2">
                  <c:v>7803.109641170935</c:v>
                </c:pt>
                <c:pt idx="3">
                  <c:v>5302.5368405053241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94C-49FF-BCB1-2D5C05D5F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57664"/>
        <c:axId val="134280320"/>
      </c:scatterChart>
      <c:valAx>
        <c:axId val="13425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80320"/>
        <c:crosses val="autoZero"/>
        <c:crossBetween val="midCat"/>
      </c:valAx>
      <c:valAx>
        <c:axId val="134280320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5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TERM STRUCTURE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683985592709359"/>
          <c:y val="0.14210723682166204"/>
          <c:w val="0.76736990913222058"/>
          <c:h val="0.6877652011448393"/>
        </c:manualLayout>
      </c:layout>
      <c:scatterChart>
        <c:scatterStyle val="smoothMarker"/>
        <c:varyColors val="0"/>
        <c:ser>
          <c:idx val="0"/>
          <c:order val="0"/>
          <c:tx>
            <c:v>SPOT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CVA_INCREASING!$E$4:$H$4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CVA_INCREASING!$E$5:$H$5</c:f>
              <c:numCache>
                <c:formatCode>0.000%</c:formatCode>
                <c:ptCount val="4"/>
                <c:pt idx="0">
                  <c:v>1.9033611587255916E-2</c:v>
                </c:pt>
                <c:pt idx="1">
                  <c:v>2.4420734450632531E-2</c:v>
                </c:pt>
                <c:pt idx="2">
                  <c:v>2.9689660601585968E-2</c:v>
                </c:pt>
                <c:pt idx="3">
                  <c:v>3.5260085532325292E-2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506-4DF1-8CB7-CACAB8CE6AA6}"/>
            </c:ext>
          </c:extLst>
        </c:ser>
        <c:ser>
          <c:idx val="1"/>
          <c:order val="1"/>
          <c:tx>
            <c:v>FWD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CVA_INCREASING!$E$4:$H$4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CVA_INCREASING!$E$6:$H$6</c:f>
              <c:numCache>
                <c:formatCode>0.00%</c:formatCode>
                <c:ptCount val="4"/>
                <c:pt idx="0">
                  <c:v>1.9033611587255916E-2</c:v>
                </c:pt>
                <c:pt idx="1">
                  <c:v>2.9807857314009145E-2</c:v>
                </c:pt>
                <c:pt idx="2">
                  <c:v>4.0227512903492843E-2</c:v>
                </c:pt>
                <c:pt idx="3">
                  <c:v>5.1971360324543261E-2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1506-4DF1-8CB7-CACAB8CE6AA6}"/>
            </c:ext>
          </c:extLst>
        </c:ser>
        <c:ser>
          <c:idx val="2"/>
          <c:order val="2"/>
          <c:tx>
            <c:v>REFERENCE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CVA_INCREASING!$E$4:$H$4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CVA_INCREASING!$E$10:$H$10</c:f>
              <c:numCache>
                <c:formatCode>0.00%</c:formatCode>
                <c:ptCount val="4"/>
                <c:pt idx="0">
                  <c:v>0.02</c:v>
                </c:pt>
                <c:pt idx="1">
                  <c:v>2.5000000000000001E-2</c:v>
                </c:pt>
                <c:pt idx="2">
                  <c:v>0.03</c:v>
                </c:pt>
                <c:pt idx="3">
                  <c:v>3.5000000000000003E-2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1506-4DF1-8CB7-CACAB8CE6AA6}"/>
            </c:ext>
          </c:extLst>
        </c:ser>
        <c:ser>
          <c:idx val="3"/>
          <c:order val="3"/>
          <c:tx>
            <c:v>FIXED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dash"/>
              </a:ln>
              <a:effectLst/>
            </c:spPr>
          </c:marker>
          <c:xVal>
            <c:numRef>
              <c:f>CVA_INCREASING!$E$4:$H$4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CVA_INCREASING!$E$11:$H$11</c:f>
              <c:numCache>
                <c:formatCode>0.00%</c:formatCode>
                <c:ptCount val="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1506-4DF1-8CB7-CACAB8CE6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65664"/>
        <c:axId val="134867968"/>
      </c:scatterChart>
      <c:valAx>
        <c:axId val="134865664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7968"/>
        <c:crosses val="autoZero"/>
        <c:crossBetween val="midCat"/>
      </c:valAx>
      <c:valAx>
        <c:axId val="134867968"/>
        <c:scaling>
          <c:orientation val="minMax"/>
          <c:max val="7.0000000000000007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5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376764746511945"/>
          <c:y val="0.12059967020702246"/>
          <c:w val="0.27928166873877608"/>
          <c:h val="0.2616296582952883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MTM IRS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CVA_INCREASING!$J$21:$N$21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CVA_INCREASING!$J$17:$N$17</c:f>
              <c:numCache>
                <c:formatCode>_-[$$-409]* #,##0.00_ ;_-[$$-409]* \-#,##0.00\ ;_-[$$-409]* "-"??_ ;_-@_ </c:formatCode>
                <c:ptCount val="5"/>
                <c:pt idx="0">
                  <c:v>5027.0744679169093</c:v>
                </c:pt>
                <c:pt idx="1">
                  <c:v>7755.6569364996012</c:v>
                </c:pt>
                <c:pt idx="2">
                  <c:v>7803.109641170935</c:v>
                </c:pt>
                <c:pt idx="3">
                  <c:v>5302.5368405053241</c:v>
                </c:pt>
                <c:pt idx="4" formatCode="[$$-409]#,##0.00_ ;\-[$$-409]#,##0.00\ 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0FB-4F22-A8FE-B6E42C5A0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28800"/>
        <c:axId val="135230592"/>
      </c:scatterChart>
      <c:valAx>
        <c:axId val="1352288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30592"/>
        <c:crosses val="autoZero"/>
        <c:crossBetween val="midCat"/>
      </c:valAx>
      <c:valAx>
        <c:axId val="135230592"/>
        <c:scaling>
          <c:orientation val="minMax"/>
          <c:max val="1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2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 IRS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CVA_DECREASING!$J$21:$N$21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CVA_DECREASING!$J$22:$N$22</c:f>
              <c:numCache>
                <c:formatCode>_-[$$-409]* #,##0.00_ ;_-[$$-409]* \-#,##0.00\ ;_-[$$-409]* "-"??_ ;_-@_ </c:formatCode>
                <c:ptCount val="5"/>
                <c:pt idx="0">
                  <c:v>6633.4236350227029</c:v>
                </c:pt>
                <c:pt idx="1">
                  <c:v>1771.9162108100336</c:v>
                </c:pt>
                <c:pt idx="2">
                  <c:v>0</c:v>
                </c:pt>
                <c:pt idx="3">
                  <c:v>310.08941405107356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9AC-4C60-B8E3-3CDE73030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41088"/>
        <c:axId val="135583232"/>
      </c:scatterChart>
      <c:valAx>
        <c:axId val="13524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83232"/>
        <c:crosses val="autoZero"/>
        <c:crossBetween val="midCat"/>
      </c:valAx>
      <c:valAx>
        <c:axId val="135583232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4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TERM STRUCTURE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683985592709359"/>
          <c:y val="0.14210723682166204"/>
          <c:w val="0.76736990913222058"/>
          <c:h val="0.6877652011448393"/>
        </c:manualLayout>
      </c:layout>
      <c:scatterChart>
        <c:scatterStyle val="smoothMarker"/>
        <c:varyColors val="0"/>
        <c:ser>
          <c:idx val="0"/>
          <c:order val="0"/>
          <c:tx>
            <c:v>SPOT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CVA_DECREASING!$E$4:$H$4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CVA_DECREASING!$E$5:$H$5</c:f>
              <c:numCache>
                <c:formatCode>0.000%</c:formatCode>
                <c:ptCount val="4"/>
                <c:pt idx="0">
                  <c:v>4.9689100245467827E-2</c:v>
                </c:pt>
                <c:pt idx="1">
                  <c:v>4.651174905305365E-2</c:v>
                </c:pt>
                <c:pt idx="2">
                  <c:v>3.8544108876798329E-2</c:v>
                </c:pt>
                <c:pt idx="3">
                  <c:v>3.6729772336928368E-2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2A0-4ECA-834F-26502FD55CB5}"/>
            </c:ext>
          </c:extLst>
        </c:ser>
        <c:ser>
          <c:idx val="1"/>
          <c:order val="1"/>
          <c:tx>
            <c:v>FWD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CVA_DECREASING!$E$4:$H$4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CVA_DECREASING!$E$6:$H$6</c:f>
              <c:numCache>
                <c:formatCode>0.00%</c:formatCode>
                <c:ptCount val="4"/>
                <c:pt idx="0">
                  <c:v>4.9689100245467827E-2</c:v>
                </c:pt>
                <c:pt idx="1">
                  <c:v>4.3334397860639473E-2</c:v>
                </c:pt>
                <c:pt idx="2">
                  <c:v>2.2608828524287694E-2</c:v>
                </c:pt>
                <c:pt idx="3">
                  <c:v>3.1286762717318478E-2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B2A0-4ECA-834F-26502FD55CB5}"/>
            </c:ext>
          </c:extLst>
        </c:ser>
        <c:ser>
          <c:idx val="2"/>
          <c:order val="2"/>
          <c:tx>
            <c:v>REFERENCE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CVA_DECREASING!$E$4:$H$4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CVA_DECREASING!$E$10:$H$10</c:f>
              <c:numCache>
                <c:formatCode>0.00%</c:formatCode>
                <c:ptCount val="4"/>
                <c:pt idx="0">
                  <c:v>0.05</c:v>
                </c:pt>
                <c:pt idx="1">
                  <c:v>4.4999999999999998E-2</c:v>
                </c:pt>
                <c:pt idx="2">
                  <c:v>0.04</c:v>
                </c:pt>
                <c:pt idx="3">
                  <c:v>3.5000000000000003E-2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B2A0-4ECA-834F-26502FD55CB5}"/>
            </c:ext>
          </c:extLst>
        </c:ser>
        <c:ser>
          <c:idx val="3"/>
          <c:order val="3"/>
          <c:tx>
            <c:v>FIXED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dash"/>
              </a:ln>
              <a:effectLst/>
            </c:spPr>
          </c:marker>
          <c:xVal>
            <c:numRef>
              <c:f>CVA_DECREASING!$E$4:$H$4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CVA_DECREASING!$E$11:$H$11</c:f>
              <c:numCache>
                <c:formatCode>0.00%</c:formatCode>
                <c:ptCount val="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B2A0-4ECA-834F-26502FD55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196288"/>
        <c:axId val="137198592"/>
      </c:scatterChart>
      <c:valAx>
        <c:axId val="137196288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98592"/>
        <c:crosses val="autoZero"/>
        <c:crossBetween val="midCat"/>
      </c:valAx>
      <c:valAx>
        <c:axId val="137198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96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01332515246296"/>
          <c:y val="3.9204441064216659E-2"/>
          <c:w val="0.27928166873877608"/>
          <c:h val="0.2616296582952883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MTM IRS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CVA_DECREASING!$J$21:$N$21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CVA_DECREASING!$J$17:$N$17</c:f>
              <c:numCache>
                <c:formatCode>_-[$$-409]* #,##0.00_ ;_-[$$-409]* \-#,##0.00\ ;_-[$$-409]* "-"??_ ;_-@_ </c:formatCode>
                <c:ptCount val="5"/>
                <c:pt idx="0">
                  <c:v>6633.4236350227029</c:v>
                </c:pt>
                <c:pt idx="1">
                  <c:v>1771.9162108100336</c:v>
                </c:pt>
                <c:pt idx="2">
                  <c:v>-1485.052000589526</c:v>
                </c:pt>
                <c:pt idx="3">
                  <c:v>310.08941405107356</c:v>
                </c:pt>
                <c:pt idx="4" formatCode="[$$-409]#,##0.00_ ;\-[$$-409]#,##0.00\ 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D91-473C-8D8F-9060ED69F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97984"/>
        <c:axId val="137503872"/>
      </c:scatterChart>
      <c:valAx>
        <c:axId val="1374979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03872"/>
        <c:crosses val="autoZero"/>
        <c:crossBetween val="midCat"/>
      </c:valAx>
      <c:valAx>
        <c:axId val="137503872"/>
        <c:scaling>
          <c:orientation val="minMax"/>
          <c:max val="1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9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311222460828761"/>
          <c:y val="0.14833028722435443"/>
          <c:w val="0.6519213128661947"/>
          <c:h val="0.74687054813586951"/>
        </c:manualLayout>
      </c:layout>
      <c:scatterChart>
        <c:scatterStyle val="smoothMarker"/>
        <c:varyColors val="0"/>
        <c:ser>
          <c:idx val="0"/>
          <c:order val="0"/>
          <c:tx>
            <c:v>EE</c:v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BILATERAL!$J$21:$N$21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BILATERAL!$J$22:$N$22</c:f>
              <c:numCache>
                <c:formatCode>_-[$$-409]* #,##0.00_ ;_-[$$-409]* \-#,##0.00\ ;_-[$$-409]* "-"??_ ;_-@_ </c:formatCode>
                <c:ptCount val="5"/>
                <c:pt idx="0">
                  <c:v>4285.2464053530384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C78-4C11-9860-ADCCB29A4013}"/>
            </c:ext>
          </c:extLst>
        </c:ser>
        <c:ser>
          <c:idx val="1"/>
          <c:order val="1"/>
          <c:tx>
            <c:v>NEE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BILATERAL!$J$21:$N$21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BILATERAL!$J$23:$N$23</c:f>
              <c:numCache>
                <c:formatCode>_-[$$-409]* #,##0.00_ ;_-[$$-409]* \-#,##0.00\ ;_-[$$-409]* "-"??_ ;_-@_ </c:formatCode>
                <c:ptCount val="5"/>
                <c:pt idx="0">
                  <c:v>0</c:v>
                </c:pt>
                <c:pt idx="1">
                  <c:v>71.163192231546873</c:v>
                </c:pt>
                <c:pt idx="2">
                  <c:v>3197.5710135024592</c:v>
                </c:pt>
                <c:pt idx="3">
                  <c:v>3931.5406459506798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7-8C78-4C11-9860-ADCCB29A4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558272"/>
        <c:axId val="137630464"/>
      </c:scatterChart>
      <c:valAx>
        <c:axId val="137558272"/>
        <c:scaling>
          <c:orientation val="minMax"/>
          <c:max val="1"/>
          <c:min val="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30464"/>
        <c:crosses val="autoZero"/>
        <c:crossBetween val="midCat"/>
      </c:valAx>
      <c:valAx>
        <c:axId val="137630464"/>
        <c:scaling>
          <c:orientation val="minMax"/>
          <c:max val="1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58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61926350115325"/>
          <c:y val="5.2768957147481629E-2"/>
          <c:w val="0.15016861528672551"/>
          <c:h val="0.13497390758890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TERM STRUCTURE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683985592709359"/>
          <c:y val="0.14210723682166204"/>
          <c:w val="0.76736990913222058"/>
          <c:h val="0.6877652011448393"/>
        </c:manualLayout>
      </c:layout>
      <c:scatterChart>
        <c:scatterStyle val="smoothMarker"/>
        <c:varyColors val="0"/>
        <c:ser>
          <c:idx val="0"/>
          <c:order val="0"/>
          <c:tx>
            <c:v>SPOT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BILATERAL!$E$4:$H$4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BILATERAL!$E$5:$H$5</c:f>
              <c:numCache>
                <c:formatCode>0.000%</c:formatCode>
                <c:ptCount val="4"/>
                <c:pt idx="0">
                  <c:v>4.7634393846272216E-2</c:v>
                </c:pt>
                <c:pt idx="1">
                  <c:v>4.5212976638819166E-2</c:v>
                </c:pt>
                <c:pt idx="2">
                  <c:v>4.115128532544203E-2</c:v>
                </c:pt>
                <c:pt idx="3">
                  <c:v>3.4294753471231607E-2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385-4F32-AE8D-1F635FA781B1}"/>
            </c:ext>
          </c:extLst>
        </c:ser>
        <c:ser>
          <c:idx val="1"/>
          <c:order val="1"/>
          <c:tx>
            <c:v>FWD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BILATERAL!$E$4:$H$4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BILATERAL!$E$6:$H$6</c:f>
              <c:numCache>
                <c:formatCode>0.00%</c:formatCode>
                <c:ptCount val="4"/>
                <c:pt idx="0">
                  <c:v>4.7634393846272216E-2</c:v>
                </c:pt>
                <c:pt idx="1">
                  <c:v>4.2791559431366116E-2</c:v>
                </c:pt>
                <c:pt idx="2">
                  <c:v>3.3027902698687758E-2</c:v>
                </c:pt>
                <c:pt idx="3">
                  <c:v>1.3725157908600336E-2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385-4F32-AE8D-1F635FA781B1}"/>
            </c:ext>
          </c:extLst>
        </c:ser>
        <c:ser>
          <c:idx val="2"/>
          <c:order val="2"/>
          <c:tx>
            <c:v>REFERENCE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BILATERAL!$E$4:$H$4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BILATERAL!$E$13:$H$13</c:f>
              <c:numCache>
                <c:formatCode>0.00%</c:formatCode>
                <c:ptCount val="4"/>
                <c:pt idx="0">
                  <c:v>0.05</c:v>
                </c:pt>
                <c:pt idx="1">
                  <c:v>4.4999999999999998E-2</c:v>
                </c:pt>
                <c:pt idx="2">
                  <c:v>0.04</c:v>
                </c:pt>
                <c:pt idx="3">
                  <c:v>3.5000000000000003E-2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D385-4F32-AE8D-1F635FA781B1}"/>
            </c:ext>
          </c:extLst>
        </c:ser>
        <c:ser>
          <c:idx val="3"/>
          <c:order val="3"/>
          <c:tx>
            <c:v>FIXED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dash"/>
              </a:ln>
              <a:effectLst/>
            </c:spPr>
          </c:marker>
          <c:xVal>
            <c:numRef>
              <c:f>BILATERAL!$E$4:$H$4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BILATERAL!$E$14:$H$14</c:f>
              <c:numCache>
                <c:formatCode>0.00%</c:formatCode>
                <c:ptCount val="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D385-4F32-AE8D-1F635FA78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75520"/>
        <c:axId val="137677824"/>
      </c:scatterChart>
      <c:valAx>
        <c:axId val="137675520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7824"/>
        <c:crosses val="autoZero"/>
        <c:crossBetween val="midCat"/>
      </c:valAx>
      <c:valAx>
        <c:axId val="137677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5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01332515246296"/>
          <c:y val="3.9204441064216659E-2"/>
          <c:w val="0.27928166873877608"/>
          <c:h val="0.2616296582952883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MTM IRS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BILATERAL!$J$21:$N$21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BILATERAL!$J$17:$N$17</c:f>
              <c:numCache>
                <c:formatCode>_-[$$-409]* #,##0.00_ ;_-[$$-409]* \-#,##0.00\ ;_-[$$-409]* "-"??_ ;_-@_ </c:formatCode>
                <c:ptCount val="5"/>
                <c:pt idx="0">
                  <c:v>4285.2464053530384</c:v>
                </c:pt>
                <c:pt idx="1">
                  <c:v>-71.163192231546873</c:v>
                </c:pt>
                <c:pt idx="2">
                  <c:v>-3197.5710135024592</c:v>
                </c:pt>
                <c:pt idx="3">
                  <c:v>-3931.5406459506798</c:v>
                </c:pt>
                <c:pt idx="4" formatCode="[$$-409]#,##0.00_ ;\-[$$-409]#,##0.00\ 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914-4831-A344-E9B916598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71776"/>
        <c:axId val="138573312"/>
      </c:scatterChart>
      <c:valAx>
        <c:axId val="1385717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73312"/>
        <c:crosses val="autoZero"/>
        <c:crossBetween val="midCat"/>
      </c:valAx>
      <c:valAx>
        <c:axId val="138573312"/>
        <c:scaling>
          <c:orientation val="minMax"/>
          <c:max val="1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71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 IRS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CVA_1234!$J$21:$N$21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CVA_1234!$J$22:$N$22</c:f>
              <c:numCache>
                <c:formatCode>_-[$$-409]* #,##0.00_ ;_-[$$-409]* \-#,##0.00\ ;_-[$$-409]* "-"??_ ;_-@_ </c:formatCode>
                <c:ptCount val="5"/>
                <c:pt idx="0">
                  <c:v>0</c:v>
                </c:pt>
                <c:pt idx="1">
                  <c:v>5643.2093971414051</c:v>
                </c:pt>
                <c:pt idx="2">
                  <c:v>8186.3595971273426</c:v>
                </c:pt>
                <c:pt idx="3">
                  <c:v>3850.7921976451266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05E-4EA0-A255-6DC93A9A9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47040"/>
        <c:axId val="138648960"/>
      </c:scatterChart>
      <c:valAx>
        <c:axId val="1386470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48960"/>
        <c:crosses val="autoZero"/>
        <c:crossBetween val="midCat"/>
      </c:valAx>
      <c:valAx>
        <c:axId val="13864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4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TERM STRUCTURE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SPOT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CVA_1234!$E$4:$H$4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CVA_1234!$E$5:$H$5</c:f>
              <c:numCache>
                <c:formatCode>0.000%</c:formatCode>
                <c:ptCount val="4"/>
                <c:pt idx="0">
                  <c:v>1.0932686755637598E-2</c:v>
                </c:pt>
                <c:pt idx="1">
                  <c:v>2.0328081992600163E-2</c:v>
                </c:pt>
                <c:pt idx="2">
                  <c:v>3.2810159857283534E-2</c:v>
                </c:pt>
                <c:pt idx="3">
                  <c:v>3.8609998721461591E-2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74-4E31-8C39-67835EF5E5D4}"/>
            </c:ext>
          </c:extLst>
        </c:ser>
        <c:ser>
          <c:idx val="1"/>
          <c:order val="1"/>
          <c:tx>
            <c:v>FWD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CVA_1234!$E$4:$H$4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CVA_1234!$E$6:$H$6</c:f>
              <c:numCache>
                <c:formatCode>0.00%</c:formatCode>
                <c:ptCount val="4"/>
                <c:pt idx="0">
                  <c:v>1.0932686755637598E-2</c:v>
                </c:pt>
                <c:pt idx="1">
                  <c:v>2.9723477229562728E-2</c:v>
                </c:pt>
                <c:pt idx="2">
                  <c:v>5.7774315586650284E-2</c:v>
                </c:pt>
                <c:pt idx="3">
                  <c:v>5.6009515313995756E-2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C74-4E31-8C39-67835EF5E5D4}"/>
            </c:ext>
          </c:extLst>
        </c:ser>
        <c:ser>
          <c:idx val="2"/>
          <c:order val="2"/>
          <c:tx>
            <c:v>REFERENCE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CVA_1234!$E$4:$H$4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CVA_1234!$E$10:$H$10</c:f>
              <c:numCache>
                <c:formatCode>0.00%</c:formatCode>
                <c:ptCount val="4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4C74-4E31-8C39-67835EF5E5D4}"/>
            </c:ext>
          </c:extLst>
        </c:ser>
        <c:ser>
          <c:idx val="3"/>
          <c:order val="3"/>
          <c:tx>
            <c:v>FIXED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bg1">
                    <a:lumMod val="50000"/>
                  </a:schemeClr>
                </a:solidFill>
                <a:prstDash val="dash"/>
              </a:ln>
              <a:effectLst/>
            </c:spPr>
          </c:marker>
          <c:xVal>
            <c:numRef>
              <c:f>CVA_1234!$E$4:$H$4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CVA_1234!$E$11:$H$11</c:f>
              <c:numCache>
                <c:formatCode>0.00%</c:formatCode>
                <c:ptCount val="4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4C74-4E31-8C39-67835EF5E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01440"/>
        <c:axId val="138716288"/>
      </c:scatterChart>
      <c:valAx>
        <c:axId val="138701440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16288"/>
        <c:crosses val="autoZero"/>
        <c:crossBetween val="midCat"/>
      </c:valAx>
      <c:valAx>
        <c:axId val="138716288"/>
        <c:scaling>
          <c:orientation val="minMax"/>
          <c:max val="7.0000000000000007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01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25</xdr:row>
      <xdr:rowOff>167640</xdr:rowOff>
    </xdr:from>
    <xdr:to>
      <xdr:col>12</xdr:col>
      <xdr:colOff>647700</xdr:colOff>
      <xdr:row>39</xdr:row>
      <xdr:rowOff>137160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335280</xdr:colOff>
      <xdr:row>24</xdr:row>
      <xdr:rowOff>83820</xdr:rowOff>
    </xdr:from>
    <xdr:to>
      <xdr:col>6</xdr:col>
      <xdr:colOff>182880</xdr:colOff>
      <xdr:row>38</xdr:row>
      <xdr:rowOff>53340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24</xdr:row>
      <xdr:rowOff>110489</xdr:rowOff>
    </xdr:from>
    <xdr:to>
      <xdr:col>12</xdr:col>
      <xdr:colOff>866775</xdr:colOff>
      <xdr:row>41</xdr:row>
      <xdr:rowOff>38100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438149</xdr:colOff>
      <xdr:row>24</xdr:row>
      <xdr:rowOff>114299</xdr:rowOff>
    </xdr:from>
    <xdr:to>
      <xdr:col>7</xdr:col>
      <xdr:colOff>352425</xdr:colOff>
      <xdr:row>41</xdr:row>
      <xdr:rowOff>57149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24</xdr:row>
      <xdr:rowOff>110489</xdr:rowOff>
    </xdr:from>
    <xdr:to>
      <xdr:col>12</xdr:col>
      <xdr:colOff>1000125</xdr:colOff>
      <xdr:row>40</xdr:row>
      <xdr:rowOff>142875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161925</xdr:colOff>
      <xdr:row>24</xdr:row>
      <xdr:rowOff>104774</xdr:rowOff>
    </xdr:from>
    <xdr:to>
      <xdr:col>4</xdr:col>
      <xdr:colOff>57150</xdr:colOff>
      <xdr:row>40</xdr:row>
      <xdr:rowOff>180975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123825</xdr:colOff>
      <xdr:row>24</xdr:row>
      <xdr:rowOff>95249</xdr:rowOff>
    </xdr:from>
    <xdr:to>
      <xdr:col>9</xdr:col>
      <xdr:colOff>238126</xdr:colOff>
      <xdr:row>40</xdr:row>
      <xdr:rowOff>200024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24</xdr:row>
      <xdr:rowOff>110489</xdr:rowOff>
    </xdr:from>
    <xdr:to>
      <xdr:col>12</xdr:col>
      <xdr:colOff>1000125</xdr:colOff>
      <xdr:row>40</xdr:row>
      <xdr:rowOff>142875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161925</xdr:colOff>
      <xdr:row>24</xdr:row>
      <xdr:rowOff>104774</xdr:rowOff>
    </xdr:from>
    <xdr:to>
      <xdr:col>4</xdr:col>
      <xdr:colOff>57150</xdr:colOff>
      <xdr:row>40</xdr:row>
      <xdr:rowOff>180975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123825</xdr:colOff>
      <xdr:row>24</xdr:row>
      <xdr:rowOff>95249</xdr:rowOff>
    </xdr:from>
    <xdr:to>
      <xdr:col>9</xdr:col>
      <xdr:colOff>238126</xdr:colOff>
      <xdr:row>40</xdr:row>
      <xdr:rowOff>200024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36</xdr:row>
      <xdr:rowOff>186689</xdr:rowOff>
    </xdr:from>
    <xdr:to>
      <xdr:col>13</xdr:col>
      <xdr:colOff>104775</xdr:colOff>
      <xdr:row>52</xdr:row>
      <xdr:rowOff>161925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36</xdr:row>
      <xdr:rowOff>171449</xdr:rowOff>
    </xdr:from>
    <xdr:to>
      <xdr:col>4</xdr:col>
      <xdr:colOff>76200</xdr:colOff>
      <xdr:row>53</xdr:row>
      <xdr:rowOff>47625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238125</xdr:colOff>
      <xdr:row>36</xdr:row>
      <xdr:rowOff>171449</xdr:rowOff>
    </xdr:from>
    <xdr:to>
      <xdr:col>9</xdr:col>
      <xdr:colOff>352426</xdr:colOff>
      <xdr:row>53</xdr:row>
      <xdr:rowOff>76199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24</xdr:row>
      <xdr:rowOff>110489</xdr:rowOff>
    </xdr:from>
    <xdr:to>
      <xdr:col>12</xdr:col>
      <xdr:colOff>866775</xdr:colOff>
      <xdr:row>41</xdr:row>
      <xdr:rowOff>38100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438149</xdr:colOff>
      <xdr:row>24</xdr:row>
      <xdr:rowOff>114299</xdr:rowOff>
    </xdr:from>
    <xdr:to>
      <xdr:col>7</xdr:col>
      <xdr:colOff>352425</xdr:colOff>
      <xdr:row>41</xdr:row>
      <xdr:rowOff>57149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80" zoomScaleNormal="80" workbookViewId="0">
      <selection activeCell="J13" sqref="J13"/>
    </sheetView>
  </sheetViews>
  <sheetFormatPr defaultRowHeight="15.75" x14ac:dyDescent="0.25"/>
  <cols>
    <col min="1" max="1" width="12.375" customWidth="1"/>
    <col min="2" max="2" width="14.375" customWidth="1"/>
    <col min="3" max="5" width="13.125" bestFit="1" customWidth="1"/>
    <col min="10" max="10" width="13.125" customWidth="1"/>
    <col min="11" max="11" width="16.125" customWidth="1"/>
    <col min="12" max="12" width="17.375" customWidth="1"/>
    <col min="13" max="13" width="16.375" customWidth="1"/>
    <col min="14" max="14" width="17.375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6.3850000000000001E-3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0.5</v>
      </c>
      <c r="L4" s="15">
        <v>1</v>
      </c>
      <c r="M4" s="15">
        <v>1.5</v>
      </c>
      <c r="N4" s="15">
        <v>2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26">
        <v>4.0000000000000002E-4</v>
      </c>
      <c r="F5" s="26">
        <v>2.5000000000000001E-3</v>
      </c>
      <c r="G5" s="26">
        <v>3.2000000000000002E-3</v>
      </c>
      <c r="H5" s="27">
        <v>4.0000000000000001E-3</v>
      </c>
      <c r="J5" s="17" t="s">
        <v>18</v>
      </c>
      <c r="K5" s="22">
        <f>$B$7</f>
        <v>1</v>
      </c>
      <c r="L5" s="22">
        <f t="shared" ref="L5:N5" si="0">$B$7</f>
        <v>1</v>
      </c>
      <c r="M5" s="22">
        <f t="shared" si="0"/>
        <v>1</v>
      </c>
      <c r="N5" s="22">
        <f t="shared" si="0"/>
        <v>1</v>
      </c>
    </row>
    <row r="6" spans="1:14" ht="16.5" thickBot="1" x14ac:dyDescent="0.3">
      <c r="A6" s="4" t="s">
        <v>1</v>
      </c>
      <c r="B6" s="10">
        <v>0.5</v>
      </c>
      <c r="D6" s="7" t="s">
        <v>9</v>
      </c>
      <c r="E6" s="26">
        <f>E5</f>
        <v>4.0000000000000002E-4</v>
      </c>
      <c r="F6" s="26">
        <f>(F5*F4-E5*E4)/(F4-E4)</f>
        <v>4.5999999999999999E-3</v>
      </c>
      <c r="G6" s="26">
        <f>(G5*G4-F5*F4)/(G4-F4)</f>
        <v>4.6000000000000008E-3</v>
      </c>
      <c r="H6" s="27">
        <f>(H5*H4-G5*G4)/(H4-G4)</f>
        <v>6.3999999999999994E-3</v>
      </c>
      <c r="J6" s="17" t="s">
        <v>19</v>
      </c>
      <c r="K6" s="23">
        <v>1.2163999999999999E-2</v>
      </c>
      <c r="L6" s="23">
        <v>1.7180999999999998E-2</v>
      </c>
      <c r="M6" s="23">
        <v>2.3269999999999999E-2</v>
      </c>
      <c r="N6" s="23">
        <v>1.9338000000000001E-2</v>
      </c>
    </row>
    <row r="7" spans="1:14" ht="16.5" thickBot="1" x14ac:dyDescent="0.3">
      <c r="A7" s="4" t="s">
        <v>2</v>
      </c>
      <c r="B7" s="12">
        <v>1</v>
      </c>
      <c r="D7" s="7" t="s">
        <v>10</v>
      </c>
      <c r="E7" s="28">
        <f>EXP(-E5*E4)</f>
        <v>0.99990000499983334</v>
      </c>
      <c r="F7" s="28">
        <f>EXP(-F5*F4)</f>
        <v>0.99875078092458092</v>
      </c>
      <c r="G7" s="28">
        <f>EXP(-G5*G4)</f>
        <v>0.99760287769738176</v>
      </c>
      <c r="H7" s="29">
        <f>EXP(-H5*H4)</f>
        <v>0.99600798934399148</v>
      </c>
      <c r="J7" s="17" t="s">
        <v>38</v>
      </c>
      <c r="K7" s="23">
        <f>$B$3</f>
        <v>6.3850000000000001E-3</v>
      </c>
      <c r="L7" s="23">
        <f t="shared" ref="L7:N7" si="1">$B$3</f>
        <v>6.3850000000000001E-3</v>
      </c>
      <c r="M7" s="23">
        <f t="shared" si="1"/>
        <v>6.3850000000000001E-3</v>
      </c>
      <c r="N7" s="23">
        <f t="shared" si="1"/>
        <v>6.3850000000000001E-3</v>
      </c>
    </row>
    <row r="8" spans="1:14" ht="16.5" thickBot="1" x14ac:dyDescent="0.3">
      <c r="A8" s="4"/>
      <c r="B8" s="10"/>
      <c r="D8" s="7" t="s">
        <v>33</v>
      </c>
      <c r="E8" s="26">
        <f>EXP(-$B$9*D4)-EXP(-$B$9*E4)</f>
        <v>7.4719451808615833E-3</v>
      </c>
      <c r="F8" s="26">
        <f>EXP(-$B$9*E4)-EXP(-$B$9*F4)</f>
        <v>7.4161152160757693E-3</v>
      </c>
      <c r="G8" s="26">
        <f>EXP(-$B$9*F4)-EXP(-$B$9*G4)</f>
        <v>7.3607024097263052E-3</v>
      </c>
      <c r="H8" s="27">
        <f>EXP(-$B$9*G4)-EXP(-$B$9*H4)</f>
        <v>7.3057036448281876E-3</v>
      </c>
      <c r="J8" s="17" t="s">
        <v>20</v>
      </c>
      <c r="K8" s="24">
        <v>0.99788451</v>
      </c>
      <c r="L8" s="24">
        <v>0.99786021999999996</v>
      </c>
      <c r="M8" s="24">
        <v>0.99737072000000004</v>
      </c>
      <c r="N8" s="24">
        <v>0.99685997999999998</v>
      </c>
    </row>
    <row r="9" spans="1:14" ht="16.5" thickBot="1" x14ac:dyDescent="0.3">
      <c r="A9" s="4" t="s">
        <v>11</v>
      </c>
      <c r="B9" s="11">
        <v>0.03</v>
      </c>
      <c r="J9" s="17" t="s">
        <v>21</v>
      </c>
      <c r="K9" s="25">
        <f>$B$6</f>
        <v>0.5</v>
      </c>
      <c r="L9" s="25">
        <f t="shared" ref="L9:N9" si="2">$B$6</f>
        <v>0.5</v>
      </c>
      <c r="M9" s="25">
        <f t="shared" si="2"/>
        <v>0.5</v>
      </c>
      <c r="N9" s="25">
        <f t="shared" si="2"/>
        <v>0.5</v>
      </c>
    </row>
    <row r="10" spans="1:14" ht="16.5" thickBot="1" x14ac:dyDescent="0.3">
      <c r="A10" s="4" t="s">
        <v>12</v>
      </c>
      <c r="B10" s="11">
        <v>0.4</v>
      </c>
      <c r="J10" s="4" t="s">
        <v>22</v>
      </c>
      <c r="K10" s="49">
        <f>K5*(K6-K7)*K8*K9</f>
        <v>2.8833872916449997E-3</v>
      </c>
      <c r="L10" s="49">
        <f t="shared" ref="L10:N10" si="3">L5*(L6-L7)*L8*L9</f>
        <v>5.3864494675599991E-3</v>
      </c>
      <c r="M10" s="49">
        <f t="shared" si="3"/>
        <v>8.4203023035999986E-3</v>
      </c>
      <c r="N10" s="49">
        <f t="shared" si="3"/>
        <v>6.4561636604700007E-3</v>
      </c>
    </row>
    <row r="11" spans="1:14" ht="16.5" thickBot="1" x14ac:dyDescent="0.3"/>
    <row r="12" spans="1:14" ht="16.5" thickBot="1" x14ac:dyDescent="0.3">
      <c r="J12" s="18" t="s">
        <v>23</v>
      </c>
    </row>
    <row r="13" spans="1:14" ht="16.5" thickBot="1" x14ac:dyDescent="0.3">
      <c r="J13" s="46">
        <f>SUM(K10:N10)</f>
        <v>2.3146302723274996E-2</v>
      </c>
      <c r="K13" s="47" t="s">
        <v>24</v>
      </c>
      <c r="L13" s="48"/>
      <c r="M13" s="48"/>
      <c r="N13" s="48"/>
    </row>
    <row r="14" spans="1:14" ht="16.5" thickBot="1" x14ac:dyDescent="0.3">
      <c r="J14" s="48"/>
      <c r="K14" s="46">
        <f>SUM(L10:N10)</f>
        <v>2.0262915431629999E-2</v>
      </c>
      <c r="L14" s="47" t="s">
        <v>25</v>
      </c>
      <c r="M14" s="48"/>
      <c r="N14" s="48"/>
    </row>
    <row r="15" spans="1:14" ht="16.5" thickBot="1" x14ac:dyDescent="0.3">
      <c r="J15" s="48"/>
      <c r="K15" s="48"/>
      <c r="L15" s="46">
        <f>SUM(M10:N10)</f>
        <v>1.4876465964069999E-2</v>
      </c>
      <c r="M15" s="47" t="s">
        <v>26</v>
      </c>
      <c r="N15" s="48"/>
    </row>
    <row r="16" spans="1:14" ht="16.5" thickBot="1" x14ac:dyDescent="0.3">
      <c r="A16" s="8" t="s">
        <v>58</v>
      </c>
      <c r="B16" s="8"/>
      <c r="C16" s="8"/>
      <c r="D16" s="8"/>
      <c r="E16" s="8"/>
      <c r="J16" s="48"/>
      <c r="K16" s="48"/>
      <c r="L16" s="48"/>
      <c r="M16" s="46">
        <f>SUM(N10)</f>
        <v>6.4561636604700007E-3</v>
      </c>
      <c r="N16" s="47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J17" s="48"/>
      <c r="K17" s="48"/>
      <c r="L17" s="48"/>
      <c r="M17" s="48"/>
      <c r="N17" s="46">
        <v>0</v>
      </c>
    </row>
    <row r="18" spans="1:14" ht="16.5" thickBot="1" x14ac:dyDescent="0.3">
      <c r="A18" s="21" t="s">
        <v>32</v>
      </c>
      <c r="B18" s="51">
        <f>(J22+K22)/2</f>
        <v>2.1704609077452496E-2</v>
      </c>
      <c r="C18" s="51">
        <f>(K22+L22)/2</f>
        <v>1.7569690697849999E-2</v>
      </c>
      <c r="D18" s="51">
        <f>(L22+M22)/2</f>
        <v>1.0666314812270001E-2</v>
      </c>
      <c r="E18" s="51">
        <f>(M22+N22)/2</f>
        <v>3.2280818302350004E-3</v>
      </c>
    </row>
    <row r="19" spans="1:14" ht="16.5" thickBot="1" x14ac:dyDescent="0.3">
      <c r="A19" s="21" t="s">
        <v>10</v>
      </c>
      <c r="B19" s="24">
        <f>(1+E7)/2</f>
        <v>0.99995000249991661</v>
      </c>
      <c r="C19" s="24">
        <f>(F7+E7)/2</f>
        <v>0.99932539296220713</v>
      </c>
      <c r="D19" s="24">
        <f t="shared" ref="D19:E19" si="4">(G7+F7)/2</f>
        <v>0.99817682931098139</v>
      </c>
      <c r="E19" s="24">
        <f t="shared" si="4"/>
        <v>0.99680543352068662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33</v>
      </c>
      <c r="B20" s="23">
        <f t="shared" ref="B20:E20" si="5">E8</f>
        <v>7.4719451808615833E-3</v>
      </c>
      <c r="C20" s="23">
        <f t="shared" si="5"/>
        <v>7.4161152160757693E-3</v>
      </c>
      <c r="D20" s="23">
        <f t="shared" si="5"/>
        <v>7.3607024097263052E-3</v>
      </c>
      <c r="E20" s="23">
        <f t="shared" si="5"/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14</v>
      </c>
      <c r="B21" s="31">
        <f>1-$B$10</f>
        <v>0.6</v>
      </c>
      <c r="C21" s="31">
        <f t="shared" ref="C21:E21" si="6">1-$B$10</f>
        <v>0.6</v>
      </c>
      <c r="D21" s="31">
        <f t="shared" si="6"/>
        <v>0.6</v>
      </c>
      <c r="E21" s="31">
        <f t="shared" si="6"/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ht="16.5" thickBot="1" x14ac:dyDescent="0.3">
      <c r="A22" s="21" t="s">
        <v>34</v>
      </c>
      <c r="B22" s="52">
        <f>B18*B19*B20*B21</f>
        <v>9.7300524493032834E-5</v>
      </c>
      <c r="C22" s="53">
        <f t="shared" ref="C22:E22" si="7">C18*C19*C20*C21</f>
        <v>7.8126570002693446E-5</v>
      </c>
      <c r="D22" s="53">
        <f t="shared" si="7"/>
        <v>4.7021057489980437E-5</v>
      </c>
      <c r="E22" s="53">
        <f t="shared" si="7"/>
        <v>1.4104842254685452E-5</v>
      </c>
      <c r="J22" s="50">
        <f>MAX(J13,0)</f>
        <v>2.3146302723274996E-2</v>
      </c>
      <c r="K22" s="50">
        <f>MAX(K14,0)</f>
        <v>2.0262915431629999E-2</v>
      </c>
      <c r="L22" s="50">
        <f>MAX(L15,0)</f>
        <v>1.4876465964069999E-2</v>
      </c>
      <c r="M22" s="50">
        <f>MAX(M16,0)</f>
        <v>6.4561636604700007E-3</v>
      </c>
      <c r="N22" s="50">
        <f>MAX(N17,0)</f>
        <v>0</v>
      </c>
    </row>
    <row r="23" spans="1:14" ht="16.5" thickBot="1" x14ac:dyDescent="0.3">
      <c r="A23" s="33" t="s">
        <v>13</v>
      </c>
      <c r="B23" s="54">
        <f>SUM(B22:E22)</f>
        <v>2.3655299424039217E-4</v>
      </c>
      <c r="C23" s="55"/>
      <c r="D23" s="55"/>
      <c r="E23" s="55"/>
    </row>
  </sheetData>
  <pageMargins left="0.7" right="0.7" top="0.75" bottom="0.75" header="0.3" footer="0.3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zoomScale="80" zoomScaleNormal="80" workbookViewId="0">
      <selection activeCell="O30" sqref="O30"/>
    </sheetView>
  </sheetViews>
  <sheetFormatPr defaultRowHeight="15.75" x14ac:dyDescent="0.25"/>
  <cols>
    <col min="1" max="1" width="12.375" customWidth="1"/>
    <col min="2" max="2" width="14.375" customWidth="1"/>
    <col min="3" max="3" width="11.25" customWidth="1"/>
    <col min="4" max="4" width="10.625" customWidth="1"/>
    <col min="10" max="10" width="10" customWidth="1"/>
    <col min="11" max="11" width="14.625" bestFit="1" customWidth="1"/>
    <col min="12" max="12" width="14.75" customWidth="1"/>
    <col min="13" max="14" width="14.625" bestFit="1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3.8999999999999998E-3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38">
        <f ca="1">E10*0.9+E10*0.2*RAND()</f>
        <v>4.2426536850184596E-4</v>
      </c>
      <c r="F5" s="38">
        <f ca="1">F10*0.9+F10*0.2*RAND()</f>
        <v>2.4757279444605081E-3</v>
      </c>
      <c r="G5" s="38">
        <f ca="1">G10*0.9+G10*0.2*RAND()</f>
        <v>2.9177024979847766E-3</v>
      </c>
      <c r="H5" s="38">
        <f ca="1">H10*0.9+H10*0.2*RAND()</f>
        <v>3.8639647283649943E-3</v>
      </c>
      <c r="J5" s="17" t="s">
        <v>18</v>
      </c>
      <c r="K5" s="22">
        <f>$B$7</f>
        <v>1000000</v>
      </c>
      <c r="L5" s="22">
        <f t="shared" ref="L5:N5" si="0">$B$7</f>
        <v>1000000</v>
      </c>
      <c r="M5" s="22">
        <f t="shared" si="0"/>
        <v>1000000</v>
      </c>
      <c r="N5" s="22">
        <f t="shared" si="0"/>
        <v>1000000</v>
      </c>
    </row>
    <row r="6" spans="1:14" ht="16.5" thickBot="1" x14ac:dyDescent="0.3">
      <c r="A6" s="4" t="s">
        <v>1</v>
      </c>
      <c r="B6" s="10">
        <v>0.25</v>
      </c>
      <c r="D6" s="7" t="s">
        <v>9</v>
      </c>
      <c r="E6" s="26">
        <f ca="1">E5</f>
        <v>4.2426536850184596E-4</v>
      </c>
      <c r="F6" s="26">
        <f ca="1">(F5*F4-E5*E4)/(F4-E4)</f>
        <v>4.5271905204191699E-3</v>
      </c>
      <c r="G6" s="26">
        <f ca="1">(G5*G4-F5*F4)/(G4-F4)</f>
        <v>3.8016516050333139E-3</v>
      </c>
      <c r="H6" s="27">
        <f ca="1">(H5*H4-G5*G4)/(H4-G4)</f>
        <v>6.7027514195056471E-3</v>
      </c>
      <c r="J6" s="17" t="s">
        <v>19</v>
      </c>
      <c r="K6" s="23">
        <f ca="1">E6</f>
        <v>4.2426536850184596E-4</v>
      </c>
      <c r="L6" s="23">
        <f t="shared" ref="L6:N6" ca="1" si="1">F6</f>
        <v>4.5271905204191699E-3</v>
      </c>
      <c r="M6" s="23">
        <f t="shared" ca="1" si="1"/>
        <v>3.8016516050333139E-3</v>
      </c>
      <c r="N6" s="23">
        <f t="shared" ca="1" si="1"/>
        <v>6.7027514195056471E-3</v>
      </c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8">
        <f ca="1">EXP(-E5*E4)</f>
        <v>0.99989393928271009</v>
      </c>
      <c r="F7" s="28">
        <f ca="1">EXP(-F5*F4)</f>
        <v>0.99876290186534311</v>
      </c>
      <c r="G7" s="28">
        <f ca="1">EXP(-G5*G4)</f>
        <v>0.99781411565885636</v>
      </c>
      <c r="H7" s="29">
        <f ca="1">EXP(-H5*H4)</f>
        <v>0.99614349077765074</v>
      </c>
      <c r="J7" s="17" t="s">
        <v>15</v>
      </c>
      <c r="K7" s="23">
        <f>$B$3</f>
        <v>3.8999999999999998E-3</v>
      </c>
      <c r="L7" s="23">
        <f t="shared" ref="L7:N7" si="2">$B$3</f>
        <v>3.8999999999999998E-3</v>
      </c>
      <c r="M7" s="23">
        <f t="shared" si="2"/>
        <v>3.8999999999999998E-3</v>
      </c>
      <c r="N7" s="23">
        <f t="shared" si="2"/>
        <v>3.8999999999999998E-3</v>
      </c>
    </row>
    <row r="8" spans="1:14" ht="16.5" thickBot="1" x14ac:dyDescent="0.3">
      <c r="A8" s="4"/>
      <c r="B8" s="10"/>
      <c r="D8" s="7" t="s">
        <v>33</v>
      </c>
      <c r="E8" s="26">
        <f>EXP(-$B$9*D4)-EXP(-$B$9*E4)</f>
        <v>7.4719451808615833E-3</v>
      </c>
      <c r="F8" s="26">
        <f>EXP(-$B$9*E4)-EXP(-$B$9*F4)</f>
        <v>7.4161152160757693E-3</v>
      </c>
      <c r="G8" s="26">
        <f>EXP(-$B$9*F4)-EXP(-$B$9*G4)</f>
        <v>7.3607024097263052E-3</v>
      </c>
      <c r="H8" s="27">
        <f>EXP(-$B$9*G4)-EXP(-$B$9*H4)</f>
        <v>7.3057036448281876E-3</v>
      </c>
      <c r="J8" s="17" t="s">
        <v>20</v>
      </c>
      <c r="K8" s="24">
        <f ca="1">E7</f>
        <v>0.99989393928271009</v>
      </c>
      <c r="L8" s="24">
        <f ca="1">F7</f>
        <v>0.99876290186534311</v>
      </c>
      <c r="M8" s="24">
        <f ca="1">G7</f>
        <v>0.99781411565885636</v>
      </c>
      <c r="N8" s="24">
        <f ca="1">H7</f>
        <v>0.99614349077765074</v>
      </c>
    </row>
    <row r="9" spans="1:14" ht="16.5" thickBot="1" x14ac:dyDescent="0.3">
      <c r="A9" s="4" t="s">
        <v>11</v>
      </c>
      <c r="B9" s="11">
        <v>0.03</v>
      </c>
      <c r="J9" s="17" t="s">
        <v>21</v>
      </c>
      <c r="K9" s="25">
        <f>$B$6</f>
        <v>0.25</v>
      </c>
      <c r="L9" s="25">
        <f t="shared" ref="L9:N9" si="3">$B$6</f>
        <v>0.25</v>
      </c>
      <c r="M9" s="25">
        <f t="shared" si="3"/>
        <v>0.25</v>
      </c>
      <c r="N9" s="25">
        <f t="shared" si="3"/>
        <v>0.25</v>
      </c>
    </row>
    <row r="10" spans="1:14" ht="16.5" thickBot="1" x14ac:dyDescent="0.3">
      <c r="A10" s="4" t="s">
        <v>12</v>
      </c>
      <c r="B10" s="11">
        <v>0.4</v>
      </c>
      <c r="D10" s="39" t="s">
        <v>36</v>
      </c>
      <c r="E10" s="36">
        <v>4.0000000000000002E-4</v>
      </c>
      <c r="F10" s="36">
        <v>2.5000000000000001E-3</v>
      </c>
      <c r="G10" s="36">
        <v>3.2000000000000002E-3</v>
      </c>
      <c r="H10" s="37">
        <v>4.0000000000000001E-3</v>
      </c>
      <c r="J10" s="4" t="s">
        <v>22</v>
      </c>
      <c r="K10" s="19">
        <f ca="1">K5*(K6-K7)*K8*K9</f>
        <v>-868.84149814750697</v>
      </c>
      <c r="L10" s="19">
        <f t="shared" ref="L10:N10" ca="1" si="4">L5*(L6-L7)*L8*L9</f>
        <v>156.60365604907125</v>
      </c>
      <c r="M10" s="19">
        <f t="shared" ca="1" si="4"/>
        <v>-24.53335418753791</v>
      </c>
      <c r="N10" s="19">
        <f t="shared" ca="1" si="4"/>
        <v>697.98564570209282</v>
      </c>
    </row>
    <row r="11" spans="1:14" ht="16.5" thickBot="1" x14ac:dyDescent="0.3"/>
    <row r="12" spans="1:14" ht="16.5" thickBot="1" x14ac:dyDescent="0.3">
      <c r="J12" s="18" t="s">
        <v>23</v>
      </c>
    </row>
    <row r="13" spans="1:14" ht="16.5" thickBot="1" x14ac:dyDescent="0.3">
      <c r="J13" s="19">
        <f ca="1">SUM(K10:N10)</f>
        <v>-38.785550583880877</v>
      </c>
      <c r="K13" s="18" t="s">
        <v>24</v>
      </c>
    </row>
    <row r="14" spans="1:14" ht="16.5" thickBot="1" x14ac:dyDescent="0.3">
      <c r="K14" s="19">
        <f ca="1">SUM(L10:N10)</f>
        <v>830.05594756362621</v>
      </c>
      <c r="L14" s="18" t="s">
        <v>25</v>
      </c>
    </row>
    <row r="15" spans="1:14" ht="16.5" thickBot="1" x14ac:dyDescent="0.3">
      <c r="L15" s="19">
        <f ca="1">SUM(M10:N10)</f>
        <v>673.45229151455487</v>
      </c>
      <c r="M15" s="18" t="s">
        <v>26</v>
      </c>
    </row>
    <row r="16" spans="1:14" ht="16.5" thickBot="1" x14ac:dyDescent="0.3">
      <c r="A16" s="8" t="s">
        <v>58</v>
      </c>
      <c r="B16" s="8"/>
      <c r="C16" s="8"/>
      <c r="D16" s="8"/>
      <c r="E16" s="8"/>
      <c r="M16" s="19">
        <f ca="1">SUM(N10)</f>
        <v>697.98564570209282</v>
      </c>
      <c r="N16" s="18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N17" s="20">
        <v>0</v>
      </c>
    </row>
    <row r="18" spans="1:14" ht="16.5" thickBot="1" x14ac:dyDescent="0.3">
      <c r="A18" s="21" t="s">
        <v>32</v>
      </c>
      <c r="B18" s="30">
        <f ca="1">(J22+K22)/2</f>
        <v>415.0279737818131</v>
      </c>
      <c r="C18" s="30">
        <f ca="1">(K22+L22)/2</f>
        <v>751.75411953909054</v>
      </c>
      <c r="D18" s="30">
        <f ca="1">(L22+M22)/2</f>
        <v>685.71896860832385</v>
      </c>
      <c r="E18" s="30">
        <f ca="1">(M22+N22)/2</f>
        <v>348.99282285104641</v>
      </c>
    </row>
    <row r="19" spans="1:14" ht="16.5" thickBot="1" x14ac:dyDescent="0.3">
      <c r="A19" s="21" t="s">
        <v>10</v>
      </c>
      <c r="B19" s="24">
        <f t="shared" ref="B19:E20" ca="1" si="5">E7</f>
        <v>0.99989393928271009</v>
      </c>
      <c r="C19" s="24">
        <f t="shared" ca="1" si="5"/>
        <v>0.99876290186534311</v>
      </c>
      <c r="D19" s="24">
        <f t="shared" ca="1" si="5"/>
        <v>0.99781411565885636</v>
      </c>
      <c r="E19" s="24">
        <f t="shared" ca="1" si="5"/>
        <v>0.99614349077765074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33</v>
      </c>
      <c r="B20" s="23">
        <f t="shared" si="5"/>
        <v>7.4719451808615833E-3</v>
      </c>
      <c r="C20" s="23">
        <f t="shared" si="5"/>
        <v>7.4161152160757693E-3</v>
      </c>
      <c r="D20" s="23">
        <f t="shared" si="5"/>
        <v>7.3607024097263052E-3</v>
      </c>
      <c r="E20" s="23">
        <f t="shared" si="5"/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14</v>
      </c>
      <c r="B21" s="31">
        <f>1-$B$10</f>
        <v>0.6</v>
      </c>
      <c r="C21" s="31">
        <f t="shared" ref="C21:E21" si="6">1-$B$10</f>
        <v>0.6</v>
      </c>
      <c r="D21" s="31">
        <f t="shared" si="6"/>
        <v>0.6</v>
      </c>
      <c r="E21" s="31">
        <f t="shared" si="6"/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ht="16.5" thickBot="1" x14ac:dyDescent="0.3">
      <c r="A22" s="21" t="s">
        <v>34</v>
      </c>
      <c r="B22" s="34">
        <f ca="1">B18*B19*B20*B21</f>
        <v>1.8604424203853716</v>
      </c>
      <c r="C22" s="32">
        <f t="shared" ref="C22:E22" ca="1" si="7">C18*C19*C20*C21</f>
        <v>3.3409189348996526</v>
      </c>
      <c r="D22" s="32">
        <f t="shared" ca="1" si="7"/>
        <v>3.0218041742683579</v>
      </c>
      <c r="E22" s="32">
        <f t="shared" ca="1" si="7"/>
        <v>1.5238832609575315</v>
      </c>
      <c r="J22" s="21">
        <f ca="1">MAX(J13,0)</f>
        <v>0</v>
      </c>
      <c r="K22" s="21">
        <f ca="1">MAX(K14,0)</f>
        <v>830.05594756362621</v>
      </c>
      <c r="L22" s="21">
        <f ca="1">MAX(L15,0)</f>
        <v>673.45229151455487</v>
      </c>
      <c r="M22" s="21">
        <f ca="1">MAX(M16,0)</f>
        <v>697.98564570209282</v>
      </c>
      <c r="N22" s="21">
        <f>MAX(N17,0)</f>
        <v>0</v>
      </c>
    </row>
    <row r="23" spans="1:14" ht="16.5" thickBot="1" x14ac:dyDescent="0.3">
      <c r="A23" s="33" t="s">
        <v>13</v>
      </c>
      <c r="B23" s="35">
        <f ca="1">SUM(B22:E22)</f>
        <v>9.7470487905109131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80" zoomScaleNormal="80" workbookViewId="0">
      <selection activeCell="J13" sqref="J13"/>
    </sheetView>
  </sheetViews>
  <sheetFormatPr defaultRowHeight="15.75" x14ac:dyDescent="0.25"/>
  <cols>
    <col min="1" max="1" width="12.375" customWidth="1"/>
    <col min="2" max="2" width="14.375" customWidth="1"/>
    <col min="3" max="4" width="12.5" customWidth="1"/>
    <col min="5" max="5" width="11.375" customWidth="1"/>
    <col min="10" max="10" width="12" customWidth="1"/>
    <col min="11" max="11" width="16.125" customWidth="1"/>
    <col min="12" max="12" width="14.75" customWidth="1"/>
    <col min="13" max="13" width="16.625" customWidth="1"/>
    <col min="14" max="14" width="16.875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0.03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38">
        <f ca="1">E10*0.95+E10*0.1*RAND()</f>
        <v>1.9033611587255916E-2</v>
      </c>
      <c r="F5" s="38">
        <f t="shared" ref="F5:H5" ca="1" si="0">F10*0.95+F10*0.1*RAND()</f>
        <v>2.4420734450632531E-2</v>
      </c>
      <c r="G5" s="38">
        <f t="shared" ca="1" si="0"/>
        <v>2.9689660601585968E-2</v>
      </c>
      <c r="H5" s="38">
        <f t="shared" ca="1" si="0"/>
        <v>3.5260085532325292E-2</v>
      </c>
      <c r="J5" s="17" t="s">
        <v>18</v>
      </c>
      <c r="K5" s="22">
        <f>$B$7</f>
        <v>1000000</v>
      </c>
      <c r="L5" s="22">
        <f t="shared" ref="L5:N5" si="1">$B$7</f>
        <v>1000000</v>
      </c>
      <c r="M5" s="22">
        <f t="shared" si="1"/>
        <v>1000000</v>
      </c>
      <c r="N5" s="22">
        <f t="shared" si="1"/>
        <v>1000000</v>
      </c>
    </row>
    <row r="6" spans="1:14" ht="16.5" thickBot="1" x14ac:dyDescent="0.3">
      <c r="A6" s="4" t="s">
        <v>1</v>
      </c>
      <c r="B6" s="10">
        <v>0.25</v>
      </c>
      <c r="D6" s="7" t="s">
        <v>9</v>
      </c>
      <c r="E6" s="26">
        <f ca="1">E5</f>
        <v>1.9033611587255916E-2</v>
      </c>
      <c r="F6" s="26">
        <f ca="1">(F5*F4-E5*E4)/(F4-E4)</f>
        <v>2.9807857314009145E-2</v>
      </c>
      <c r="G6" s="26">
        <f ca="1">(G5*G4-F5*F4)/(G4-F4)</f>
        <v>4.0227512903492843E-2</v>
      </c>
      <c r="H6" s="27">
        <f ca="1">(H5*H4-G5*G4)/(H4-G4)</f>
        <v>5.1971360324543261E-2</v>
      </c>
      <c r="J6" s="17" t="s">
        <v>19</v>
      </c>
      <c r="K6" s="23">
        <f ca="1">E6</f>
        <v>1.9033611587255916E-2</v>
      </c>
      <c r="L6" s="23">
        <f t="shared" ref="L6:N6" ca="1" si="2">F6</f>
        <v>2.9807857314009145E-2</v>
      </c>
      <c r="M6" s="23">
        <f t="shared" ca="1" si="2"/>
        <v>4.0227512903492843E-2</v>
      </c>
      <c r="N6" s="23">
        <f t="shared" ca="1" si="2"/>
        <v>5.1971360324543261E-2</v>
      </c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8">
        <f ca="1">EXP(-E5*E4)</f>
        <v>0.99525290036664937</v>
      </c>
      <c r="F7" s="28">
        <f ca="1">EXP(-F5*F4)</f>
        <v>0.98786387681899457</v>
      </c>
      <c r="G7" s="28">
        <f ca="1">EXP(-G5*G4)</f>
        <v>0.97797883972813338</v>
      </c>
      <c r="H7" s="29">
        <f ca="1">EXP(-H5*H4)</f>
        <v>0.96535430891497187</v>
      </c>
      <c r="J7" s="17" t="s">
        <v>15</v>
      </c>
      <c r="K7" s="23">
        <f>$B$3</f>
        <v>0.03</v>
      </c>
      <c r="L7" s="23">
        <f t="shared" ref="L7:N7" si="3">$B$3</f>
        <v>0.03</v>
      </c>
      <c r="M7" s="23">
        <f t="shared" si="3"/>
        <v>0.03</v>
      </c>
      <c r="N7" s="23">
        <f t="shared" si="3"/>
        <v>0.03</v>
      </c>
    </row>
    <row r="8" spans="1:14" ht="16.5" thickBot="1" x14ac:dyDescent="0.3">
      <c r="A8" s="4"/>
      <c r="B8" s="10"/>
      <c r="D8" s="7" t="s">
        <v>33</v>
      </c>
      <c r="E8" s="26">
        <f>EXP(-$B$9*D4)-EXP(-$B$9*E4)</f>
        <v>7.4719451808615833E-3</v>
      </c>
      <c r="F8" s="26">
        <f>EXP(-$B$9*E4)-EXP(-$B$9*F4)</f>
        <v>7.4161152160757693E-3</v>
      </c>
      <c r="G8" s="26">
        <f>EXP(-$B$9*F4)-EXP(-$B$9*G4)</f>
        <v>7.3607024097263052E-3</v>
      </c>
      <c r="H8" s="27">
        <f>EXP(-$B$9*G4)-EXP(-$B$9*H4)</f>
        <v>7.3057036448281876E-3</v>
      </c>
      <c r="J8" s="17" t="s">
        <v>20</v>
      </c>
      <c r="K8" s="24">
        <f ca="1">E7</f>
        <v>0.99525290036664937</v>
      </c>
      <c r="L8" s="24">
        <f ca="1">F7</f>
        <v>0.98786387681899457</v>
      </c>
      <c r="M8" s="24">
        <f ca="1">G7</f>
        <v>0.97797883972813338</v>
      </c>
      <c r="N8" s="24">
        <f ca="1">H7</f>
        <v>0.96535430891497187</v>
      </c>
    </row>
    <row r="9" spans="1:14" ht="16.5" thickBot="1" x14ac:dyDescent="0.3">
      <c r="A9" s="4" t="s">
        <v>11</v>
      </c>
      <c r="B9" s="11">
        <v>0.03</v>
      </c>
      <c r="J9" s="17" t="s">
        <v>21</v>
      </c>
      <c r="K9" s="25">
        <f>$B$6</f>
        <v>0.25</v>
      </c>
      <c r="L9" s="25">
        <f t="shared" ref="L9:N9" si="4">$B$6</f>
        <v>0.25</v>
      </c>
      <c r="M9" s="25">
        <f t="shared" si="4"/>
        <v>0.25</v>
      </c>
      <c r="N9" s="25">
        <f t="shared" si="4"/>
        <v>0.25</v>
      </c>
    </row>
    <row r="10" spans="1:14" ht="16.5" thickBot="1" x14ac:dyDescent="0.3">
      <c r="A10" s="4" t="s">
        <v>12</v>
      </c>
      <c r="B10" s="11">
        <v>0.4</v>
      </c>
      <c r="D10" s="39" t="s">
        <v>37</v>
      </c>
      <c r="E10" s="36">
        <v>0.02</v>
      </c>
      <c r="F10" s="36">
        <v>2.5000000000000001E-2</v>
      </c>
      <c r="G10" s="36">
        <v>0.03</v>
      </c>
      <c r="H10" s="37">
        <v>3.5000000000000003E-2</v>
      </c>
      <c r="J10" s="4" t="s">
        <v>22</v>
      </c>
      <c r="K10" s="19">
        <f ca="1">K5*(K6-K7)*K8*K9</f>
        <v>-2728.5824685826915</v>
      </c>
      <c r="L10" s="19">
        <f t="shared" ref="L10:N10" ca="1" si="5">L5*(L6-L7)*L8*L9</f>
        <v>-47.452704671334871</v>
      </c>
      <c r="M10" s="19">
        <f t="shared" ca="1" si="5"/>
        <v>2500.5728006656113</v>
      </c>
      <c r="N10" s="19">
        <f t="shared" ca="1" si="5"/>
        <v>5302.5368405053241</v>
      </c>
    </row>
    <row r="11" spans="1:14" ht="16.5" thickBot="1" x14ac:dyDescent="0.3">
      <c r="D11" s="39" t="s">
        <v>38</v>
      </c>
      <c r="E11" s="41">
        <f>$B$3</f>
        <v>0.03</v>
      </c>
      <c r="F11" s="41">
        <f t="shared" ref="F11:H11" si="6">$B$3</f>
        <v>0.03</v>
      </c>
      <c r="G11" s="41">
        <f t="shared" si="6"/>
        <v>0.03</v>
      </c>
      <c r="H11" s="41">
        <f t="shared" si="6"/>
        <v>0.03</v>
      </c>
    </row>
    <row r="12" spans="1:14" ht="16.5" thickBot="1" x14ac:dyDescent="0.3">
      <c r="J12" s="18" t="s">
        <v>23</v>
      </c>
    </row>
    <row r="13" spans="1:14" ht="16.5" thickBot="1" x14ac:dyDescent="0.3">
      <c r="J13" s="19">
        <f ca="1">SUM(K10:N10)</f>
        <v>5027.0744679169093</v>
      </c>
      <c r="K13" s="18" t="s">
        <v>24</v>
      </c>
    </row>
    <row r="14" spans="1:14" ht="16.5" thickBot="1" x14ac:dyDescent="0.3">
      <c r="K14" s="19">
        <f ca="1">SUM(L10:N10)</f>
        <v>7755.6569364996012</v>
      </c>
      <c r="L14" s="18" t="s">
        <v>25</v>
      </c>
    </row>
    <row r="15" spans="1:14" ht="16.5" thickBot="1" x14ac:dyDescent="0.3">
      <c r="L15" s="19">
        <f ca="1">SUM(M10:N10)</f>
        <v>7803.109641170935</v>
      </c>
      <c r="M15" s="18" t="s">
        <v>26</v>
      </c>
    </row>
    <row r="16" spans="1:14" ht="16.5" thickBot="1" x14ac:dyDescent="0.3">
      <c r="A16" s="8" t="s">
        <v>58</v>
      </c>
      <c r="B16" s="8"/>
      <c r="C16" s="8"/>
      <c r="D16" s="8"/>
      <c r="E16" s="8"/>
      <c r="M16" s="19">
        <f ca="1">SUM(N10)</f>
        <v>5302.5368405053241</v>
      </c>
      <c r="N16" s="18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J17" s="40">
        <f ca="1">J13</f>
        <v>5027.0744679169093</v>
      </c>
      <c r="K17" s="40">
        <f ca="1">K14</f>
        <v>7755.6569364996012</v>
      </c>
      <c r="L17" s="40">
        <f ca="1">L15</f>
        <v>7803.109641170935</v>
      </c>
      <c r="M17" s="40">
        <f ca="1">M16</f>
        <v>5302.5368405053241</v>
      </c>
      <c r="N17" s="20">
        <v>0</v>
      </c>
    </row>
    <row r="18" spans="1:14" ht="16.5" thickBot="1" x14ac:dyDescent="0.3">
      <c r="A18" s="21" t="s">
        <v>32</v>
      </c>
      <c r="B18" s="30">
        <f ca="1">(J22+K22)/2</f>
        <v>6391.3657022082552</v>
      </c>
      <c r="C18" s="30">
        <f ca="1">(K22+L22)/2</f>
        <v>7779.3832888352681</v>
      </c>
      <c r="D18" s="30">
        <f ca="1">(L22+M22)/2</f>
        <v>6552.82324083813</v>
      </c>
      <c r="E18" s="30">
        <f ca="1">(M22+N22)/2</f>
        <v>2651.2684202526621</v>
      </c>
    </row>
    <row r="19" spans="1:14" ht="16.5" thickBot="1" x14ac:dyDescent="0.3">
      <c r="A19" s="21" t="s">
        <v>10</v>
      </c>
      <c r="B19" s="24">
        <f t="shared" ref="B19:E20" ca="1" si="7">E7</f>
        <v>0.99525290036664937</v>
      </c>
      <c r="C19" s="24">
        <f t="shared" ca="1" si="7"/>
        <v>0.98786387681899457</v>
      </c>
      <c r="D19" s="24">
        <f t="shared" ca="1" si="7"/>
        <v>0.97797883972813338</v>
      </c>
      <c r="E19" s="24">
        <f t="shared" ca="1" si="7"/>
        <v>0.96535430891497187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33</v>
      </c>
      <c r="B20" s="23">
        <f t="shared" si="7"/>
        <v>7.4719451808615833E-3</v>
      </c>
      <c r="C20" s="23">
        <f t="shared" si="7"/>
        <v>7.4161152160757693E-3</v>
      </c>
      <c r="D20" s="23">
        <f t="shared" si="7"/>
        <v>7.3607024097263052E-3</v>
      </c>
      <c r="E20" s="23">
        <f t="shared" si="7"/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14</v>
      </c>
      <c r="B21" s="31">
        <f>1-$B$10</f>
        <v>0.6</v>
      </c>
      <c r="C21" s="31">
        <f t="shared" ref="C21:E21" si="8">1-$B$10</f>
        <v>0.6</v>
      </c>
      <c r="D21" s="31">
        <f t="shared" si="8"/>
        <v>0.6</v>
      </c>
      <c r="E21" s="31">
        <f t="shared" si="8"/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ht="16.5" thickBot="1" x14ac:dyDescent="0.3">
      <c r="A22" s="21" t="s">
        <v>34</v>
      </c>
      <c r="B22" s="34">
        <f ca="1">B18*B19*B20*B21</f>
        <v>28.517539188125077</v>
      </c>
      <c r="C22" s="32">
        <f t="shared" ref="C22:E22" ca="1" si="9">C18*C19*C20*C21</f>
        <v>34.195581491292636</v>
      </c>
      <c r="D22" s="32">
        <f t="shared" ca="1" si="9"/>
        <v>28.302736072709855</v>
      </c>
      <c r="E22" s="32">
        <f t="shared" ca="1" si="9"/>
        <v>11.218989454864504</v>
      </c>
      <c r="J22" s="21">
        <f ca="1">MAX(J13,0)</f>
        <v>5027.0744679169093</v>
      </c>
      <c r="K22" s="21">
        <f ca="1">MAX(K14,0)</f>
        <v>7755.6569364996012</v>
      </c>
      <c r="L22" s="21">
        <f ca="1">MAX(L15,0)</f>
        <v>7803.109641170935</v>
      </c>
      <c r="M22" s="21">
        <f ca="1">MAX(M16,0)</f>
        <v>5302.5368405053241</v>
      </c>
      <c r="N22" s="21">
        <f>MAX(N17,0)</f>
        <v>0</v>
      </c>
    </row>
    <row r="23" spans="1:14" ht="16.5" thickBot="1" x14ac:dyDescent="0.3">
      <c r="A23" s="33" t="s">
        <v>13</v>
      </c>
      <c r="B23" s="35">
        <f ca="1">SUM(B22:E22)</f>
        <v>102.23484620699207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80" zoomScaleNormal="80" workbookViewId="0">
      <selection activeCell="G20" sqref="G20"/>
    </sheetView>
  </sheetViews>
  <sheetFormatPr defaultRowHeight="15.75" x14ac:dyDescent="0.25"/>
  <cols>
    <col min="1" max="1" width="12.375" customWidth="1"/>
    <col min="2" max="2" width="14.375" customWidth="1"/>
    <col min="3" max="3" width="9.625" customWidth="1"/>
    <col min="4" max="4" width="12.5" customWidth="1"/>
    <col min="5" max="5" width="11.375" customWidth="1"/>
    <col min="10" max="10" width="12" customWidth="1"/>
    <col min="11" max="11" width="15.375" customWidth="1"/>
    <col min="12" max="12" width="14.75" customWidth="1"/>
    <col min="13" max="13" width="15.875" customWidth="1"/>
    <col min="14" max="14" width="15.75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0.03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38">
        <f ca="1">E10*0.95+E10*0.1*RAND()</f>
        <v>4.9689100245467827E-2</v>
      </c>
      <c r="F5" s="38">
        <f t="shared" ref="F5:H5" ca="1" si="0">F10*0.95+F10*0.1*RAND()</f>
        <v>4.651174905305365E-2</v>
      </c>
      <c r="G5" s="38">
        <f t="shared" ca="1" si="0"/>
        <v>3.8544108876798329E-2</v>
      </c>
      <c r="H5" s="38">
        <f t="shared" ca="1" si="0"/>
        <v>3.6729772336928368E-2</v>
      </c>
      <c r="J5" s="17" t="s">
        <v>18</v>
      </c>
      <c r="K5" s="22">
        <f>$B$7</f>
        <v>1000000</v>
      </c>
      <c r="L5" s="22">
        <f t="shared" ref="L5:N5" si="1">$B$7</f>
        <v>1000000</v>
      </c>
      <c r="M5" s="22">
        <f t="shared" si="1"/>
        <v>1000000</v>
      </c>
      <c r="N5" s="22">
        <f t="shared" si="1"/>
        <v>1000000</v>
      </c>
    </row>
    <row r="6" spans="1:14" ht="16.5" thickBot="1" x14ac:dyDescent="0.3">
      <c r="A6" s="4" t="s">
        <v>1</v>
      </c>
      <c r="B6" s="10">
        <v>0.25</v>
      </c>
      <c r="D6" s="7" t="s">
        <v>9</v>
      </c>
      <c r="E6" s="26">
        <f ca="1">E5</f>
        <v>4.9689100245467827E-2</v>
      </c>
      <c r="F6" s="26">
        <f ca="1">(F5*F4-E5*E4)/(F4-E4)</f>
        <v>4.3334397860639473E-2</v>
      </c>
      <c r="G6" s="26">
        <f ca="1">(G5*G4-F5*F4)/(G4-F4)</f>
        <v>2.2608828524287694E-2</v>
      </c>
      <c r="H6" s="27">
        <f ca="1">(H5*H4-G5*G4)/(H4-G4)</f>
        <v>3.1286762717318478E-2</v>
      </c>
      <c r="J6" s="17" t="s">
        <v>19</v>
      </c>
      <c r="K6" s="23">
        <f ca="1">E6</f>
        <v>4.9689100245467827E-2</v>
      </c>
      <c r="L6" s="23">
        <f t="shared" ref="L6:N6" ca="1" si="2">F6</f>
        <v>4.3334397860639473E-2</v>
      </c>
      <c r="M6" s="23">
        <f t="shared" ca="1" si="2"/>
        <v>2.2608828524287694E-2</v>
      </c>
      <c r="N6" s="23">
        <f t="shared" ca="1" si="2"/>
        <v>3.1286762717318478E-2</v>
      </c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8">
        <f ca="1">EXP(-E5*E4)</f>
        <v>0.98765456290095821</v>
      </c>
      <c r="F7" s="28">
        <f ca="1">EXP(-F5*F4)</f>
        <v>0.9770124591867746</v>
      </c>
      <c r="G7" s="28">
        <f ca="1">EXP(-G5*G4)</f>
        <v>0.97150575956166552</v>
      </c>
      <c r="H7" s="29">
        <f ca="1">EXP(-H5*H4)</f>
        <v>0.96393658248749259</v>
      </c>
      <c r="J7" s="17" t="s">
        <v>15</v>
      </c>
      <c r="K7" s="23">
        <f>$B$3</f>
        <v>0.03</v>
      </c>
      <c r="L7" s="23">
        <f t="shared" ref="L7:N7" si="3">$B$3</f>
        <v>0.03</v>
      </c>
      <c r="M7" s="23">
        <f t="shared" si="3"/>
        <v>0.03</v>
      </c>
      <c r="N7" s="23">
        <f t="shared" si="3"/>
        <v>0.03</v>
      </c>
    </row>
    <row r="8" spans="1:14" ht="16.5" thickBot="1" x14ac:dyDescent="0.3">
      <c r="A8" s="4"/>
      <c r="B8" s="10"/>
      <c r="D8" s="7" t="s">
        <v>33</v>
      </c>
      <c r="E8" s="26">
        <f>EXP(-$B$9*D4)-EXP(-$B$9*E4)</f>
        <v>7.4719451808615833E-3</v>
      </c>
      <c r="F8" s="26">
        <f>EXP(-$B$9*E4)-EXP(-$B$9*F4)</f>
        <v>7.4161152160757693E-3</v>
      </c>
      <c r="G8" s="26">
        <f>EXP(-$B$9*F4)-EXP(-$B$9*G4)</f>
        <v>7.3607024097263052E-3</v>
      </c>
      <c r="H8" s="27">
        <f>EXP(-$B$9*G4)-EXP(-$B$9*H4)</f>
        <v>7.3057036448281876E-3</v>
      </c>
      <c r="J8" s="17" t="s">
        <v>20</v>
      </c>
      <c r="K8" s="24">
        <f ca="1">E7</f>
        <v>0.98765456290095821</v>
      </c>
      <c r="L8" s="24">
        <f ca="1">F7</f>
        <v>0.9770124591867746</v>
      </c>
      <c r="M8" s="24">
        <f ca="1">G7</f>
        <v>0.97150575956166552</v>
      </c>
      <c r="N8" s="24">
        <f ca="1">H7</f>
        <v>0.96393658248749259</v>
      </c>
    </row>
    <row r="9" spans="1:14" ht="16.5" thickBot="1" x14ac:dyDescent="0.3">
      <c r="A9" s="4" t="s">
        <v>11</v>
      </c>
      <c r="B9" s="11">
        <v>0.03</v>
      </c>
      <c r="J9" s="17" t="s">
        <v>21</v>
      </c>
      <c r="K9" s="25">
        <f>$B$6</f>
        <v>0.25</v>
      </c>
      <c r="L9" s="25">
        <f t="shared" ref="L9:N9" si="4">$B$6</f>
        <v>0.25</v>
      </c>
      <c r="M9" s="25">
        <f t="shared" si="4"/>
        <v>0.25</v>
      </c>
      <c r="N9" s="25">
        <f t="shared" si="4"/>
        <v>0.25</v>
      </c>
    </row>
    <row r="10" spans="1:14" ht="16.5" thickBot="1" x14ac:dyDescent="0.3">
      <c r="A10" s="4" t="s">
        <v>12</v>
      </c>
      <c r="B10" s="11">
        <v>0.4</v>
      </c>
      <c r="D10" s="39" t="s">
        <v>37</v>
      </c>
      <c r="E10" s="36">
        <v>0.05</v>
      </c>
      <c r="F10" s="36">
        <v>4.4999999999999998E-2</v>
      </c>
      <c r="G10" s="36">
        <v>0.04</v>
      </c>
      <c r="H10" s="37">
        <v>3.5000000000000003E-2</v>
      </c>
      <c r="J10" s="4" t="s">
        <v>22</v>
      </c>
      <c r="K10" s="19">
        <f ca="1">K5*(K6-K7)*K8*K9</f>
        <v>4861.5074242126693</v>
      </c>
      <c r="L10" s="19">
        <f t="shared" ref="L10:N10" ca="1" si="5">L5*(L6-L7)*L8*L9</f>
        <v>3256.9682113995596</v>
      </c>
      <c r="M10" s="19">
        <f t="shared" ca="1" si="5"/>
        <v>-1795.1414146405996</v>
      </c>
      <c r="N10" s="19">
        <f t="shared" ca="1" si="5"/>
        <v>310.08941405107356</v>
      </c>
    </row>
    <row r="11" spans="1:14" ht="16.5" thickBot="1" x14ac:dyDescent="0.3">
      <c r="D11" s="39" t="s">
        <v>38</v>
      </c>
      <c r="E11" s="41">
        <f>$B$3</f>
        <v>0.03</v>
      </c>
      <c r="F11" s="41">
        <f t="shared" ref="F11:H11" si="6">$B$3</f>
        <v>0.03</v>
      </c>
      <c r="G11" s="41">
        <f t="shared" si="6"/>
        <v>0.03</v>
      </c>
      <c r="H11" s="41">
        <f t="shared" si="6"/>
        <v>0.03</v>
      </c>
    </row>
    <row r="12" spans="1:14" ht="16.5" thickBot="1" x14ac:dyDescent="0.3">
      <c r="J12" s="18" t="s">
        <v>23</v>
      </c>
    </row>
    <row r="13" spans="1:14" ht="16.5" thickBot="1" x14ac:dyDescent="0.3">
      <c r="J13" s="19">
        <f ca="1">SUM(K10:N10)</f>
        <v>6633.4236350227029</v>
      </c>
      <c r="K13" s="18" t="s">
        <v>24</v>
      </c>
    </row>
    <row r="14" spans="1:14" ht="16.5" thickBot="1" x14ac:dyDescent="0.3">
      <c r="K14" s="19">
        <f ca="1">SUM(L10:N10)</f>
        <v>1771.9162108100336</v>
      </c>
      <c r="L14" s="18" t="s">
        <v>25</v>
      </c>
    </row>
    <row r="15" spans="1:14" ht="16.5" thickBot="1" x14ac:dyDescent="0.3">
      <c r="L15" s="19">
        <f ca="1">SUM(M10:N10)</f>
        <v>-1485.052000589526</v>
      </c>
      <c r="M15" s="18" t="s">
        <v>26</v>
      </c>
    </row>
    <row r="16" spans="1:14" ht="16.5" thickBot="1" x14ac:dyDescent="0.3">
      <c r="A16" s="8" t="s">
        <v>58</v>
      </c>
      <c r="B16" s="8"/>
      <c r="C16" s="8"/>
      <c r="D16" s="8"/>
      <c r="E16" s="8"/>
      <c r="M16" s="19">
        <f ca="1">SUM(N10)</f>
        <v>310.08941405107356</v>
      </c>
      <c r="N16" s="18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J17" s="40">
        <f ca="1">J13</f>
        <v>6633.4236350227029</v>
      </c>
      <c r="K17" s="40">
        <f ca="1">K14</f>
        <v>1771.9162108100336</v>
      </c>
      <c r="L17" s="40">
        <f ca="1">L15</f>
        <v>-1485.052000589526</v>
      </c>
      <c r="M17" s="40">
        <f ca="1">M16</f>
        <v>310.08941405107356</v>
      </c>
      <c r="N17" s="20">
        <v>0</v>
      </c>
    </row>
    <row r="18" spans="1:14" ht="16.5" thickBot="1" x14ac:dyDescent="0.3">
      <c r="A18" s="21" t="s">
        <v>32</v>
      </c>
      <c r="B18" s="30">
        <f ca="1">(J22+K22)/2</f>
        <v>4202.6699229163678</v>
      </c>
      <c r="C18" s="30">
        <f ca="1">(K22+L22)/2</f>
        <v>885.95810540501679</v>
      </c>
      <c r="D18" s="30">
        <f ca="1">(L22+M22)/2</f>
        <v>155.04470702553678</v>
      </c>
      <c r="E18" s="30">
        <f ca="1">(M22+N22)/2</f>
        <v>155.04470702553678</v>
      </c>
    </row>
    <row r="19" spans="1:14" ht="16.5" thickBot="1" x14ac:dyDescent="0.3">
      <c r="A19" s="21" t="s">
        <v>10</v>
      </c>
      <c r="B19" s="24">
        <f t="shared" ref="B19:E20" ca="1" si="7">E7</f>
        <v>0.98765456290095821</v>
      </c>
      <c r="C19" s="24">
        <f t="shared" ca="1" si="7"/>
        <v>0.9770124591867746</v>
      </c>
      <c r="D19" s="24">
        <f t="shared" ca="1" si="7"/>
        <v>0.97150575956166552</v>
      </c>
      <c r="E19" s="24">
        <f t="shared" ca="1" si="7"/>
        <v>0.96393658248749259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33</v>
      </c>
      <c r="B20" s="23">
        <f t="shared" si="7"/>
        <v>7.4719451808615833E-3</v>
      </c>
      <c r="C20" s="23">
        <f t="shared" si="7"/>
        <v>7.4161152160757693E-3</v>
      </c>
      <c r="D20" s="23">
        <f t="shared" si="7"/>
        <v>7.3607024097263052E-3</v>
      </c>
      <c r="E20" s="23">
        <f t="shared" si="7"/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14</v>
      </c>
      <c r="B21" s="31">
        <f>1-$B$10</f>
        <v>0.6</v>
      </c>
      <c r="C21" s="31">
        <f t="shared" ref="C21:E21" si="8">1-$B$10</f>
        <v>0.6</v>
      </c>
      <c r="D21" s="31">
        <f t="shared" si="8"/>
        <v>0.6</v>
      </c>
      <c r="E21" s="31">
        <f t="shared" si="8"/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ht="16.5" thickBot="1" x14ac:dyDescent="0.3">
      <c r="A22" s="21" t="s">
        <v>34</v>
      </c>
      <c r="B22" s="34">
        <f ca="1">B18*B19*B20*B21</f>
        <v>18.60866783338351</v>
      </c>
      <c r="C22" s="32">
        <f t="shared" ref="C22:E22" ca="1" si="9">C18*C19*C20*C21</f>
        <v>3.8515984787096116</v>
      </c>
      <c r="D22" s="32">
        <f t="shared" ca="1" si="9"/>
        <v>0.66523154406773977</v>
      </c>
      <c r="E22" s="32">
        <f t="shared" ca="1" si="9"/>
        <v>0.65511675780587297</v>
      </c>
      <c r="J22" s="21">
        <f ca="1">MAX(J13,0)</f>
        <v>6633.4236350227029</v>
      </c>
      <c r="K22" s="21">
        <f ca="1">MAX(K14,0)</f>
        <v>1771.9162108100336</v>
      </c>
      <c r="L22" s="21">
        <f ca="1">MAX(L15,0)</f>
        <v>0</v>
      </c>
      <c r="M22" s="21">
        <f ca="1">MAX(M16,0)</f>
        <v>310.08941405107356</v>
      </c>
      <c r="N22" s="21">
        <f>MAX(N17,0)</f>
        <v>0</v>
      </c>
    </row>
    <row r="23" spans="1:14" ht="16.5" thickBot="1" x14ac:dyDescent="0.3">
      <c r="A23" s="33" t="s">
        <v>13</v>
      </c>
      <c r="B23" s="35">
        <f ca="1">SUM(B22:E22)</f>
        <v>23.780614613966737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opLeftCell="A20" zoomScale="80" zoomScaleNormal="80" workbookViewId="0">
      <selection activeCell="A46" sqref="A46"/>
    </sheetView>
  </sheetViews>
  <sheetFormatPr defaultRowHeight="15.75" x14ac:dyDescent="0.25"/>
  <cols>
    <col min="1" max="1" width="12.375" customWidth="1"/>
    <col min="2" max="2" width="14.375" customWidth="1"/>
    <col min="3" max="3" width="12.875" customWidth="1"/>
    <col min="4" max="4" width="12.5" customWidth="1"/>
    <col min="5" max="5" width="11.375" customWidth="1"/>
    <col min="10" max="10" width="12" customWidth="1"/>
    <col min="11" max="11" width="13.625" bestFit="1" customWidth="1"/>
    <col min="12" max="12" width="14.75" customWidth="1"/>
    <col min="13" max="13" width="14" customWidth="1"/>
    <col min="14" max="14" width="13.75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0.03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38">
        <f ca="1">E13*0.95+E13*0.1*RAND()</f>
        <v>4.7634393846272216E-2</v>
      </c>
      <c r="F5" s="38">
        <f ca="1">F13*0.95+F13*0.1*RAND()</f>
        <v>4.5212976638819166E-2</v>
      </c>
      <c r="G5" s="38">
        <f ca="1">G13*0.95+G13*0.1*RAND()</f>
        <v>4.115128532544203E-2</v>
      </c>
      <c r="H5" s="45">
        <f ca="1">H13*0.95+H13*0.1*RAND()</f>
        <v>3.4294753471231607E-2</v>
      </c>
      <c r="J5" s="17" t="s">
        <v>18</v>
      </c>
      <c r="K5" s="22">
        <f>$B$7</f>
        <v>1000000</v>
      </c>
      <c r="L5" s="22">
        <f t="shared" ref="L5:N5" si="0">$B$7</f>
        <v>1000000</v>
      </c>
      <c r="M5" s="22">
        <f t="shared" si="0"/>
        <v>1000000</v>
      </c>
      <c r="N5" s="22">
        <f t="shared" si="0"/>
        <v>1000000</v>
      </c>
    </row>
    <row r="6" spans="1:14" ht="16.5" thickBot="1" x14ac:dyDescent="0.3">
      <c r="A6" s="4" t="s">
        <v>1</v>
      </c>
      <c r="B6" s="10">
        <v>0.25</v>
      </c>
      <c r="D6" s="7" t="s">
        <v>9</v>
      </c>
      <c r="E6" s="26">
        <f ca="1">E5</f>
        <v>4.7634393846272216E-2</v>
      </c>
      <c r="F6" s="26">
        <f ca="1">(F5*F4-E5*E4)/(F4-E4)</f>
        <v>4.2791559431366116E-2</v>
      </c>
      <c r="G6" s="26">
        <f ca="1">(G5*G4-F5*F4)/(G4-F4)</f>
        <v>3.3027902698687758E-2</v>
      </c>
      <c r="H6" s="27">
        <f ca="1">(H5*H4-G5*G4)/(H4-G4)</f>
        <v>1.3725157908600336E-2</v>
      </c>
      <c r="J6" s="17" t="s">
        <v>19</v>
      </c>
      <c r="K6" s="23">
        <f ca="1">E6</f>
        <v>4.7634393846272216E-2</v>
      </c>
      <c r="L6" s="23">
        <f t="shared" ref="L6:N6" ca="1" si="1">F6</f>
        <v>4.2791559431366116E-2</v>
      </c>
      <c r="M6" s="23">
        <f t="shared" ca="1" si="1"/>
        <v>3.3027902698687758E-2</v>
      </c>
      <c r="N6" s="23">
        <f t="shared" ca="1" si="1"/>
        <v>1.3725157908600336E-2</v>
      </c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8">
        <f ca="1">EXP(-E5*E4)</f>
        <v>0.98816202826398769</v>
      </c>
      <c r="F7" s="28">
        <f ca="1">EXP(-F5*F4)</f>
        <v>0.97764712365082351</v>
      </c>
      <c r="G7" s="28">
        <f ca="1">EXP(-G5*G4)</f>
        <v>0.9696079504355416</v>
      </c>
      <c r="H7" s="29">
        <f ca="1">EXP(-H5*H4)</f>
        <v>0.96628664631487327</v>
      </c>
      <c r="J7" s="17" t="s">
        <v>15</v>
      </c>
      <c r="K7" s="23">
        <f>$B$3</f>
        <v>0.03</v>
      </c>
      <c r="L7" s="23">
        <f t="shared" ref="L7:N7" si="2">$B$3</f>
        <v>0.03</v>
      </c>
      <c r="M7" s="23">
        <f t="shared" si="2"/>
        <v>0.03</v>
      </c>
      <c r="N7" s="23">
        <f t="shared" si="2"/>
        <v>0.03</v>
      </c>
    </row>
    <row r="8" spans="1:14" ht="16.5" thickBot="1" x14ac:dyDescent="0.3">
      <c r="A8" s="4"/>
      <c r="B8" s="10"/>
      <c r="D8" s="7" t="s">
        <v>48</v>
      </c>
      <c r="E8" s="26">
        <f>EXP(-$B$10*E4)</f>
        <v>0.99252805481913842</v>
      </c>
      <c r="F8" s="26">
        <f t="shared" ref="F8:H8" si="3">EXP(-$B$10*F4)</f>
        <v>0.98511193960306265</v>
      </c>
      <c r="G8" s="26">
        <f t="shared" si="3"/>
        <v>0.97775123719333634</v>
      </c>
      <c r="H8" s="27">
        <f t="shared" si="3"/>
        <v>0.97044553354850815</v>
      </c>
      <c r="J8" s="17" t="s">
        <v>20</v>
      </c>
      <c r="K8" s="24">
        <f ca="1">E7</f>
        <v>0.98816202826398769</v>
      </c>
      <c r="L8" s="24">
        <f ca="1">F7</f>
        <v>0.97764712365082351</v>
      </c>
      <c r="M8" s="24">
        <f ca="1">G7</f>
        <v>0.9696079504355416</v>
      </c>
      <c r="N8" s="24">
        <f ca="1">H7</f>
        <v>0.96628664631487327</v>
      </c>
    </row>
    <row r="9" spans="1:14" ht="16.5" thickBot="1" x14ac:dyDescent="0.3">
      <c r="A9" s="43" t="s">
        <v>44</v>
      </c>
      <c r="B9" s="44"/>
      <c r="D9" s="7" t="s">
        <v>46</v>
      </c>
      <c r="E9" s="26">
        <f>EXP(-$B$10*D4)-EXP(-$B$10*E4)</f>
        <v>7.4719451808615833E-3</v>
      </c>
      <c r="F9" s="26">
        <f>EXP(-$B$10*E4)-EXP(-$B$10*F4)</f>
        <v>7.4161152160757693E-3</v>
      </c>
      <c r="G9" s="26">
        <f>EXP(-$B$10*F4)-EXP(-$B$10*G4)</f>
        <v>7.3607024097263052E-3</v>
      </c>
      <c r="H9" s="27">
        <f>EXP(-$B$10*G4)-EXP(-$B$10*H4)</f>
        <v>7.3057036448281876E-3</v>
      </c>
      <c r="J9" s="17" t="s">
        <v>21</v>
      </c>
      <c r="K9" s="25">
        <f>$B$6</f>
        <v>0.25</v>
      </c>
      <c r="L9" s="25">
        <f t="shared" ref="L9:N9" si="4">$B$6</f>
        <v>0.25</v>
      </c>
      <c r="M9" s="25">
        <f t="shared" si="4"/>
        <v>0.25</v>
      </c>
      <c r="N9" s="25">
        <f t="shared" si="4"/>
        <v>0.25</v>
      </c>
    </row>
    <row r="10" spans="1:14" ht="16.5" thickBot="1" x14ac:dyDescent="0.3">
      <c r="A10" s="4" t="s">
        <v>11</v>
      </c>
      <c r="B10" s="11">
        <v>0.03</v>
      </c>
      <c r="D10" s="7" t="s">
        <v>49</v>
      </c>
      <c r="E10" s="26">
        <f>EXP(-$B$13*E4)</f>
        <v>0.99252805481913842</v>
      </c>
      <c r="F10" s="26">
        <f t="shared" ref="F10:H10" si="5">EXP(-$B$13*F4)</f>
        <v>0.98511193960306265</v>
      </c>
      <c r="G10" s="26">
        <f t="shared" si="5"/>
        <v>0.97775123719333634</v>
      </c>
      <c r="H10" s="27">
        <f t="shared" si="5"/>
        <v>0.97044553354850815</v>
      </c>
      <c r="J10" s="4" t="s">
        <v>22</v>
      </c>
      <c r="K10" s="19">
        <f ca="1">K5*(K6-K7)*K8*K9</f>
        <v>4356.4095975845848</v>
      </c>
      <c r="L10" s="19">
        <f t="shared" ref="L10:N10" ca="1" si="6">L5*(L6-L7)*L8*L9</f>
        <v>3126.4078212709119</v>
      </c>
      <c r="M10" s="19">
        <f t="shared" ca="1" si="6"/>
        <v>733.96963244822086</v>
      </c>
      <c r="N10" s="19">
        <f t="shared" ca="1" si="6"/>
        <v>-3931.5406459506798</v>
      </c>
    </row>
    <row r="11" spans="1:14" ht="16.5" thickBot="1" x14ac:dyDescent="0.3">
      <c r="A11" s="4" t="s">
        <v>12</v>
      </c>
      <c r="B11" s="11">
        <v>0.4</v>
      </c>
      <c r="D11" s="7" t="s">
        <v>47</v>
      </c>
      <c r="E11" s="26">
        <f>EXP(-$B$13*D4)-EXP(-$B$13*E4)</f>
        <v>7.4719451808615833E-3</v>
      </c>
      <c r="F11" s="26">
        <f>EXP(-$B$13*E4)-EXP(-$B$13*F4)</f>
        <v>7.4161152160757693E-3</v>
      </c>
      <c r="G11" s="26">
        <f>EXP(-$B$13*F4)-EXP(-$B$13*G4)</f>
        <v>7.3607024097263052E-3</v>
      </c>
      <c r="H11" s="27">
        <f>EXP(-$B$13*G4)-EXP(-$B$13*H4)</f>
        <v>7.3057036448281876E-3</v>
      </c>
    </row>
    <row r="12" spans="1:14" ht="16.5" thickBot="1" x14ac:dyDescent="0.3">
      <c r="A12" s="43" t="s">
        <v>45</v>
      </c>
      <c r="B12" s="44"/>
      <c r="J12" s="18" t="s">
        <v>23</v>
      </c>
    </row>
    <row r="13" spans="1:14" ht="16.5" thickBot="1" x14ac:dyDescent="0.3">
      <c r="A13" s="4" t="s">
        <v>11</v>
      </c>
      <c r="B13" s="11">
        <v>0.03</v>
      </c>
      <c r="D13" s="39" t="s">
        <v>37</v>
      </c>
      <c r="E13" s="36">
        <v>0.05</v>
      </c>
      <c r="F13" s="36">
        <v>4.4999999999999998E-2</v>
      </c>
      <c r="G13" s="36">
        <v>0.04</v>
      </c>
      <c r="H13" s="37">
        <v>3.5000000000000003E-2</v>
      </c>
      <c r="J13" s="19">
        <f ca="1">SUM(K10:N10)</f>
        <v>4285.2464053530384</v>
      </c>
      <c r="K13" s="18" t="s">
        <v>24</v>
      </c>
    </row>
    <row r="14" spans="1:14" ht="16.5" thickBot="1" x14ac:dyDescent="0.3">
      <c r="A14" s="4" t="s">
        <v>12</v>
      </c>
      <c r="B14" s="11">
        <v>0.4</v>
      </c>
      <c r="D14" s="39" t="s">
        <v>38</v>
      </c>
      <c r="E14" s="41">
        <f>$B$3</f>
        <v>0.03</v>
      </c>
      <c r="F14" s="41">
        <f t="shared" ref="F14:H14" si="7">$B$3</f>
        <v>0.03</v>
      </c>
      <c r="G14" s="41">
        <f t="shared" si="7"/>
        <v>0.03</v>
      </c>
      <c r="H14" s="41">
        <f t="shared" si="7"/>
        <v>0.03</v>
      </c>
      <c r="K14" s="19">
        <f ca="1">SUM(L10:N10)</f>
        <v>-71.163192231546873</v>
      </c>
      <c r="L14" s="18" t="s">
        <v>25</v>
      </c>
    </row>
    <row r="15" spans="1:14" ht="16.5" thickBot="1" x14ac:dyDescent="0.3">
      <c r="L15" s="19">
        <f ca="1">SUM(M10:N10)</f>
        <v>-3197.5710135024592</v>
      </c>
      <c r="M15" s="18" t="s">
        <v>26</v>
      </c>
    </row>
    <row r="16" spans="1:14" ht="16.5" thickBot="1" x14ac:dyDescent="0.3">
      <c r="A16" s="8" t="s">
        <v>59</v>
      </c>
      <c r="B16" s="8"/>
      <c r="C16" s="8"/>
      <c r="D16" s="8"/>
      <c r="E16" s="8"/>
      <c r="M16" s="19">
        <f ca="1">SUM(N10)</f>
        <v>-3931.5406459506798</v>
      </c>
      <c r="N16" s="18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J17" s="40">
        <f ca="1">J13</f>
        <v>4285.2464053530384</v>
      </c>
      <c r="K17" s="40">
        <f ca="1">K14</f>
        <v>-71.163192231546873</v>
      </c>
      <c r="L17" s="40">
        <f ca="1">L15</f>
        <v>-3197.5710135024592</v>
      </c>
      <c r="M17" s="40">
        <f ca="1">M16</f>
        <v>-3931.5406459506798</v>
      </c>
      <c r="N17" s="20">
        <v>0</v>
      </c>
    </row>
    <row r="18" spans="1:14" ht="16.5" thickBot="1" x14ac:dyDescent="0.3">
      <c r="A18" s="21" t="s">
        <v>42</v>
      </c>
      <c r="B18" s="30">
        <f ca="1">(J22+K22)/2</f>
        <v>2142.6232026765192</v>
      </c>
      <c r="C18" s="30">
        <f ca="1">(K22+L22)/2</f>
        <v>0</v>
      </c>
      <c r="D18" s="30">
        <f ca="1">(L22+M22)/2</f>
        <v>0</v>
      </c>
      <c r="E18" s="30">
        <f ca="1">(M22+N22)/2</f>
        <v>0</v>
      </c>
    </row>
    <row r="19" spans="1:14" ht="16.5" thickBot="1" x14ac:dyDescent="0.3">
      <c r="A19" s="21" t="s">
        <v>10</v>
      </c>
      <c r="B19" s="24">
        <f t="shared" ref="B19:E19" ca="1" si="8">E7</f>
        <v>0.98816202826398769</v>
      </c>
      <c r="C19" s="24">
        <f t="shared" ca="1" si="8"/>
        <v>0.97764712365082351</v>
      </c>
      <c r="D19" s="24">
        <f t="shared" ca="1" si="8"/>
        <v>0.9696079504355416</v>
      </c>
      <c r="E19" s="24">
        <f t="shared" ca="1" si="8"/>
        <v>0.96628664631487327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47</v>
      </c>
      <c r="B20" s="23">
        <f>E9</f>
        <v>7.4719451808615833E-3</v>
      </c>
      <c r="C20" s="23">
        <f>F9</f>
        <v>7.4161152160757693E-3</v>
      </c>
      <c r="D20" s="23">
        <f>G9</f>
        <v>7.3607024097263052E-3</v>
      </c>
      <c r="E20" s="23">
        <f>H9</f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50</v>
      </c>
      <c r="B21" s="31">
        <f>1-$B$11</f>
        <v>0.6</v>
      </c>
      <c r="C21" s="31">
        <f>1-$B$11</f>
        <v>0.6</v>
      </c>
      <c r="D21" s="31">
        <f>1-$B$11</f>
        <v>0.6</v>
      </c>
      <c r="E21" s="31">
        <f>1-$B$11</f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x14ac:dyDescent="0.25">
      <c r="A22" s="21" t="s">
        <v>48</v>
      </c>
      <c r="B22" s="41">
        <f>E8</f>
        <v>0.99252805481913842</v>
      </c>
      <c r="C22" s="41">
        <f t="shared" ref="C22:E22" si="9">F8</f>
        <v>0.98511193960306265</v>
      </c>
      <c r="D22" s="41">
        <f t="shared" si="9"/>
        <v>0.97775123719333634</v>
      </c>
      <c r="E22" s="41">
        <f t="shared" si="9"/>
        <v>0.97044553354850815</v>
      </c>
      <c r="I22" s="42" t="s">
        <v>40</v>
      </c>
      <c r="J22" s="21">
        <f ca="1">MAX(J13,0)</f>
        <v>4285.2464053530384</v>
      </c>
      <c r="K22" s="21">
        <f ca="1">MAX(K14,0)</f>
        <v>0</v>
      </c>
      <c r="L22" s="21">
        <f ca="1">MAX(L15,0)</f>
        <v>0</v>
      </c>
      <c r="M22" s="21">
        <f ca="1">MAX(M16,0)</f>
        <v>0</v>
      </c>
      <c r="N22" s="21">
        <f>MAX(N17,0)</f>
        <v>0</v>
      </c>
    </row>
    <row r="23" spans="1:14" ht="16.5" thickBot="1" x14ac:dyDescent="0.3">
      <c r="A23" s="21" t="s">
        <v>34</v>
      </c>
      <c r="B23" s="34">
        <f ca="1">B18*B19*B20*B21*B22</f>
        <v>9.4211015212427931</v>
      </c>
      <c r="C23" s="34">
        <f t="shared" ref="C23:E23" ca="1" si="10">C18*C19*C20*C21*C22</f>
        <v>0</v>
      </c>
      <c r="D23" s="34">
        <f t="shared" ca="1" si="10"/>
        <v>0</v>
      </c>
      <c r="E23" s="34">
        <f t="shared" ca="1" si="10"/>
        <v>0</v>
      </c>
      <c r="I23" s="42" t="s">
        <v>41</v>
      </c>
      <c r="J23" s="21">
        <f ca="1">-MIN(J13,0)</f>
        <v>0</v>
      </c>
      <c r="K23" s="21">
        <f ca="1">-MIN(K14,0)</f>
        <v>71.163192231546873</v>
      </c>
      <c r="L23" s="21">
        <f ca="1">-MIN(L15,0)</f>
        <v>3197.5710135024592</v>
      </c>
      <c r="M23" s="21">
        <f ca="1">-MIN(M16,0)</f>
        <v>3931.5406459506798</v>
      </c>
      <c r="N23" s="21">
        <f>MIN(N17,0)</f>
        <v>0</v>
      </c>
    </row>
    <row r="24" spans="1:14" ht="16.5" thickBot="1" x14ac:dyDescent="0.3">
      <c r="A24" s="33" t="s">
        <v>13</v>
      </c>
      <c r="B24" s="35">
        <f ca="1">SUM(B23:E23)</f>
        <v>9.4211015212427931</v>
      </c>
    </row>
    <row r="25" spans="1:14" ht="16.5" thickBot="1" x14ac:dyDescent="0.3"/>
    <row r="26" spans="1:14" ht="16.5" thickBot="1" x14ac:dyDescent="0.3">
      <c r="A26" s="8" t="s">
        <v>60</v>
      </c>
      <c r="B26" s="8"/>
      <c r="C26" s="8"/>
      <c r="D26" s="8"/>
      <c r="E26" s="8"/>
    </row>
    <row r="27" spans="1:14" ht="16.5" thickBot="1" x14ac:dyDescent="0.3">
      <c r="A27" s="4"/>
      <c r="B27" s="5" t="s">
        <v>28</v>
      </c>
      <c r="C27" s="5" t="s">
        <v>29</v>
      </c>
      <c r="D27" s="5" t="s">
        <v>30</v>
      </c>
      <c r="E27" s="6" t="s">
        <v>31</v>
      </c>
    </row>
    <row r="28" spans="1:14" x14ac:dyDescent="0.25">
      <c r="A28" s="21" t="s">
        <v>43</v>
      </c>
      <c r="B28" s="30">
        <f ca="1">(J23+K23)/2</f>
        <v>35.581596115773436</v>
      </c>
      <c r="C28" s="30">
        <f ca="1">(K23+L23)/2</f>
        <v>1634.367102867003</v>
      </c>
      <c r="D28" s="30">
        <f ca="1">(L23+M23)/2</f>
        <v>3564.5558297265698</v>
      </c>
      <c r="E28" s="30">
        <f ca="1">(M23+N23)/2</f>
        <v>1965.7703229753399</v>
      </c>
    </row>
    <row r="29" spans="1:14" x14ac:dyDescent="0.25">
      <c r="A29" s="21" t="s">
        <v>10</v>
      </c>
      <c r="B29" s="24">
        <f t="shared" ref="B29:E30" ca="1" si="11">B19</f>
        <v>0.98816202826398769</v>
      </c>
      <c r="C29" s="24">
        <f t="shared" ca="1" si="11"/>
        <v>0.97764712365082351</v>
      </c>
      <c r="D29" s="24">
        <f t="shared" ca="1" si="11"/>
        <v>0.9696079504355416</v>
      </c>
      <c r="E29" s="24">
        <f t="shared" ca="1" si="11"/>
        <v>0.96628664631487327</v>
      </c>
    </row>
    <row r="30" spans="1:14" x14ac:dyDescent="0.25">
      <c r="A30" s="21" t="s">
        <v>46</v>
      </c>
      <c r="B30" s="23">
        <f t="shared" si="11"/>
        <v>7.4719451808615833E-3</v>
      </c>
      <c r="C30" s="23">
        <f t="shared" si="11"/>
        <v>7.4161152160757693E-3</v>
      </c>
      <c r="D30" s="23">
        <f t="shared" si="11"/>
        <v>7.3607024097263052E-3</v>
      </c>
      <c r="E30" s="23">
        <f t="shared" si="11"/>
        <v>7.3057036448281876E-3</v>
      </c>
    </row>
    <row r="31" spans="1:14" x14ac:dyDescent="0.25">
      <c r="A31" s="21" t="s">
        <v>52</v>
      </c>
      <c r="B31" s="31">
        <f>1-$B$11</f>
        <v>0.6</v>
      </c>
      <c r="C31" s="31">
        <f>1-$B$11</f>
        <v>0.6</v>
      </c>
      <c r="D31" s="31">
        <f>1-$B$11</f>
        <v>0.6</v>
      </c>
      <c r="E31" s="31">
        <f>1-$B$11</f>
        <v>0.6</v>
      </c>
    </row>
    <row r="32" spans="1:14" x14ac:dyDescent="0.25">
      <c r="A32" s="21" t="s">
        <v>49</v>
      </c>
      <c r="B32" s="41">
        <f>E10</f>
        <v>0.99252805481913842</v>
      </c>
      <c r="C32" s="41">
        <f t="shared" ref="C32:E32" si="12">F10</f>
        <v>0.98511193960306265</v>
      </c>
      <c r="D32" s="41">
        <f t="shared" si="12"/>
        <v>0.97775123719333634</v>
      </c>
      <c r="E32" s="41">
        <f t="shared" si="12"/>
        <v>0.97044553354850815</v>
      </c>
    </row>
    <row r="33" spans="1:5" ht="16.5" thickBot="1" x14ac:dyDescent="0.3">
      <c r="A33" s="21" t="s">
        <v>53</v>
      </c>
      <c r="B33" s="34">
        <f ca="1">B28*B29*B30*B31*B32</f>
        <v>0.15645206720239602</v>
      </c>
      <c r="C33" s="34">
        <f t="shared" ref="C33:E33" ca="1" si="13">C28*C29*C30*C31*C32</f>
        <v>7.003982308925651</v>
      </c>
      <c r="D33" s="34">
        <f t="shared" ca="1" si="13"/>
        <v>14.924523473467538</v>
      </c>
      <c r="E33" s="34">
        <f t="shared" ca="1" si="13"/>
        <v>8.0802206265399974</v>
      </c>
    </row>
    <row r="34" spans="1:5" ht="16.5" thickBot="1" x14ac:dyDescent="0.3">
      <c r="A34" s="33" t="s">
        <v>51</v>
      </c>
      <c r="B34" s="35">
        <f ca="1">SUM(B33:E33)</f>
        <v>30.165178476135583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80" zoomScaleNormal="80" workbookViewId="0">
      <selection activeCell="E5" sqref="E5"/>
    </sheetView>
  </sheetViews>
  <sheetFormatPr defaultRowHeight="15.75" x14ac:dyDescent="0.25"/>
  <cols>
    <col min="1" max="1" width="12.375" customWidth="1"/>
    <col min="2" max="2" width="14.375" customWidth="1"/>
    <col min="3" max="3" width="11.25" customWidth="1"/>
    <col min="4" max="4" width="10.75" customWidth="1"/>
    <col min="5" max="5" width="11.375" customWidth="1"/>
    <col min="10" max="10" width="12" customWidth="1"/>
    <col min="11" max="11" width="15.25" customWidth="1"/>
    <col min="12" max="12" width="14.75" customWidth="1"/>
    <col min="13" max="13" width="17.25" customWidth="1"/>
    <col min="14" max="14" width="16.25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0.04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38">
        <f ca="1">E10*0.9+E10*0.2*RAND()</f>
        <v>1.0932686755637598E-2</v>
      </c>
      <c r="F5" s="38">
        <f ca="1">F10*0.9+F10*0.2*RAND()</f>
        <v>2.0328081992600163E-2</v>
      </c>
      <c r="G5" s="38">
        <f ca="1">G10*0.9+G10*0.2*RAND()</f>
        <v>3.2810159857283534E-2</v>
      </c>
      <c r="H5" s="38">
        <f ca="1">H10*0.9+H10*0.2*RAND()</f>
        <v>3.8609998721461591E-2</v>
      </c>
      <c r="J5" s="17" t="s">
        <v>18</v>
      </c>
      <c r="K5" s="22">
        <f>$B$7</f>
        <v>1000000</v>
      </c>
      <c r="L5" s="22">
        <f t="shared" ref="L5:N5" si="0">$B$7</f>
        <v>1000000</v>
      </c>
      <c r="M5" s="22">
        <f t="shared" si="0"/>
        <v>1000000</v>
      </c>
      <c r="N5" s="22">
        <f t="shared" si="0"/>
        <v>1000000</v>
      </c>
    </row>
    <row r="6" spans="1:14" ht="16.5" thickBot="1" x14ac:dyDescent="0.3">
      <c r="A6" s="4" t="s">
        <v>1</v>
      </c>
      <c r="B6" s="10">
        <v>0.25</v>
      </c>
      <c r="D6" s="7" t="s">
        <v>9</v>
      </c>
      <c r="E6" s="26">
        <f ca="1">E5</f>
        <v>1.0932686755637598E-2</v>
      </c>
      <c r="F6" s="26">
        <f ca="1">(F5*F4-E5*E4)/(F4-E4)</f>
        <v>2.9723477229562728E-2</v>
      </c>
      <c r="G6" s="26">
        <f ca="1">(G5*G4-F5*F4)/(G4-F4)</f>
        <v>5.7774315586650284E-2</v>
      </c>
      <c r="H6" s="27">
        <f ca="1">(H5*H4-G5*G4)/(H4-G4)</f>
        <v>5.6009515313995756E-2</v>
      </c>
      <c r="J6" s="17" t="s">
        <v>19</v>
      </c>
      <c r="K6" s="23">
        <f ca="1">E6</f>
        <v>1.0932686755637598E-2</v>
      </c>
      <c r="L6" s="23">
        <f t="shared" ref="L6:N6" ca="1" si="1">F6</f>
        <v>2.9723477229562728E-2</v>
      </c>
      <c r="M6" s="23">
        <f t="shared" ca="1" si="1"/>
        <v>5.7774315586650284E-2</v>
      </c>
      <c r="N6" s="23">
        <f t="shared" ca="1" si="1"/>
        <v>5.6009515313995756E-2</v>
      </c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8">
        <f ca="1">EXP(-E5*E4)</f>
        <v>0.99727056002425263</v>
      </c>
      <c r="F7" s="28">
        <f ca="1">EXP(-F5*F4)</f>
        <v>0.98988743830817227</v>
      </c>
      <c r="G7" s="28">
        <f ca="1">EXP(-G5*G4)</f>
        <v>0.9756926793262346</v>
      </c>
      <c r="H7" s="29">
        <f ca="1">EXP(-H5*H4)</f>
        <v>0.96212586630369934</v>
      </c>
      <c r="J7" s="17" t="s">
        <v>15</v>
      </c>
      <c r="K7" s="23">
        <f>$B$3</f>
        <v>0.04</v>
      </c>
      <c r="L7" s="23">
        <f t="shared" ref="L7:N7" si="2">$B$3</f>
        <v>0.04</v>
      </c>
      <c r="M7" s="23">
        <f t="shared" si="2"/>
        <v>0.04</v>
      </c>
      <c r="N7" s="23">
        <f t="shared" si="2"/>
        <v>0.04</v>
      </c>
    </row>
    <row r="8" spans="1:14" ht="16.5" thickBot="1" x14ac:dyDescent="0.3">
      <c r="A8" s="4"/>
      <c r="B8" s="10"/>
      <c r="D8" s="7" t="s">
        <v>33</v>
      </c>
      <c r="E8" s="26">
        <f>EXP(-$B$9*D4)-EXP(-$B$9*E4)</f>
        <v>7.4719451808615833E-3</v>
      </c>
      <c r="F8" s="26">
        <f>EXP(-$B$9*E4)-EXP(-$B$9*F4)</f>
        <v>7.4161152160757693E-3</v>
      </c>
      <c r="G8" s="26">
        <f>EXP(-$B$9*F4)-EXP(-$B$9*G4)</f>
        <v>7.3607024097263052E-3</v>
      </c>
      <c r="H8" s="27">
        <f>EXP(-$B$9*G4)-EXP(-$B$9*H4)</f>
        <v>7.3057036448281876E-3</v>
      </c>
      <c r="J8" s="17" t="s">
        <v>20</v>
      </c>
      <c r="K8" s="24">
        <f ca="1">E7</f>
        <v>0.99727056002425263</v>
      </c>
      <c r="L8" s="24">
        <f ca="1">F7</f>
        <v>0.98988743830817227</v>
      </c>
      <c r="M8" s="24">
        <f ca="1">G7</f>
        <v>0.9756926793262346</v>
      </c>
      <c r="N8" s="24">
        <f ca="1">H7</f>
        <v>0.96212586630369934</v>
      </c>
    </row>
    <row r="9" spans="1:14" ht="16.5" thickBot="1" x14ac:dyDescent="0.3">
      <c r="A9" s="4" t="s">
        <v>11</v>
      </c>
      <c r="B9" s="11">
        <v>0.03</v>
      </c>
      <c r="J9" s="17" t="s">
        <v>21</v>
      </c>
      <c r="K9" s="25">
        <f>$B$6</f>
        <v>0.25</v>
      </c>
      <c r="L9" s="25">
        <f t="shared" ref="L9:N9" si="3">$B$6</f>
        <v>0.25</v>
      </c>
      <c r="M9" s="25">
        <f t="shared" si="3"/>
        <v>0.25</v>
      </c>
      <c r="N9" s="25">
        <f t="shared" si="3"/>
        <v>0.25</v>
      </c>
    </row>
    <row r="10" spans="1:14" ht="16.5" thickBot="1" x14ac:dyDescent="0.3">
      <c r="A10" s="4" t="s">
        <v>12</v>
      </c>
      <c r="B10" s="11">
        <v>0.4</v>
      </c>
      <c r="D10" s="39" t="s">
        <v>39</v>
      </c>
      <c r="E10" s="36">
        <v>0.01</v>
      </c>
      <c r="F10" s="36">
        <v>0.02</v>
      </c>
      <c r="G10" s="36">
        <v>0.03</v>
      </c>
      <c r="H10" s="37">
        <v>0.04</v>
      </c>
      <c r="J10" s="4" t="s">
        <v>22</v>
      </c>
      <c r="K10" s="19">
        <f ca="1">K5*(K6-K7)*K8*K9</f>
        <v>-7246.9939394014173</v>
      </c>
      <c r="L10" s="19">
        <f t="shared" ref="L10:N10" ca="1" si="4">L5*(L6-L7)*L8*L9</f>
        <v>-2543.1501999859383</v>
      </c>
      <c r="M10" s="19">
        <f t="shared" ca="1" si="4"/>
        <v>4335.5673994822164</v>
      </c>
      <c r="N10" s="19">
        <f t="shared" ca="1" si="4"/>
        <v>3850.7921976451266</v>
      </c>
    </row>
    <row r="11" spans="1:14" ht="16.5" thickBot="1" x14ac:dyDescent="0.3">
      <c r="D11" s="39" t="s">
        <v>38</v>
      </c>
      <c r="E11" s="41">
        <f>$B$3</f>
        <v>0.04</v>
      </c>
      <c r="F11" s="41">
        <f t="shared" ref="F11:H11" si="5">$B$3</f>
        <v>0.04</v>
      </c>
      <c r="G11" s="41">
        <f t="shared" si="5"/>
        <v>0.04</v>
      </c>
      <c r="H11" s="41">
        <f t="shared" si="5"/>
        <v>0.04</v>
      </c>
    </row>
    <row r="12" spans="1:14" ht="16.5" thickBot="1" x14ac:dyDescent="0.3">
      <c r="J12" s="18" t="s">
        <v>23</v>
      </c>
    </row>
    <row r="13" spans="1:14" ht="16.5" thickBot="1" x14ac:dyDescent="0.3">
      <c r="J13" s="19">
        <f ca="1">SUM(K10:N10)</f>
        <v>-1603.7845422600126</v>
      </c>
      <c r="K13" s="18" t="s">
        <v>24</v>
      </c>
    </row>
    <row r="14" spans="1:14" ht="16.5" thickBot="1" x14ac:dyDescent="0.3">
      <c r="K14" s="19">
        <f ca="1">SUM(L10:N10)</f>
        <v>5643.2093971414051</v>
      </c>
      <c r="L14" s="18" t="s">
        <v>25</v>
      </c>
    </row>
    <row r="15" spans="1:14" ht="16.5" thickBot="1" x14ac:dyDescent="0.3">
      <c r="L15" s="19">
        <f ca="1">SUM(M10:N10)</f>
        <v>8186.3595971273426</v>
      </c>
      <c r="M15" s="18" t="s">
        <v>26</v>
      </c>
    </row>
    <row r="16" spans="1:14" ht="16.5" thickBot="1" x14ac:dyDescent="0.3">
      <c r="A16" s="8" t="s">
        <v>58</v>
      </c>
      <c r="B16" s="8"/>
      <c r="C16" s="8"/>
      <c r="D16" s="8"/>
      <c r="E16" s="8"/>
      <c r="M16" s="19">
        <f ca="1">SUM(N10)</f>
        <v>3850.7921976451266</v>
      </c>
      <c r="N16" s="18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N17" s="20">
        <v>0</v>
      </c>
    </row>
    <row r="18" spans="1:14" ht="16.5" thickBot="1" x14ac:dyDescent="0.3">
      <c r="A18" s="21" t="s">
        <v>32</v>
      </c>
      <c r="B18" s="30">
        <f ca="1">(J22+K22)/2</f>
        <v>2821.6046985707026</v>
      </c>
      <c r="C18" s="30">
        <f ca="1">(K22+L22)/2</f>
        <v>6914.7844971343739</v>
      </c>
      <c r="D18" s="30">
        <f ca="1">(L22+M22)/2</f>
        <v>6018.5758973862348</v>
      </c>
      <c r="E18" s="30">
        <f ca="1">(M22+N22)/2</f>
        <v>1925.3960988225633</v>
      </c>
    </row>
    <row r="19" spans="1:14" ht="16.5" thickBot="1" x14ac:dyDescent="0.3">
      <c r="A19" s="21" t="s">
        <v>10</v>
      </c>
      <c r="B19" s="24">
        <f t="shared" ref="B19:E20" ca="1" si="6">E7</f>
        <v>0.99727056002425263</v>
      </c>
      <c r="C19" s="24">
        <f t="shared" ca="1" si="6"/>
        <v>0.98988743830817227</v>
      </c>
      <c r="D19" s="24">
        <f t="shared" ca="1" si="6"/>
        <v>0.9756926793262346</v>
      </c>
      <c r="E19" s="24">
        <f t="shared" ca="1" si="6"/>
        <v>0.96212586630369934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33</v>
      </c>
      <c r="B20" s="23">
        <f t="shared" si="6"/>
        <v>7.4719451808615833E-3</v>
      </c>
      <c r="C20" s="23">
        <f t="shared" si="6"/>
        <v>7.4161152160757693E-3</v>
      </c>
      <c r="D20" s="23">
        <f t="shared" si="6"/>
        <v>7.3607024097263052E-3</v>
      </c>
      <c r="E20" s="23">
        <f t="shared" si="6"/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14</v>
      </c>
      <c r="B21" s="31">
        <f>1-$B$10</f>
        <v>0.6</v>
      </c>
      <c r="C21" s="31">
        <f t="shared" ref="C21:E21" si="7">1-$B$10</f>
        <v>0.6</v>
      </c>
      <c r="D21" s="31">
        <f t="shared" si="7"/>
        <v>0.6</v>
      </c>
      <c r="E21" s="31">
        <f t="shared" si="7"/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ht="16.5" thickBot="1" x14ac:dyDescent="0.3">
      <c r="A22" s="21" t="s">
        <v>34</v>
      </c>
      <c r="B22" s="34">
        <f ca="1">B18*B19*B20*B21</f>
        <v>12.615198711740474</v>
      </c>
      <c r="C22" s="32">
        <f t="shared" ref="C22:E22" ca="1" si="8">C18*C19*C20*C21</f>
        <v>30.457354729133705</v>
      </c>
      <c r="D22" s="32">
        <f t="shared" ca="1" si="8"/>
        <v>25.934465284643974</v>
      </c>
      <c r="E22" s="32">
        <f t="shared" ca="1" si="8"/>
        <v>8.1201729564221292</v>
      </c>
      <c r="J22" s="21">
        <f ca="1">MAX(J13,0)</f>
        <v>0</v>
      </c>
      <c r="K22" s="21">
        <f ca="1">MAX(K14,0)</f>
        <v>5643.2093971414051</v>
      </c>
      <c r="L22" s="21">
        <f ca="1">MAX(L15,0)</f>
        <v>8186.3595971273426</v>
      </c>
      <c r="M22" s="21">
        <f ca="1">MAX(M16,0)</f>
        <v>3850.7921976451266</v>
      </c>
      <c r="N22" s="21">
        <f>MAX(N17,0)</f>
        <v>0</v>
      </c>
    </row>
    <row r="23" spans="1:14" ht="16.5" thickBot="1" x14ac:dyDescent="0.3">
      <c r="A23" s="33" t="s">
        <v>13</v>
      </c>
      <c r="B23" s="35">
        <f ca="1">SUM(B22:E22)</f>
        <v>77.127191681940275</v>
      </c>
    </row>
  </sheetData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CVA_STATIC</vt:lpstr>
      <vt:lpstr>CVA_DYNAMIC</vt:lpstr>
      <vt:lpstr>CVA_INCREASING</vt:lpstr>
      <vt:lpstr>CVA_DECREASING</vt:lpstr>
      <vt:lpstr>BILATERAL</vt:lpstr>
      <vt:lpstr>CVA_1234</vt:lpstr>
    </vt:vector>
  </TitlesOfParts>
  <Company>SDA Bocconi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Pena</dc:creator>
  <cp:lastModifiedBy>Sandoval, Tanya SIPC-ITD/ECM</cp:lastModifiedBy>
  <dcterms:created xsi:type="dcterms:W3CDTF">2014-07-22T20:23:34Z</dcterms:created>
  <dcterms:modified xsi:type="dcterms:W3CDTF">2016-07-03T19:05:47Z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781165069</vt:i4>
  </property>
  <property fmtid="{D5CDD505-2E9C-101B-9397-08002B2CF9AE}" pid="3" name="_NewReviewCycle">
    <vt:lpwstr/>
  </property>
  <property fmtid="{D5CDD505-2E9C-101B-9397-08002B2CF9AE}" pid="4" name="_EmailSubject">
    <vt:lpwstr>Tonight's class </vt:lpwstr>
  </property>
  <property fmtid="{D5CDD505-2E9C-101B-9397-08002B2CF9AE}" pid="5" name="_AuthorEmail">
    <vt:lpwstr>Elise.Goss@fitchlearning.com</vt:lpwstr>
  </property>
  <property fmtid="{D5CDD505-2E9C-101B-9397-08002B2CF9AE}" pid="6" name="_AuthorEmailDisplayName">
    <vt:lpwstr>Elise Goss</vt:lpwstr>
  </property>
  <property fmtid="{D5CDD505-2E9C-101B-9397-08002B2CF9AE}" pid="7" name="_ReviewingToolsShownOnce">
    <vt:lpwstr/>
  </property>
</Properties>
</file>